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defaultThemeVersion="124226"/>
  <bookViews>
    <workbookView xWindow="240" yWindow="105" windowWidth="14805" windowHeight="8010" tabRatio="732" activeTab="8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Mensal" sheetId="17" r:id="rId16"/>
  </sheets>
  <definedNames>
    <definedName name="PCEntradasN1_Nível_1">TbPCEntradasN1[Nível 1]</definedName>
    <definedName name="PCEntradasN2_Nível_1">TbPCEntradasN2[Nível 1]</definedName>
    <definedName name="PCEntradasN2_Nível_2">TbPCEntradasN2[Nível 2]</definedName>
    <definedName name="PCSaídasN1_Nível_1">TbPCSaídasN1[Nível 1]</definedName>
    <definedName name="PCSaídasN2_Nível_1">TbPCSaídasN2[Nível 1]</definedName>
    <definedName name="PCSaídasN2_Nível_2">TbPCSaídasN2[Nível 2]</definedName>
  </definedNames>
  <calcPr calcId="145621"/>
</workbook>
</file>

<file path=xl/calcChain.xml><?xml version="1.0" encoding="utf-8"?>
<calcChain xmlns="http://schemas.openxmlformats.org/spreadsheetml/2006/main">
  <c r="N10" i="10" l="1"/>
  <c r="M10" i="10"/>
  <c r="L10" i="10"/>
  <c r="K10" i="10"/>
  <c r="J10" i="10"/>
  <c r="I10" i="10"/>
  <c r="H10" i="10"/>
  <c r="G10" i="10"/>
  <c r="F10" i="10"/>
  <c r="E10" i="10"/>
  <c r="D10" i="10"/>
  <c r="N9" i="10"/>
  <c r="M9" i="10"/>
  <c r="L9" i="10"/>
  <c r="K9" i="10"/>
  <c r="J9" i="10"/>
  <c r="I9" i="10"/>
  <c r="H9" i="10"/>
  <c r="G9" i="10"/>
  <c r="F9" i="10"/>
  <c r="E9" i="10"/>
  <c r="D9" i="10"/>
  <c r="D11" i="10" s="1"/>
  <c r="E8" i="10" s="1"/>
  <c r="E11" i="10" s="1"/>
  <c r="F8" i="10" s="1"/>
  <c r="F11" i="10" s="1"/>
  <c r="G8" i="10" s="1"/>
  <c r="G11" i="10" s="1"/>
  <c r="H8" i="10" s="1"/>
  <c r="H11" i="10" s="1"/>
  <c r="I8" i="10" s="1"/>
  <c r="I11" i="10" s="1"/>
  <c r="J8" i="10" s="1"/>
  <c r="J11" i="10" s="1"/>
  <c r="K8" i="10" s="1"/>
  <c r="K11" i="10" s="1"/>
  <c r="L8" i="10" s="1"/>
  <c r="L11" i="10" s="1"/>
  <c r="M8" i="10" s="1"/>
  <c r="M11" i="10" s="1"/>
  <c r="N8" i="10" s="1"/>
  <c r="N11" i="10" s="1"/>
  <c r="D8" i="10"/>
  <c r="C11" i="10"/>
  <c r="C10" i="10"/>
  <c r="C9" i="10"/>
  <c r="C8" i="10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</calcChain>
</file>

<file path=xl/sharedStrings.xml><?xml version="1.0" encoding="utf-8"?>
<sst xmlns="http://schemas.openxmlformats.org/spreadsheetml/2006/main" count="1605" uniqueCount="540">
  <si>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</si>
  <si>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</si>
  <si>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</si>
  <si>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</si>
  <si>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</si>
  <si>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</si>
  <si>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</si>
  <si>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</si>
  <si>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</si>
  <si>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</si>
  <si>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</si>
  <si>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</si>
  <si>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</si>
  <si>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</si>
  <si>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</si>
  <si>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</si>
  <si>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</si>
  <si>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</si>
  <si>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</si>
  <si>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</si>
  <si>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DASHBOARD FINANCEIRO - POSIÇÃO MENSAL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</si>
  <si>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</si>
  <si>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</si>
  <si>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</si>
  <si>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</si>
  <si>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</si>
  <si>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</si>
  <si>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</si>
  <si>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</si>
  <si>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</si>
  <si>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</si>
  <si>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</si>
  <si>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</si>
  <si>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</si>
  <si>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</si>
  <si>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</si>
  <si>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</si>
  <si>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</si>
  <si>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</si>
  <si>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</si>
  <si>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</si>
  <si>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</si>
  <si>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</si>
  <si>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</si>
  <si>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</si>
  <si>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</si>
  <si>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</si>
  <si>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</si>
  <si>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</si>
  <si>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</si>
  <si>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</si>
  <si>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</si>
  <si>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</si>
  <si>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</si>
  <si>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</si>
  <si>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</si>
  <si>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</si>
  <si>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</si>
  <si>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</si>
  <si>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</si>
  <si>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</si>
  <si>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</si>
  <si>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</si>
  <si>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</si>
  <si>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</si>
  <si>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</si>
  <si>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</si>
  <si>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</si>
  <si>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</si>
  <si>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</si>
  <si>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</si>
  <si>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</si>
  <si>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</si>
  <si>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</si>
  <si>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</si>
  <si>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</si>
  <si>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</si>
  <si>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</si>
  <si>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</si>
  <si>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</si>
  <si>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</si>
  <si>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</si>
  <si>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</si>
  <si>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</si>
  <si>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</si>
  <si>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</si>
  <si>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</si>
  <si>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</si>
  <si>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</si>
  <si>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</si>
  <si>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</si>
  <si>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</si>
  <si>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</si>
  <si>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</si>
  <si>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</si>
  <si>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</si>
  <si>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</si>
  <si>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</si>
  <si>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</si>
  <si>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</si>
  <si>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</si>
  <si>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</si>
  <si>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</si>
  <si>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</si>
  <si>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</si>
  <si>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</si>
  <si>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</si>
  <si>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</si>
  <si>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</si>
  <si>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</si>
  <si>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</si>
  <si>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</si>
  <si>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</si>
  <si>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</si>
  <si>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</si>
  <si>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</si>
  <si>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</si>
  <si>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</si>
  <si>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</si>
  <si>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</si>
  <si>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</si>
  <si>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</si>
  <si>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</si>
  <si>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</si>
  <si>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</si>
  <si>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</si>
  <si>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</si>
  <si>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</si>
  <si>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</si>
  <si>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</si>
  <si>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</si>
  <si>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</si>
  <si>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</si>
  <si>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</si>
  <si>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</si>
  <si>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</si>
  <si>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</si>
  <si>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</si>
  <si>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</si>
  <si>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</si>
  <si>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</si>
  <si>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</si>
  <si>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</si>
  <si>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</si>
  <si>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</si>
  <si>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</si>
  <si>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</si>
  <si>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</si>
  <si>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</si>
  <si>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</si>
  <si>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</si>
  <si>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</si>
  <si>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</si>
  <si>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</si>
  <si>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</si>
  <si>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</si>
  <si>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</si>
  <si>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</si>
  <si>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</si>
  <si>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</si>
  <si>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</si>
  <si>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</si>
  <si>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</si>
  <si>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</si>
  <si>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</si>
  <si>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</si>
  <si>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</si>
  <si>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</si>
  <si>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</si>
  <si>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</si>
  <si>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</si>
  <si>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</si>
  <si>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</si>
  <si>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</si>
  <si>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</si>
  <si>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</si>
  <si>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</si>
  <si>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</si>
  <si>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</si>
  <si>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</si>
  <si>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</si>
  <si>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</si>
  <si>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</si>
  <si>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</si>
  <si>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</si>
  <si>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</si>
  <si>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</si>
  <si>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</si>
  <si>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</si>
  <si>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</si>
  <si>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</si>
  <si>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</si>
  <si>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</si>
  <si>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</si>
  <si>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</si>
  <si>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</si>
  <si>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</si>
  <si>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</si>
  <si>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</si>
  <si>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</si>
  <si>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</si>
  <si>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</si>
  <si>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</si>
  <si>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</si>
  <si>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</si>
  <si>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</si>
  <si>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</si>
  <si>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</si>
  <si>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</si>
  <si>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</si>
  <si>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</si>
  <si>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</si>
  <si>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</si>
  <si>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</si>
  <si>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</si>
  <si>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</si>
  <si>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</si>
  <si>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</si>
  <si>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</si>
  <si>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</si>
  <si>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</si>
  <si>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</si>
  <si>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</si>
  <si>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</si>
  <si>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</si>
  <si>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</si>
  <si>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</si>
  <si>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</si>
  <si>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</si>
  <si>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</si>
  <si>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</si>
  <si>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</si>
  <si>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</si>
  <si>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</si>
  <si>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</si>
  <si>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</si>
  <si>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</si>
  <si>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</si>
  <si>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</si>
  <si>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</si>
  <si>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</si>
  <si>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</si>
  <si>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</si>
  <si>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</si>
  <si>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</si>
  <si>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</si>
  <si>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</si>
  <si>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</si>
  <si>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</si>
  <si>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</si>
  <si>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</si>
  <si>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</si>
  <si>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</si>
  <si>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</si>
  <si>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</si>
  <si>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</si>
  <si>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</si>
  <si>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</si>
  <si>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</si>
  <si>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</si>
  <si>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</si>
  <si>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</si>
  <si>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</si>
  <si>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</si>
  <si>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</si>
  <si>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</si>
  <si>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</si>
  <si>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</si>
  <si>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</si>
  <si>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</si>
  <si>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</si>
  <si>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</si>
  <si>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</si>
  <si>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</si>
  <si>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</si>
  <si>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</si>
  <si>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</si>
  <si>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</si>
  <si>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</si>
  <si>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</si>
  <si>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</si>
  <si>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</si>
  <si>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</si>
  <si>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</si>
  <si>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</si>
  <si>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</si>
  <si>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</si>
  <si>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</si>
  <si>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</si>
  <si>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</si>
  <si>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</si>
  <si>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</si>
  <si>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</si>
  <si>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</si>
  <si>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</si>
  <si>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</si>
  <si>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</si>
  <si>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</si>
  <si>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</si>
  <si>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</si>
  <si>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</si>
  <si>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</si>
  <si>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</si>
  <si>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</si>
  <si>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</si>
  <si>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</si>
  <si>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</si>
  <si>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</si>
  <si>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</si>
  <si>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</si>
  <si>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</si>
  <si>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</si>
  <si>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</si>
  <si>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</si>
  <si>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</si>
  <si>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</si>
  <si>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</si>
  <si>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</si>
  <si>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</si>
  <si>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</si>
  <si>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</si>
  <si>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</si>
  <si>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</si>
  <si>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</si>
  <si>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</si>
  <si>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</si>
  <si>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</si>
  <si>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</si>
  <si>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</si>
  <si>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</si>
  <si>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</si>
  <si>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</si>
  <si>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</si>
  <si>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</si>
  <si>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</si>
  <si>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</si>
  <si>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</si>
  <si>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</si>
  <si>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</si>
  <si>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</si>
  <si>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</si>
  <si>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</si>
  <si>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</si>
  <si>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</si>
  <si>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</si>
  <si>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</si>
  <si>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</si>
  <si>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</si>
  <si>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</si>
  <si>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</si>
  <si>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</si>
  <si>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</si>
  <si>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</si>
  <si>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</si>
  <si>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</si>
  <si>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</si>
  <si>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</si>
  <si>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</si>
  <si>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</si>
  <si>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</si>
  <si>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</si>
  <si>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</si>
  <si>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</si>
  <si>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</si>
  <si>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</si>
  <si>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</si>
  <si>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</si>
  <si>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</si>
  <si>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</si>
  <si>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</si>
  <si>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</si>
  <si>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</si>
  <si>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</si>
  <si>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</si>
  <si>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</si>
  <si>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</si>
  <si>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</si>
  <si>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</si>
  <si>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</si>
  <si>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</si>
  <si>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</si>
  <si>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</si>
  <si>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</si>
  <si>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</si>
  <si>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</si>
  <si>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</si>
  <si>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</si>
  <si>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</si>
  <si>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</si>
  <si>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</si>
  <si>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</si>
  <si>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</si>
  <si>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</si>
  <si>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</si>
  <si>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</si>
  <si>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</si>
  <si>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</si>
  <si>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</si>
  <si>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</si>
  <si>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</si>
  <si>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</si>
  <si>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</si>
  <si>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</si>
  <si>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</si>
  <si>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</si>
  <si>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</si>
  <si>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</si>
  <si>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</si>
  <si>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</si>
  <si>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</si>
  <si>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</si>
  <si>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</si>
  <si>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</si>
  <si>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</si>
  <si>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</si>
  <si>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</si>
  <si>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</si>
  <si>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</si>
  <si>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</si>
  <si>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</si>
  <si>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</si>
  <si>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</si>
  <si>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</si>
  <si>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</si>
  <si>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</si>
  <si>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</si>
  <si>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</si>
  <si>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</si>
  <si>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</si>
  <si>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</si>
  <si>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</si>
  <si>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</si>
  <si>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</si>
  <si>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</si>
  <si>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</si>
  <si>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</si>
  <si>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</si>
  <si>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</si>
  <si>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</si>
  <si>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</si>
  <si>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</si>
  <si>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</si>
  <si>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</si>
  <si>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</si>
  <si>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</si>
  <si>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</si>
  <si>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</si>
  <si>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</si>
  <si>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</si>
  <si>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</si>
  <si>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</si>
  <si>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</si>
  <si>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</si>
  <si>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</si>
  <si>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</si>
  <si>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</si>
  <si>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</si>
  <si>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</si>
  <si>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</si>
  <si>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</si>
  <si>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</si>
  <si>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</si>
  <si>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</si>
  <si>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</si>
  <si>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</si>
  <si>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</si>
  <si>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</si>
  <si>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</si>
  <si>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</si>
  <si>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</si>
  <si>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</si>
  <si>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</si>
  <si>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</si>
  <si>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</si>
  <si>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</si>
  <si>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</si>
  <si>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</si>
  <si>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</si>
  <si>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</si>
  <si>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</si>
  <si>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</si>
  <si>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</si>
  <si>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</si>
  <si>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</si>
  <si>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</si>
  <si>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</si>
  <si>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</si>
  <si>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</si>
  <si>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</si>
  <si>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</si>
  <si>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</si>
  <si>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</si>
  <si>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</si>
  <si>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</si>
  <si>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</si>
  <si>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</si>
  <si>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</si>
  <si>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</si>
  <si>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</si>
  <si>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</si>
  <si>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</si>
  <si>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</si>
  <si>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</si>
  <si>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</si>
  <si>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</si>
  <si>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</si>
  <si>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</si>
  <si>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</si>
  <si>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</si>
  <si>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</si>
  <si>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</si>
  <si>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</si>
  <si>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</si>
  <si>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</si>
  <si>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</si>
  <si>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</si>
  <si>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</si>
  <si>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</si>
  <si>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</si>
  <si>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</si>
  <si>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</si>
  <si>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</si>
  <si>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</si>
  <si>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</si>
  <si>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</si>
  <si>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</si>
  <si>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</si>
  <si>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</si>
  <si>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</si>
  <si>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</si>
  <si>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</si>
  <si>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</si>
  <si>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</si>
  <si>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</si>
  <si>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</si>
  <si>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</si>
  <si>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</si>
  <si>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</si>
  <si>
    <t>Mês Caixa</t>
  </si>
  <si>
    <t>Ano Caixa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</si>
</sst>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#,##0_ ;[Red]\-#,##0\ "/>
  </numFmts>
  <fonts count="8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5" fillId="6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164" fontId="0" fillId="0" borderId="0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164" fontId="0" fillId="0" borderId="12" xfId="0" applyNumberFormat="1" applyBorder="1" applyAlignment="1">
      <alignment horizontal="left" vertical="center"/>
    </xf>
    <xf numFmtId="164" fontId="0" fillId="0" borderId="13" xfId="0" applyNumberForma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164" fontId="0" fillId="4" borderId="12" xfId="0" applyNumberFormat="1" applyFill="1" applyBorder="1" applyAlignment="1">
      <alignment horizontal="left" vertical="center"/>
    </xf>
    <xf numFmtId="164" fontId="0" fillId="4" borderId="13" xfId="0" applyNumberFormat="1" applyFill="1" applyBorder="1" applyAlignment="1">
      <alignment horizontal="left" vertical="center"/>
    </xf>
    <xf numFmtId="164" fontId="0" fillId="4" borderId="7" xfId="0" applyNumberFormat="1" applyFill="1" applyBorder="1" applyAlignment="1">
      <alignment horizontal="left" vertical="center"/>
    </xf>
    <xf numFmtId="164" fontId="0" fillId="4" borderId="8" xfId="0" applyNumberFormat="1" applyFill="1" applyBorder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164" fontId="0" fillId="0" borderId="0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12" xfId="0" applyNumberFormat="1" applyBorder="1" applyAlignment="1">
      <alignment horizontal="right" vertical="center"/>
    </xf>
    <xf numFmtId="164" fontId="0" fillId="0" borderId="13" xfId="0" applyNumberFormat="1" applyBorder="1" applyAlignment="1">
      <alignment horizontal="right" vertical="center"/>
    </xf>
  </cellXfs>
  <cellStyles count="1">
    <cellStyle name="Normal" xfId="0" builtinId="0"/>
  </cellStyles>
  <dxfs count="2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Mens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Mensal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PCEntradasN1" displayName="TbPCEntradasN1" ref="B4:B9" totalsRowShown="0" headerRowDxfId="21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20" headerRowBorderDxfId="19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18" headerRowBorderDxfId="17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16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J234" totalsRowShown="0" headerRowDxfId="15">
  <autoFilter ref="B3:J234">
    <filterColumn colId="0">
      <filters>
        <dateGroupItem year="2017" dateTimeGrouping="year"/>
      </filters>
    </filterColumn>
  </autoFilter>
  <tableColumns count="9">
    <tableColumn id="1" name="Data do Caixa Realizado" dataDxfId="14"/>
    <tableColumn id="2" name="Data da Competência" dataDxfId="13"/>
    <tableColumn id="3" name="Data do Caixa Previsto" dataDxfId="12"/>
    <tableColumn id="4" name="Conta Nível 1"/>
    <tableColumn id="5" name="Conta Nível 2"/>
    <tableColumn id="6" name="Histórico"/>
    <tableColumn id="7" name="Valor" dataDxfId="11"/>
    <tableColumn id="8" name="Mês Caixa" dataDxfId="3">
      <calculatedColumnFormula>IF(TbRegistroEntradas[[#This Row],[Data do Caixa Realizado]]="",0,MONTH(TbRegistroEntradas[[#This Row],[Data do Caixa Realizado]]))</calculatedColumnFormula>
    </tableColumn>
    <tableColumn id="9" name="Ano Caixa" dataDxfId="2">
      <calculatedColumnFormula>IF(TbRegistroEntradas[[#This Row],[Data do Caixa Realizado]]="",0,YEAR(TbRegistroEntradas[[#This Row],[Data do Caixa Realizado]]))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J232" totalsRowShown="0" headerRowDxfId="10" headerRowBorderDxfId="9" tableBorderDxfId="8">
  <autoFilter ref="B3:J232"/>
  <tableColumns count="9">
    <tableColumn id="1" name="Data do Caixa Realizado" dataDxfId="7"/>
    <tableColumn id="2" name="Data da Competência" dataDxfId="6"/>
    <tableColumn id="3" name="Data do Caixa Previsto" dataDxfId="5"/>
    <tableColumn id="4" name="Conta Nível 1"/>
    <tableColumn id="5" name="Conta Nível 2"/>
    <tableColumn id="6" name="Histórico"/>
    <tableColumn id="7" name="Valor" dataDxfId="4"/>
    <tableColumn id="8" name="Mês Caixa" dataDxfId="1">
      <calculatedColumnFormula>IF(TbRegistroSaídas[[#This Row],[Data do Caixa Realizado]]="",0,MONTH(TbRegistroSaídas[[#This Row],[Data do Caixa Realizado]]))</calculatedColumnFormula>
    </tableColumn>
    <tableColumn id="9" name="Ano Caixa" dataDxfId="0">
      <calculatedColumnFormula>IF(TbRegistroSaídas[[#This Row],[Data do Caixa Realizado]]="",0,YEAR(TbRegistroSaídas[[#This Row],[Data do Caixa Realizado]]))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</row>
    <row r="6" spans="2:14" ht="20.100000000000001" customHeight="1" x14ac:dyDescent="0.25">
      <c r="B6" t="s">
        <v>24</v>
      </c>
    </row>
    <row r="7" spans="2:14" ht="20.100000000000001" customHeight="1" x14ac:dyDescent="0.25">
      <c r="B7" t="s">
        <v>25</v>
      </c>
    </row>
    <row r="8" spans="2:14" ht="20.100000000000001" customHeight="1" x14ac:dyDescent="0.25">
      <c r="B8" t="s">
        <v>26</v>
      </c>
    </row>
    <row r="9" spans="2:14" ht="20.100000000000001" customHeight="1" x14ac:dyDescent="0.25">
      <c r="B9" t="s">
        <v>27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C13" sqref="C13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4" t="s">
        <v>28</v>
      </c>
      <c r="C3" s="2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8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  <c r="C5" t="s">
        <v>30</v>
      </c>
    </row>
    <row r="6" spans="2:14" ht="20.100000000000001" customHeight="1" x14ac:dyDescent="0.25">
      <c r="B6" t="s">
        <v>25</v>
      </c>
      <c r="C6" t="s">
        <v>31</v>
      </c>
    </row>
    <row r="7" spans="2:14" ht="20.100000000000001" customHeight="1" x14ac:dyDescent="0.25">
      <c r="B7" t="s">
        <v>26</v>
      </c>
      <c r="C7" t="s">
        <v>32</v>
      </c>
    </row>
    <row r="8" spans="2:14" ht="20.100000000000001" customHeight="1" x14ac:dyDescent="0.25">
      <c r="B8" t="s">
        <v>27</v>
      </c>
      <c r="C8" t="s">
        <v>33</v>
      </c>
    </row>
    <row r="9" spans="2:14" ht="20.100000000000001" customHeight="1" x14ac:dyDescent="0.25">
      <c r="B9" t="s">
        <v>27</v>
      </c>
      <c r="C9" t="s">
        <v>34</v>
      </c>
    </row>
    <row r="10" spans="2:14" ht="20.100000000000001" customHeight="1" x14ac:dyDescent="0.25">
      <c r="B10" t="s">
        <v>27</v>
      </c>
      <c r="C10" t="s">
        <v>35</v>
      </c>
    </row>
    <row r="11" spans="2:14" ht="20.100000000000001" customHeight="1" x14ac:dyDescent="0.25">
      <c r="B11" t="s">
        <v>27</v>
      </c>
      <c r="C11" t="s">
        <v>36</v>
      </c>
    </row>
    <row r="12" spans="2:14" ht="20.100000000000001" customHeight="1" x14ac:dyDescent="0.25">
      <c r="B12" t="s">
        <v>27</v>
      </c>
      <c r="C12" t="s">
        <v>37</v>
      </c>
    </row>
    <row r="13" spans="2:14" ht="20.100000000000001" customHeight="1" x14ac:dyDescent="0.25">
      <c r="B13" t="s">
        <v>24</v>
      </c>
      <c r="C13" t="s">
        <v>60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38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</row>
    <row r="6" spans="2:14" ht="20.100000000000001" customHeight="1" x14ac:dyDescent="0.25">
      <c r="B6" t="s">
        <v>40</v>
      </c>
    </row>
    <row r="7" spans="2:14" ht="20.100000000000001" customHeight="1" x14ac:dyDescent="0.25">
      <c r="B7" t="s">
        <v>41</v>
      </c>
    </row>
    <row r="8" spans="2:14" ht="20.100000000000001" customHeight="1" x14ac:dyDescent="0.25">
      <c r="B8" t="s">
        <v>42</v>
      </c>
    </row>
    <row r="9" spans="2:14" ht="20.100000000000001" customHeight="1" x14ac:dyDescent="0.25">
      <c r="B9" t="s">
        <v>43</v>
      </c>
    </row>
    <row r="10" spans="2:14" ht="20.100000000000001" customHeight="1" x14ac:dyDescent="0.25">
      <c r="B10" t="s">
        <v>44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6" t="s">
        <v>45</v>
      </c>
      <c r="C3" s="26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6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  <c r="C5" t="s">
        <v>33</v>
      </c>
    </row>
    <row r="6" spans="2:14" ht="20.100000000000001" customHeight="1" x14ac:dyDescent="0.25">
      <c r="B6" t="s">
        <v>39</v>
      </c>
      <c r="C6" t="s">
        <v>34</v>
      </c>
    </row>
    <row r="7" spans="2:14" ht="20.100000000000001" customHeight="1" x14ac:dyDescent="0.25">
      <c r="B7" t="s">
        <v>39</v>
      </c>
      <c r="C7" t="s">
        <v>35</v>
      </c>
    </row>
    <row r="8" spans="2:14" ht="20.100000000000001" customHeight="1" x14ac:dyDescent="0.25">
      <c r="B8" t="s">
        <v>39</v>
      </c>
      <c r="C8" t="s">
        <v>37</v>
      </c>
    </row>
    <row r="9" spans="2:14" ht="20.100000000000001" customHeight="1" x14ac:dyDescent="0.25">
      <c r="B9" t="s">
        <v>39</v>
      </c>
      <c r="C9" t="s">
        <v>46</v>
      </c>
    </row>
    <row r="10" spans="2:14" ht="20.100000000000001" customHeight="1" x14ac:dyDescent="0.25">
      <c r="B10" t="s">
        <v>40</v>
      </c>
      <c r="C10" t="s">
        <v>47</v>
      </c>
    </row>
    <row r="11" spans="2:14" ht="20.100000000000001" customHeight="1" x14ac:dyDescent="0.25">
      <c r="B11" t="s">
        <v>40</v>
      </c>
      <c r="C11" t="s">
        <v>48</v>
      </c>
    </row>
    <row r="12" spans="2:14" ht="20.100000000000001" customHeight="1" x14ac:dyDescent="0.25">
      <c r="B12" t="s">
        <v>41</v>
      </c>
      <c r="C12" t="s">
        <v>49</v>
      </c>
    </row>
    <row r="13" spans="2:14" ht="20.100000000000001" customHeight="1" x14ac:dyDescent="0.25">
      <c r="B13" t="s">
        <v>41</v>
      </c>
      <c r="C13" t="s">
        <v>50</v>
      </c>
    </row>
    <row r="14" spans="2:14" ht="20.100000000000001" customHeight="1" x14ac:dyDescent="0.25">
      <c r="B14" t="s">
        <v>42</v>
      </c>
      <c r="C14" t="s">
        <v>51</v>
      </c>
    </row>
    <row r="15" spans="2:14" ht="20.100000000000001" customHeight="1" x14ac:dyDescent="0.25">
      <c r="B15" t="s">
        <v>43</v>
      </c>
      <c r="C15" t="s">
        <v>52</v>
      </c>
    </row>
    <row r="16" spans="2:14" ht="20.100000000000001" customHeight="1" x14ac:dyDescent="0.25">
      <c r="B16" t="s">
        <v>44</v>
      </c>
      <c r="C16" t="s">
        <v>60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A1:O234"/>
  <sheetViews>
    <sheetView showGridLines="0" zoomScale="85" zoomScaleNormal="85" workbookViewId="0">
      <pane ySplit="3" topLeftCell="A23" activePane="bottomLeft" state="frozen"/>
      <selection pane="bottomLeft" activeCell="H4" sqref="H4:H229"/>
    </sheetView>
  </sheetViews>
  <sheetFormatPr defaultColWidth="9.140625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13.28515625" customWidth="1"/>
    <col min="10" max="10" width="11.140625" customWidth="1"/>
    <col min="11" max="15" width="9.140625" customWidth="1"/>
  </cols>
  <sheetData>
    <row r="1" spans="2:10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10" ht="39.950000000000003" customHeight="1" x14ac:dyDescent="0.25">
      <c r="B2" s="12"/>
      <c r="C2" s="12"/>
      <c r="D2" s="12"/>
      <c r="E2" s="5"/>
      <c r="F2" s="5"/>
      <c r="G2" s="5"/>
      <c r="H2" s="15"/>
    </row>
    <row r="3" spans="2:10" s="17" customFormat="1" ht="45.75" customHeight="1" x14ac:dyDescent="0.25">
      <c r="B3" s="18" t="s">
        <v>53</v>
      </c>
      <c r="C3" s="18" t="s">
        <v>54</v>
      </c>
      <c r="D3" s="18" t="s">
        <v>55</v>
      </c>
      <c r="E3" s="19" t="s">
        <v>56</v>
      </c>
      <c r="F3" s="19" t="s">
        <v>57</v>
      </c>
      <c r="G3" s="19" t="s">
        <v>58</v>
      </c>
      <c r="H3" s="20" t="s">
        <v>59</v>
      </c>
      <c r="I3" s="19" t="s">
        <v>538</v>
      </c>
      <c r="J3" s="19" t="s">
        <v>539</v>
      </c>
    </row>
    <row r="4" spans="2:10" ht="20.100000000000001" customHeight="1" x14ac:dyDescent="0.25">
      <c r="B4" s="13">
        <v>42994</v>
      </c>
      <c r="C4" s="13">
        <v>42957</v>
      </c>
      <c r="D4" s="13">
        <v>42972</v>
      </c>
      <c r="E4" t="s">
        <v>27</v>
      </c>
      <c r="F4" t="s">
        <v>34</v>
      </c>
      <c r="G4" t="s">
        <v>61</v>
      </c>
      <c r="H4" s="16">
        <v>1133</v>
      </c>
      <c r="I4">
        <f>IF(TbRegistroEntradas[[#This Row],[Data do Caixa Realizado]]="",0,MONTH(TbRegistroEntradas[[#This Row],[Data do Caixa Realizado]]))</f>
        <v>9</v>
      </c>
      <c r="J4">
        <f>IF(TbRegistroEntradas[[#This Row],[Data do Caixa Realizado]]="",0,YEAR(TbRegistroEntradas[[#This Row],[Data do Caixa Realizado]]))</f>
        <v>2017</v>
      </c>
    </row>
    <row r="5" spans="2:10" ht="20.100000000000001" customHeight="1" x14ac:dyDescent="0.25">
      <c r="B5" s="13">
        <v>42985</v>
      </c>
      <c r="C5" s="13">
        <v>42960</v>
      </c>
      <c r="D5" s="13">
        <v>42985</v>
      </c>
      <c r="E5" t="s">
        <v>27</v>
      </c>
      <c r="F5" t="s">
        <v>36</v>
      </c>
      <c r="G5" t="s">
        <v>62</v>
      </c>
      <c r="H5" s="16">
        <v>164</v>
      </c>
      <c r="I5">
        <f>IF(TbRegistroEntradas[[#This Row],[Data do Caixa Realizado]]="",0,MONTH(TbRegistroEntradas[[#This Row],[Data do Caixa Realizado]]))</f>
        <v>9</v>
      </c>
      <c r="J5">
        <f>IF(TbRegistroEntradas[[#This Row],[Data do Caixa Realizado]]="",0,YEAR(TbRegistroEntradas[[#This Row],[Data do Caixa Realizado]]))</f>
        <v>2017</v>
      </c>
    </row>
    <row r="6" spans="2:10" ht="20.100000000000001" customHeight="1" x14ac:dyDescent="0.25">
      <c r="B6" s="13">
        <v>43007</v>
      </c>
      <c r="C6" s="13">
        <v>42964</v>
      </c>
      <c r="D6" s="13">
        <v>43001</v>
      </c>
      <c r="E6" t="s">
        <v>27</v>
      </c>
      <c r="F6" t="s">
        <v>36</v>
      </c>
      <c r="G6" t="s">
        <v>63</v>
      </c>
      <c r="H6" s="16">
        <v>2937</v>
      </c>
      <c r="I6">
        <f>IF(TbRegistroEntradas[[#This Row],[Data do Caixa Realizado]]="",0,MONTH(TbRegistroEntradas[[#This Row],[Data do Caixa Realizado]]))</f>
        <v>9</v>
      </c>
      <c r="J6">
        <f>IF(TbRegistroEntradas[[#This Row],[Data do Caixa Realizado]]="",0,YEAR(TbRegistroEntradas[[#This Row],[Data do Caixa Realizado]]))</f>
        <v>2017</v>
      </c>
    </row>
    <row r="7" spans="2:10" ht="20.100000000000001" customHeight="1" x14ac:dyDescent="0.25">
      <c r="B7" s="13">
        <v>43020</v>
      </c>
      <c r="C7" s="13">
        <v>42969</v>
      </c>
      <c r="D7" s="13">
        <v>43020</v>
      </c>
      <c r="E7" t="s">
        <v>27</v>
      </c>
      <c r="F7" t="s">
        <v>37</v>
      </c>
      <c r="G7" t="s">
        <v>64</v>
      </c>
      <c r="H7" s="16">
        <v>807</v>
      </c>
      <c r="I7">
        <f>IF(TbRegistroEntradas[[#This Row],[Data do Caixa Realizado]]="",0,MONTH(TbRegistroEntradas[[#This Row],[Data do Caixa Realizado]]))</f>
        <v>10</v>
      </c>
      <c r="J7">
        <f>IF(TbRegistroEntradas[[#This Row],[Data do Caixa Realizado]]="",0,YEAR(TbRegistroEntradas[[#This Row],[Data do Caixa Realizado]]))</f>
        <v>2017</v>
      </c>
    </row>
    <row r="8" spans="2:10" ht="20.100000000000001" customHeight="1" x14ac:dyDescent="0.25">
      <c r="B8" s="13">
        <v>43014</v>
      </c>
      <c r="C8" s="13">
        <v>42972</v>
      </c>
      <c r="D8" s="13">
        <v>43014</v>
      </c>
      <c r="E8" t="s">
        <v>27</v>
      </c>
      <c r="F8" t="s">
        <v>34</v>
      </c>
      <c r="G8" t="s">
        <v>65</v>
      </c>
      <c r="H8" s="16">
        <v>2612</v>
      </c>
      <c r="I8">
        <f>IF(TbRegistroEntradas[[#This Row],[Data do Caixa Realizado]]="",0,MONTH(TbRegistroEntradas[[#This Row],[Data do Caixa Realizado]]))</f>
        <v>10</v>
      </c>
      <c r="J8">
        <f>IF(TbRegistroEntradas[[#This Row],[Data do Caixa Realizado]]="",0,YEAR(TbRegistroEntradas[[#This Row],[Data do Caixa Realizado]]))</f>
        <v>2017</v>
      </c>
    </row>
    <row r="9" spans="2:10" ht="20.100000000000001" customHeight="1" x14ac:dyDescent="0.25">
      <c r="B9" s="13">
        <v>43054</v>
      </c>
      <c r="C9" s="13">
        <v>42974</v>
      </c>
      <c r="D9" s="13">
        <v>43030</v>
      </c>
      <c r="E9" t="s">
        <v>27</v>
      </c>
      <c r="F9" t="s">
        <v>36</v>
      </c>
      <c r="G9" t="s">
        <v>66</v>
      </c>
      <c r="H9" s="16">
        <v>2483</v>
      </c>
      <c r="I9">
        <f>IF(TbRegistroEntradas[[#This Row],[Data do Caixa Realizado]]="",0,MONTH(TbRegistroEntradas[[#This Row],[Data do Caixa Realizado]]))</f>
        <v>11</v>
      </c>
      <c r="J9">
        <f>IF(TbRegistroEntradas[[#This Row],[Data do Caixa Realizado]]="",0,YEAR(TbRegistroEntradas[[#This Row],[Data do Caixa Realizado]]))</f>
        <v>2017</v>
      </c>
    </row>
    <row r="10" spans="2:10" ht="20.100000000000001" customHeight="1" x14ac:dyDescent="0.25">
      <c r="B10" s="13">
        <v>43087</v>
      </c>
      <c r="C10" s="13">
        <v>42979</v>
      </c>
      <c r="D10" s="13">
        <v>43009</v>
      </c>
      <c r="E10" t="s">
        <v>27</v>
      </c>
      <c r="F10" t="s">
        <v>34</v>
      </c>
      <c r="G10" t="s">
        <v>67</v>
      </c>
      <c r="H10" s="16">
        <v>4387</v>
      </c>
      <c r="I10">
        <f>IF(TbRegistroEntradas[[#This Row],[Data do Caixa Realizado]]="",0,MONTH(TbRegistroEntradas[[#This Row],[Data do Caixa Realizado]]))</f>
        <v>12</v>
      </c>
      <c r="J10">
        <f>IF(TbRegistroEntradas[[#This Row],[Data do Caixa Realizado]]="",0,YEAR(TbRegistroEntradas[[#This Row],[Data do Caixa Realizado]]))</f>
        <v>2017</v>
      </c>
    </row>
    <row r="11" spans="2:10" ht="20.100000000000001" customHeight="1" x14ac:dyDescent="0.25">
      <c r="B11" s="13">
        <v>43004</v>
      </c>
      <c r="C11" s="13">
        <v>42980</v>
      </c>
      <c r="D11" s="13">
        <v>43004</v>
      </c>
      <c r="E11" t="s">
        <v>27</v>
      </c>
      <c r="F11" t="s">
        <v>36</v>
      </c>
      <c r="G11" t="s">
        <v>68</v>
      </c>
      <c r="H11" s="16">
        <v>4268</v>
      </c>
      <c r="I11">
        <f>IF(TbRegistroEntradas[[#This Row],[Data do Caixa Realizado]]="",0,MONTH(TbRegistroEntradas[[#This Row],[Data do Caixa Realizado]]))</f>
        <v>9</v>
      </c>
      <c r="J11">
        <f>IF(TbRegistroEntradas[[#This Row],[Data do Caixa Realizado]]="",0,YEAR(TbRegistroEntradas[[#This Row],[Data do Caixa Realizado]]))</f>
        <v>2017</v>
      </c>
    </row>
    <row r="12" spans="2:10" ht="20.100000000000001" customHeight="1" x14ac:dyDescent="0.25">
      <c r="B12" s="13">
        <v>43015</v>
      </c>
      <c r="C12" s="13">
        <v>42984</v>
      </c>
      <c r="D12" s="13">
        <v>43015</v>
      </c>
      <c r="E12" t="s">
        <v>27</v>
      </c>
      <c r="F12" t="s">
        <v>36</v>
      </c>
      <c r="G12" t="s">
        <v>69</v>
      </c>
      <c r="H12" s="16">
        <v>3761</v>
      </c>
      <c r="I12">
        <f>IF(TbRegistroEntradas[[#This Row],[Data do Caixa Realizado]]="",0,MONTH(TbRegistroEntradas[[#This Row],[Data do Caixa Realizado]]))</f>
        <v>10</v>
      </c>
      <c r="J12">
        <f>IF(TbRegistroEntradas[[#This Row],[Data do Caixa Realizado]]="",0,YEAR(TbRegistroEntradas[[#This Row],[Data do Caixa Realizado]]))</f>
        <v>2017</v>
      </c>
    </row>
    <row r="13" spans="2:10" ht="20.100000000000001" hidden="1" customHeight="1" x14ac:dyDescent="0.25">
      <c r="B13" s="13" t="s">
        <v>70</v>
      </c>
      <c r="C13" s="13">
        <v>42988</v>
      </c>
      <c r="D13" s="13">
        <v>43013</v>
      </c>
      <c r="E13" t="s">
        <v>27</v>
      </c>
      <c r="F13" t="s">
        <v>36</v>
      </c>
      <c r="G13" t="s">
        <v>71</v>
      </c>
      <c r="H13" s="16">
        <v>4983</v>
      </c>
      <c r="I13">
        <f>IF(TbRegistroEntradas[[#This Row],[Data do Caixa Realizado]]="",0,MONTH(TbRegistroEntradas[[#This Row],[Data do Caixa Realizado]]))</f>
        <v>0</v>
      </c>
      <c r="J13">
        <f>IF(TbRegistroEntradas[[#This Row],[Data do Caixa Realizado]]="",0,YEAR(TbRegistroEntradas[[#This Row],[Data do Caixa Realizado]]))</f>
        <v>0</v>
      </c>
    </row>
    <row r="14" spans="2:10" ht="20.100000000000001" customHeight="1" x14ac:dyDescent="0.25">
      <c r="B14" s="13">
        <v>42997</v>
      </c>
      <c r="C14" s="13">
        <v>42990</v>
      </c>
      <c r="D14" s="13">
        <v>42997</v>
      </c>
      <c r="E14" t="s">
        <v>27</v>
      </c>
      <c r="F14" t="s">
        <v>33</v>
      </c>
      <c r="G14" t="s">
        <v>72</v>
      </c>
      <c r="H14" s="16">
        <v>2502</v>
      </c>
      <c r="I14">
        <f>IF(TbRegistroEntradas[[#This Row],[Data do Caixa Realizado]]="",0,MONTH(TbRegistroEntradas[[#This Row],[Data do Caixa Realizado]]))</f>
        <v>9</v>
      </c>
      <c r="J14">
        <f>IF(TbRegistroEntradas[[#This Row],[Data do Caixa Realizado]]="",0,YEAR(TbRegistroEntradas[[#This Row],[Data do Caixa Realizado]]))</f>
        <v>2017</v>
      </c>
    </row>
    <row r="15" spans="2:10" ht="20.100000000000001" customHeight="1" x14ac:dyDescent="0.25">
      <c r="B15" s="13">
        <v>43002</v>
      </c>
      <c r="C15" s="13">
        <v>42994</v>
      </c>
      <c r="D15" s="13">
        <v>43002</v>
      </c>
      <c r="E15" t="s">
        <v>27</v>
      </c>
      <c r="F15" t="s">
        <v>36</v>
      </c>
      <c r="G15" t="s">
        <v>73</v>
      </c>
      <c r="H15" s="16">
        <v>2337</v>
      </c>
      <c r="I15">
        <f>IF(TbRegistroEntradas[[#This Row],[Data do Caixa Realizado]]="",0,MONTH(TbRegistroEntradas[[#This Row],[Data do Caixa Realizado]]))</f>
        <v>9</v>
      </c>
      <c r="J15">
        <f>IF(TbRegistroEntradas[[#This Row],[Data do Caixa Realizado]]="",0,YEAR(TbRegistroEntradas[[#This Row],[Data do Caixa Realizado]]))</f>
        <v>2017</v>
      </c>
    </row>
    <row r="16" spans="2:10" ht="20.100000000000001" customHeight="1" x14ac:dyDescent="0.25">
      <c r="B16" s="13">
        <v>43001</v>
      </c>
      <c r="C16" s="13">
        <v>43001</v>
      </c>
      <c r="D16" s="13">
        <v>43001</v>
      </c>
      <c r="E16" t="s">
        <v>27</v>
      </c>
      <c r="F16" t="s">
        <v>35</v>
      </c>
      <c r="G16" t="s">
        <v>74</v>
      </c>
      <c r="H16" s="16">
        <v>3125</v>
      </c>
      <c r="I16">
        <f>IF(TbRegistroEntradas[[#This Row],[Data do Caixa Realizado]]="",0,MONTH(TbRegistroEntradas[[#This Row],[Data do Caixa Realizado]]))</f>
        <v>9</v>
      </c>
      <c r="J16">
        <f>IF(TbRegistroEntradas[[#This Row],[Data do Caixa Realizado]]="",0,YEAR(TbRegistroEntradas[[#This Row],[Data do Caixa Realizado]]))</f>
        <v>2017</v>
      </c>
    </row>
    <row r="17" spans="2:10" ht="20.100000000000001" customHeight="1" x14ac:dyDescent="0.25">
      <c r="B17" s="13">
        <v>43056</v>
      </c>
      <c r="C17" s="13">
        <v>43004</v>
      </c>
      <c r="D17" s="13">
        <v>43056</v>
      </c>
      <c r="E17" t="s">
        <v>27</v>
      </c>
      <c r="F17" t="s">
        <v>36</v>
      </c>
      <c r="G17" t="s">
        <v>75</v>
      </c>
      <c r="H17" s="16">
        <v>1201</v>
      </c>
      <c r="I17">
        <f>IF(TbRegistroEntradas[[#This Row],[Data do Caixa Realizado]]="",0,MONTH(TbRegistroEntradas[[#This Row],[Data do Caixa Realizado]]))</f>
        <v>11</v>
      </c>
      <c r="J17">
        <f>IF(TbRegistroEntradas[[#This Row],[Data do Caixa Realizado]]="",0,YEAR(TbRegistroEntradas[[#This Row],[Data do Caixa Realizado]]))</f>
        <v>2017</v>
      </c>
    </row>
    <row r="18" spans="2:10" x14ac:dyDescent="0.25">
      <c r="B18" s="13">
        <v>43018</v>
      </c>
      <c r="C18" s="13">
        <v>43005</v>
      </c>
      <c r="D18" s="13">
        <v>43018</v>
      </c>
      <c r="E18" t="s">
        <v>27</v>
      </c>
      <c r="F18" t="s">
        <v>34</v>
      </c>
      <c r="G18" t="s">
        <v>76</v>
      </c>
      <c r="H18" s="16">
        <v>4380</v>
      </c>
      <c r="I18">
        <f>IF(TbRegistroEntradas[[#This Row],[Data do Caixa Realizado]]="",0,MONTH(TbRegistroEntradas[[#This Row],[Data do Caixa Realizado]]))</f>
        <v>10</v>
      </c>
      <c r="J18">
        <f>IF(TbRegistroEntradas[[#This Row],[Data do Caixa Realizado]]="",0,YEAR(TbRegistroEntradas[[#This Row],[Data do Caixa Realizado]]))</f>
        <v>2017</v>
      </c>
    </row>
    <row r="19" spans="2:10" x14ac:dyDescent="0.25">
      <c r="B19" s="13">
        <v>43019</v>
      </c>
      <c r="C19" s="13">
        <v>43008</v>
      </c>
      <c r="D19" s="13">
        <v>43019</v>
      </c>
      <c r="E19" t="s">
        <v>27</v>
      </c>
      <c r="F19" t="s">
        <v>35</v>
      </c>
      <c r="G19" t="s">
        <v>77</v>
      </c>
      <c r="H19" s="16">
        <v>919</v>
      </c>
      <c r="I19">
        <f>IF(TbRegistroEntradas[[#This Row],[Data do Caixa Realizado]]="",0,MONTH(TbRegistroEntradas[[#This Row],[Data do Caixa Realizado]]))</f>
        <v>10</v>
      </c>
      <c r="J19">
        <f>IF(TbRegistroEntradas[[#This Row],[Data do Caixa Realizado]]="",0,YEAR(TbRegistroEntradas[[#This Row],[Data do Caixa Realizado]]))</f>
        <v>2017</v>
      </c>
    </row>
    <row r="20" spans="2:10" x14ac:dyDescent="0.25">
      <c r="B20" s="13">
        <v>43076</v>
      </c>
      <c r="C20" s="13">
        <v>43012</v>
      </c>
      <c r="D20" s="13">
        <v>43025</v>
      </c>
      <c r="E20" t="s">
        <v>27</v>
      </c>
      <c r="F20" t="s">
        <v>37</v>
      </c>
      <c r="G20" t="s">
        <v>78</v>
      </c>
      <c r="H20" s="16">
        <v>4590</v>
      </c>
      <c r="I20">
        <f>IF(TbRegistroEntradas[[#This Row],[Data do Caixa Realizado]]="",0,MONTH(TbRegistroEntradas[[#This Row],[Data do Caixa Realizado]]))</f>
        <v>12</v>
      </c>
      <c r="J20">
        <f>IF(TbRegistroEntradas[[#This Row],[Data do Caixa Realizado]]="",0,YEAR(TbRegistroEntradas[[#This Row],[Data do Caixa Realizado]]))</f>
        <v>2017</v>
      </c>
    </row>
    <row r="21" spans="2:10" x14ac:dyDescent="0.25">
      <c r="B21" s="13">
        <v>43052</v>
      </c>
      <c r="C21" s="13">
        <v>43015</v>
      </c>
      <c r="D21" s="13">
        <v>43052</v>
      </c>
      <c r="E21" t="s">
        <v>27</v>
      </c>
      <c r="F21" t="s">
        <v>33</v>
      </c>
      <c r="G21" t="s">
        <v>79</v>
      </c>
      <c r="H21" s="16">
        <v>1958</v>
      </c>
      <c r="I21">
        <f>IF(TbRegistroEntradas[[#This Row],[Data do Caixa Realizado]]="",0,MONTH(TbRegistroEntradas[[#This Row],[Data do Caixa Realizado]]))</f>
        <v>11</v>
      </c>
      <c r="J21">
        <f>IF(TbRegistroEntradas[[#This Row],[Data do Caixa Realizado]]="",0,YEAR(TbRegistroEntradas[[#This Row],[Data do Caixa Realizado]]))</f>
        <v>2017</v>
      </c>
    </row>
    <row r="22" spans="2:10" x14ac:dyDescent="0.25">
      <c r="B22" s="13">
        <v>43043</v>
      </c>
      <c r="C22" s="13">
        <v>43017</v>
      </c>
      <c r="D22" s="13">
        <v>43043</v>
      </c>
      <c r="E22" t="s">
        <v>27</v>
      </c>
      <c r="F22" t="s">
        <v>34</v>
      </c>
      <c r="G22" t="s">
        <v>80</v>
      </c>
      <c r="H22" s="16">
        <v>1171</v>
      </c>
      <c r="I22">
        <f>IF(TbRegistroEntradas[[#This Row],[Data do Caixa Realizado]]="",0,MONTH(TbRegistroEntradas[[#This Row],[Data do Caixa Realizado]]))</f>
        <v>11</v>
      </c>
      <c r="J22">
        <f>IF(TbRegistroEntradas[[#This Row],[Data do Caixa Realizado]]="",0,YEAR(TbRegistroEntradas[[#This Row],[Data do Caixa Realizado]]))</f>
        <v>2017</v>
      </c>
    </row>
    <row r="23" spans="2:10" x14ac:dyDescent="0.25">
      <c r="B23" s="13">
        <v>43060</v>
      </c>
      <c r="C23" s="13">
        <v>43019</v>
      </c>
      <c r="D23" s="13">
        <v>43060</v>
      </c>
      <c r="E23" t="s">
        <v>27</v>
      </c>
      <c r="F23" t="s">
        <v>36</v>
      </c>
      <c r="G23" t="s">
        <v>81</v>
      </c>
      <c r="H23" s="16">
        <v>2587</v>
      </c>
      <c r="I23">
        <f>IF(TbRegistroEntradas[[#This Row],[Data do Caixa Realizado]]="",0,MONTH(TbRegistroEntradas[[#This Row],[Data do Caixa Realizado]]))</f>
        <v>11</v>
      </c>
      <c r="J23">
        <f>IF(TbRegistroEntradas[[#This Row],[Data do Caixa Realizado]]="",0,YEAR(TbRegistroEntradas[[#This Row],[Data do Caixa Realizado]]))</f>
        <v>2017</v>
      </c>
    </row>
    <row r="24" spans="2:10" hidden="1" x14ac:dyDescent="0.25">
      <c r="B24" s="13" t="s">
        <v>70</v>
      </c>
      <c r="C24" s="13">
        <v>43023</v>
      </c>
      <c r="D24" s="13">
        <v>43045</v>
      </c>
      <c r="E24" t="s">
        <v>27</v>
      </c>
      <c r="F24" t="s">
        <v>36</v>
      </c>
      <c r="G24" t="s">
        <v>82</v>
      </c>
      <c r="H24" s="16">
        <v>3425</v>
      </c>
      <c r="I24">
        <f>IF(TbRegistroEntradas[[#This Row],[Data do Caixa Realizado]]="",0,MONTH(TbRegistroEntradas[[#This Row],[Data do Caixa Realizado]]))</f>
        <v>0</v>
      </c>
      <c r="J24">
        <f>IF(TbRegistroEntradas[[#This Row],[Data do Caixa Realizado]]="",0,YEAR(TbRegistroEntradas[[#This Row],[Data do Caixa Realizado]]))</f>
        <v>0</v>
      </c>
    </row>
    <row r="25" spans="2:10" hidden="1" x14ac:dyDescent="0.25">
      <c r="B25" s="13">
        <v>43113</v>
      </c>
      <c r="C25" s="13">
        <v>43026</v>
      </c>
      <c r="D25" s="13">
        <v>43026</v>
      </c>
      <c r="E25" t="s">
        <v>27</v>
      </c>
      <c r="F25" t="s">
        <v>37</v>
      </c>
      <c r="G25" t="s">
        <v>83</v>
      </c>
      <c r="H25" s="16">
        <v>4454</v>
      </c>
      <c r="I25">
        <f>IF(TbRegistroEntradas[[#This Row],[Data do Caixa Realizado]]="",0,MONTH(TbRegistroEntradas[[#This Row],[Data do Caixa Realizado]]))</f>
        <v>1</v>
      </c>
      <c r="J25">
        <f>IF(TbRegistroEntradas[[#This Row],[Data do Caixa Realizado]]="",0,YEAR(TbRegistroEntradas[[#This Row],[Data do Caixa Realizado]]))</f>
        <v>2018</v>
      </c>
    </row>
    <row r="26" spans="2:10" x14ac:dyDescent="0.25">
      <c r="B26" s="13">
        <v>43030</v>
      </c>
      <c r="C26" s="13">
        <v>43030</v>
      </c>
      <c r="D26" s="13">
        <v>43030</v>
      </c>
      <c r="E26" t="s">
        <v>27</v>
      </c>
      <c r="F26" t="s">
        <v>34</v>
      </c>
      <c r="G26" t="s">
        <v>84</v>
      </c>
      <c r="H26" s="16">
        <v>2134</v>
      </c>
      <c r="I26">
        <f>IF(TbRegistroEntradas[[#This Row],[Data do Caixa Realizado]]="",0,MONTH(TbRegistroEntradas[[#This Row],[Data do Caixa Realizado]]))</f>
        <v>10</v>
      </c>
      <c r="J26">
        <f>IF(TbRegistroEntradas[[#This Row],[Data do Caixa Realizado]]="",0,YEAR(TbRegistroEntradas[[#This Row],[Data do Caixa Realizado]]))</f>
        <v>2017</v>
      </c>
    </row>
    <row r="27" spans="2:10" x14ac:dyDescent="0.25">
      <c r="B27" s="13">
        <v>43032</v>
      </c>
      <c r="C27" s="13">
        <v>43032</v>
      </c>
      <c r="D27" s="13">
        <v>43032</v>
      </c>
      <c r="E27" t="s">
        <v>27</v>
      </c>
      <c r="F27" t="s">
        <v>33</v>
      </c>
      <c r="G27" t="s">
        <v>85</v>
      </c>
      <c r="H27" s="16">
        <v>257</v>
      </c>
      <c r="I27">
        <f>IF(TbRegistroEntradas[[#This Row],[Data do Caixa Realizado]]="",0,MONTH(TbRegistroEntradas[[#This Row],[Data do Caixa Realizado]]))</f>
        <v>10</v>
      </c>
      <c r="J27">
        <f>IF(TbRegistroEntradas[[#This Row],[Data do Caixa Realizado]]="",0,YEAR(TbRegistroEntradas[[#This Row],[Data do Caixa Realizado]]))</f>
        <v>2017</v>
      </c>
    </row>
    <row r="28" spans="2:10" hidden="1" x14ac:dyDescent="0.25">
      <c r="B28" s="13">
        <v>43122</v>
      </c>
      <c r="C28" s="13">
        <v>43032</v>
      </c>
      <c r="D28" s="13">
        <v>43068</v>
      </c>
      <c r="E28" t="s">
        <v>27</v>
      </c>
      <c r="F28" t="s">
        <v>35</v>
      </c>
      <c r="G28" t="s">
        <v>86</v>
      </c>
      <c r="H28" s="16">
        <v>2019</v>
      </c>
      <c r="I28">
        <f>IF(TbRegistroEntradas[[#This Row],[Data do Caixa Realizado]]="",0,MONTH(TbRegistroEntradas[[#This Row],[Data do Caixa Realizado]]))</f>
        <v>1</v>
      </c>
      <c r="J28">
        <f>IF(TbRegistroEntradas[[#This Row],[Data do Caixa Realizado]]="",0,YEAR(TbRegistroEntradas[[#This Row],[Data do Caixa Realizado]]))</f>
        <v>2018</v>
      </c>
    </row>
    <row r="29" spans="2:10" x14ac:dyDescent="0.25">
      <c r="B29" s="13">
        <v>43034</v>
      </c>
      <c r="C29" s="13">
        <v>43034</v>
      </c>
      <c r="D29" s="13">
        <v>43034</v>
      </c>
      <c r="E29" t="s">
        <v>27</v>
      </c>
      <c r="F29" t="s">
        <v>36</v>
      </c>
      <c r="G29" t="s">
        <v>87</v>
      </c>
      <c r="H29" s="16">
        <v>3696</v>
      </c>
      <c r="I29">
        <f>IF(TbRegistroEntradas[[#This Row],[Data do Caixa Realizado]]="",0,MONTH(TbRegistroEntradas[[#This Row],[Data do Caixa Realizado]]))</f>
        <v>10</v>
      </c>
      <c r="J29">
        <f>IF(TbRegistroEntradas[[#This Row],[Data do Caixa Realizado]]="",0,YEAR(TbRegistroEntradas[[#This Row],[Data do Caixa Realizado]]))</f>
        <v>2017</v>
      </c>
    </row>
    <row r="30" spans="2:10" x14ac:dyDescent="0.25">
      <c r="B30" s="13">
        <v>43052</v>
      </c>
      <c r="C30" s="13">
        <v>43038</v>
      </c>
      <c r="D30" s="13">
        <v>43052</v>
      </c>
      <c r="E30" t="s">
        <v>27</v>
      </c>
      <c r="F30" t="s">
        <v>35</v>
      </c>
      <c r="G30" t="s">
        <v>88</v>
      </c>
      <c r="H30" s="16">
        <v>4446</v>
      </c>
      <c r="I30">
        <f>IF(TbRegistroEntradas[[#This Row],[Data do Caixa Realizado]]="",0,MONTH(TbRegistroEntradas[[#This Row],[Data do Caixa Realizado]]))</f>
        <v>11</v>
      </c>
      <c r="J30">
        <f>IF(TbRegistroEntradas[[#This Row],[Data do Caixa Realizado]]="",0,YEAR(TbRegistroEntradas[[#This Row],[Data do Caixa Realizado]]))</f>
        <v>2017</v>
      </c>
    </row>
    <row r="31" spans="2:10" hidden="1" x14ac:dyDescent="0.25">
      <c r="B31" s="13" t="s">
        <v>70</v>
      </c>
      <c r="C31" s="13">
        <v>43040</v>
      </c>
      <c r="D31" s="13">
        <v>43057</v>
      </c>
      <c r="E31" t="s">
        <v>27</v>
      </c>
      <c r="F31" t="s">
        <v>35</v>
      </c>
      <c r="G31" t="s">
        <v>89</v>
      </c>
      <c r="H31" s="16">
        <v>1445</v>
      </c>
      <c r="I31">
        <f>IF(TbRegistroEntradas[[#This Row],[Data do Caixa Realizado]]="",0,MONTH(TbRegistroEntradas[[#This Row],[Data do Caixa Realizado]]))</f>
        <v>0</v>
      </c>
      <c r="J31">
        <f>IF(TbRegistroEntradas[[#This Row],[Data do Caixa Realizado]]="",0,YEAR(TbRegistroEntradas[[#This Row],[Data do Caixa Realizado]]))</f>
        <v>0</v>
      </c>
    </row>
    <row r="32" spans="2:10" hidden="1" x14ac:dyDescent="0.25">
      <c r="B32" s="13">
        <v>43117</v>
      </c>
      <c r="C32" s="13">
        <v>43043</v>
      </c>
      <c r="D32" s="13">
        <v>43068</v>
      </c>
      <c r="E32" t="s">
        <v>27</v>
      </c>
      <c r="F32" t="s">
        <v>34</v>
      </c>
      <c r="G32" t="s">
        <v>90</v>
      </c>
      <c r="H32" s="16">
        <v>3559</v>
      </c>
      <c r="I32">
        <f>IF(TbRegistroEntradas[[#This Row],[Data do Caixa Realizado]]="",0,MONTH(TbRegistroEntradas[[#This Row],[Data do Caixa Realizado]]))</f>
        <v>1</v>
      </c>
      <c r="J32">
        <f>IF(TbRegistroEntradas[[#This Row],[Data do Caixa Realizado]]="",0,YEAR(TbRegistroEntradas[[#This Row],[Data do Caixa Realizado]]))</f>
        <v>2018</v>
      </c>
    </row>
    <row r="33" spans="2:10" x14ac:dyDescent="0.25">
      <c r="B33" s="13">
        <v>43047</v>
      </c>
      <c r="C33" s="13">
        <v>43047</v>
      </c>
      <c r="D33" s="13">
        <v>43047</v>
      </c>
      <c r="E33" t="s">
        <v>27</v>
      </c>
      <c r="F33" t="s">
        <v>36</v>
      </c>
      <c r="G33" t="s">
        <v>91</v>
      </c>
      <c r="H33" s="16">
        <v>547</v>
      </c>
      <c r="I33">
        <f>IF(TbRegistroEntradas[[#This Row],[Data do Caixa Realizado]]="",0,MONTH(TbRegistroEntradas[[#This Row],[Data do Caixa Realizado]]))</f>
        <v>11</v>
      </c>
      <c r="J33">
        <f>IF(TbRegistroEntradas[[#This Row],[Data do Caixa Realizado]]="",0,YEAR(TbRegistroEntradas[[#This Row],[Data do Caixa Realizado]]))</f>
        <v>2017</v>
      </c>
    </row>
    <row r="34" spans="2:10" x14ac:dyDescent="0.25">
      <c r="B34" s="13">
        <v>43077</v>
      </c>
      <c r="C34" s="13">
        <v>43051</v>
      </c>
      <c r="D34" s="13">
        <v>43051</v>
      </c>
      <c r="E34" t="s">
        <v>27</v>
      </c>
      <c r="F34" t="s">
        <v>36</v>
      </c>
      <c r="G34" t="s">
        <v>92</v>
      </c>
      <c r="H34" s="16">
        <v>1221</v>
      </c>
      <c r="I34">
        <f>IF(TbRegistroEntradas[[#This Row],[Data do Caixa Realizado]]="",0,MONTH(TbRegistroEntradas[[#This Row],[Data do Caixa Realizado]]))</f>
        <v>12</v>
      </c>
      <c r="J34">
        <f>IF(TbRegistroEntradas[[#This Row],[Data do Caixa Realizado]]="",0,YEAR(TbRegistroEntradas[[#This Row],[Data do Caixa Realizado]]))</f>
        <v>2017</v>
      </c>
    </row>
    <row r="35" spans="2:10" hidden="1" x14ac:dyDescent="0.25">
      <c r="B35" s="13">
        <v>43101</v>
      </c>
      <c r="C35" s="13">
        <v>43053</v>
      </c>
      <c r="D35" s="13">
        <v>43101</v>
      </c>
      <c r="E35" t="s">
        <v>27</v>
      </c>
      <c r="F35" t="s">
        <v>35</v>
      </c>
      <c r="G35" t="s">
        <v>93</v>
      </c>
      <c r="H35" s="16">
        <v>4108</v>
      </c>
      <c r="I35">
        <f>IF(TbRegistroEntradas[[#This Row],[Data do Caixa Realizado]]="",0,MONTH(TbRegistroEntradas[[#This Row],[Data do Caixa Realizado]]))</f>
        <v>1</v>
      </c>
      <c r="J35">
        <f>IF(TbRegistroEntradas[[#This Row],[Data do Caixa Realizado]]="",0,YEAR(TbRegistroEntradas[[#This Row],[Data do Caixa Realizado]]))</f>
        <v>2018</v>
      </c>
    </row>
    <row r="36" spans="2:10" x14ac:dyDescent="0.25">
      <c r="B36" s="13">
        <v>43055</v>
      </c>
      <c r="C36" s="13">
        <v>43055</v>
      </c>
      <c r="D36" s="13">
        <v>43055</v>
      </c>
      <c r="E36" t="s">
        <v>27</v>
      </c>
      <c r="F36" t="s">
        <v>36</v>
      </c>
      <c r="G36" t="s">
        <v>94</v>
      </c>
      <c r="H36" s="16">
        <v>3714</v>
      </c>
      <c r="I36">
        <f>IF(TbRegistroEntradas[[#This Row],[Data do Caixa Realizado]]="",0,MONTH(TbRegistroEntradas[[#This Row],[Data do Caixa Realizado]]))</f>
        <v>11</v>
      </c>
      <c r="J36">
        <f>IF(TbRegistroEntradas[[#This Row],[Data do Caixa Realizado]]="",0,YEAR(TbRegistroEntradas[[#This Row],[Data do Caixa Realizado]]))</f>
        <v>2017</v>
      </c>
    </row>
    <row r="37" spans="2:10" hidden="1" x14ac:dyDescent="0.25">
      <c r="B37" s="13" t="s">
        <v>70</v>
      </c>
      <c r="C37" s="13">
        <v>43057</v>
      </c>
      <c r="D37" s="13">
        <v>43101</v>
      </c>
      <c r="E37" t="s">
        <v>27</v>
      </c>
      <c r="F37" t="s">
        <v>33</v>
      </c>
      <c r="G37" t="s">
        <v>95</v>
      </c>
      <c r="H37" s="16">
        <v>4843</v>
      </c>
      <c r="I37">
        <f>IF(TbRegistroEntradas[[#This Row],[Data do Caixa Realizado]]="",0,MONTH(TbRegistroEntradas[[#This Row],[Data do Caixa Realizado]]))</f>
        <v>0</v>
      </c>
      <c r="J37">
        <f>IF(TbRegistroEntradas[[#This Row],[Data do Caixa Realizado]]="",0,YEAR(TbRegistroEntradas[[#This Row],[Data do Caixa Realizado]]))</f>
        <v>0</v>
      </c>
    </row>
    <row r="38" spans="2:10" x14ac:dyDescent="0.25">
      <c r="B38" s="13">
        <v>43090</v>
      </c>
      <c r="C38" s="13">
        <v>43058</v>
      </c>
      <c r="D38" s="13">
        <v>43090</v>
      </c>
      <c r="E38" t="s">
        <v>27</v>
      </c>
      <c r="F38" t="s">
        <v>37</v>
      </c>
      <c r="G38" t="s">
        <v>96</v>
      </c>
      <c r="H38" s="16">
        <v>4831</v>
      </c>
      <c r="I38">
        <f>IF(TbRegistroEntradas[[#This Row],[Data do Caixa Realizado]]="",0,MONTH(TbRegistroEntradas[[#This Row],[Data do Caixa Realizado]]))</f>
        <v>12</v>
      </c>
      <c r="J38">
        <f>IF(TbRegistroEntradas[[#This Row],[Data do Caixa Realizado]]="",0,YEAR(TbRegistroEntradas[[#This Row],[Data do Caixa Realizado]]))</f>
        <v>2017</v>
      </c>
    </row>
    <row r="39" spans="2:10" x14ac:dyDescent="0.25">
      <c r="B39" s="13">
        <v>43059</v>
      </c>
      <c r="C39" s="13">
        <v>43059</v>
      </c>
      <c r="D39" s="13">
        <v>43059</v>
      </c>
      <c r="E39" t="s">
        <v>27</v>
      </c>
      <c r="F39" t="s">
        <v>36</v>
      </c>
      <c r="G39" t="s">
        <v>97</v>
      </c>
      <c r="H39" s="16">
        <v>2072</v>
      </c>
      <c r="I39">
        <f>IF(TbRegistroEntradas[[#This Row],[Data do Caixa Realizado]]="",0,MONTH(TbRegistroEntradas[[#This Row],[Data do Caixa Realizado]]))</f>
        <v>11</v>
      </c>
      <c r="J39">
        <f>IF(TbRegistroEntradas[[#This Row],[Data do Caixa Realizado]]="",0,YEAR(TbRegistroEntradas[[#This Row],[Data do Caixa Realizado]]))</f>
        <v>2017</v>
      </c>
    </row>
    <row r="40" spans="2:10" hidden="1" x14ac:dyDescent="0.25">
      <c r="B40" s="13">
        <v>43122</v>
      </c>
      <c r="C40" s="13">
        <v>43063</v>
      </c>
      <c r="D40" s="13">
        <v>43122</v>
      </c>
      <c r="E40" t="s">
        <v>27</v>
      </c>
      <c r="F40" t="s">
        <v>34</v>
      </c>
      <c r="G40" t="s">
        <v>98</v>
      </c>
      <c r="H40" s="16">
        <v>3992</v>
      </c>
      <c r="I40">
        <f>IF(TbRegistroEntradas[[#This Row],[Data do Caixa Realizado]]="",0,MONTH(TbRegistroEntradas[[#This Row],[Data do Caixa Realizado]]))</f>
        <v>1</v>
      </c>
      <c r="J40">
        <f>IF(TbRegistroEntradas[[#This Row],[Data do Caixa Realizado]]="",0,YEAR(TbRegistroEntradas[[#This Row],[Data do Caixa Realizado]]))</f>
        <v>2018</v>
      </c>
    </row>
    <row r="41" spans="2:10" hidden="1" x14ac:dyDescent="0.25">
      <c r="B41" s="13">
        <v>43114</v>
      </c>
      <c r="C41" s="13">
        <v>43068</v>
      </c>
      <c r="D41" s="13">
        <v>43068</v>
      </c>
      <c r="E41" t="s">
        <v>27</v>
      </c>
      <c r="F41" t="s">
        <v>33</v>
      </c>
      <c r="G41" t="s">
        <v>99</v>
      </c>
      <c r="H41" s="16">
        <v>1284</v>
      </c>
      <c r="I41">
        <f>IF(TbRegistroEntradas[[#This Row],[Data do Caixa Realizado]]="",0,MONTH(TbRegistroEntradas[[#This Row],[Data do Caixa Realizado]]))</f>
        <v>1</v>
      </c>
      <c r="J41">
        <f>IF(TbRegistroEntradas[[#This Row],[Data do Caixa Realizado]]="",0,YEAR(TbRegistroEntradas[[#This Row],[Data do Caixa Realizado]]))</f>
        <v>2018</v>
      </c>
    </row>
    <row r="42" spans="2:10" x14ac:dyDescent="0.25">
      <c r="B42" s="13">
        <v>43073</v>
      </c>
      <c r="C42" s="13">
        <v>43073</v>
      </c>
      <c r="D42" s="13">
        <v>43073</v>
      </c>
      <c r="E42" t="s">
        <v>27</v>
      </c>
      <c r="F42" t="s">
        <v>34</v>
      </c>
      <c r="G42" t="s">
        <v>100</v>
      </c>
      <c r="H42" s="16">
        <v>4073</v>
      </c>
      <c r="I42">
        <f>IF(TbRegistroEntradas[[#This Row],[Data do Caixa Realizado]]="",0,MONTH(TbRegistroEntradas[[#This Row],[Data do Caixa Realizado]]))</f>
        <v>12</v>
      </c>
      <c r="J42">
        <f>IF(TbRegistroEntradas[[#This Row],[Data do Caixa Realizado]]="",0,YEAR(TbRegistroEntradas[[#This Row],[Data do Caixa Realizado]]))</f>
        <v>2017</v>
      </c>
    </row>
    <row r="43" spans="2:10" x14ac:dyDescent="0.25">
      <c r="B43" s="13">
        <v>43073</v>
      </c>
      <c r="C43" s="13">
        <v>43073</v>
      </c>
      <c r="D43" s="13">
        <v>43073</v>
      </c>
      <c r="E43" t="s">
        <v>27</v>
      </c>
      <c r="F43" t="s">
        <v>33</v>
      </c>
      <c r="G43" t="s">
        <v>101</v>
      </c>
      <c r="H43" s="16">
        <v>3008</v>
      </c>
      <c r="I43">
        <f>IF(TbRegistroEntradas[[#This Row],[Data do Caixa Realizado]]="",0,MONTH(TbRegistroEntradas[[#This Row],[Data do Caixa Realizado]]))</f>
        <v>12</v>
      </c>
      <c r="J43">
        <f>IF(TbRegistroEntradas[[#This Row],[Data do Caixa Realizado]]="",0,YEAR(TbRegistroEntradas[[#This Row],[Data do Caixa Realizado]]))</f>
        <v>2017</v>
      </c>
    </row>
    <row r="44" spans="2:10" hidden="1" x14ac:dyDescent="0.25">
      <c r="B44" s="13">
        <v>43103</v>
      </c>
      <c r="C44" s="13">
        <v>43080</v>
      </c>
      <c r="D44" s="13">
        <v>43080</v>
      </c>
      <c r="E44" t="s">
        <v>27</v>
      </c>
      <c r="F44" t="s">
        <v>33</v>
      </c>
      <c r="G44" t="s">
        <v>102</v>
      </c>
      <c r="H44" s="16">
        <v>1267</v>
      </c>
      <c r="I44">
        <f>IF(TbRegistroEntradas[[#This Row],[Data do Caixa Realizado]]="",0,MONTH(TbRegistroEntradas[[#This Row],[Data do Caixa Realizado]]))</f>
        <v>1</v>
      </c>
      <c r="J44">
        <f>IF(TbRegistroEntradas[[#This Row],[Data do Caixa Realizado]]="",0,YEAR(TbRegistroEntradas[[#This Row],[Data do Caixa Realizado]]))</f>
        <v>2018</v>
      </c>
    </row>
    <row r="45" spans="2:10" hidden="1" x14ac:dyDescent="0.25">
      <c r="B45" s="13">
        <v>43103</v>
      </c>
      <c r="C45" s="13">
        <v>43082</v>
      </c>
      <c r="D45" s="13">
        <v>43103</v>
      </c>
      <c r="E45" t="s">
        <v>27</v>
      </c>
      <c r="F45" t="s">
        <v>33</v>
      </c>
      <c r="G45" t="s">
        <v>103</v>
      </c>
      <c r="H45" s="16">
        <v>284</v>
      </c>
      <c r="I45">
        <f>IF(TbRegistroEntradas[[#This Row],[Data do Caixa Realizado]]="",0,MONTH(TbRegistroEntradas[[#This Row],[Data do Caixa Realizado]]))</f>
        <v>1</v>
      </c>
      <c r="J45">
        <f>IF(TbRegistroEntradas[[#This Row],[Data do Caixa Realizado]]="",0,YEAR(TbRegistroEntradas[[#This Row],[Data do Caixa Realizado]]))</f>
        <v>2018</v>
      </c>
    </row>
    <row r="46" spans="2:10" x14ac:dyDescent="0.25">
      <c r="B46" s="13">
        <v>43086</v>
      </c>
      <c r="C46" s="13">
        <v>43083</v>
      </c>
      <c r="D46" s="13">
        <v>43086</v>
      </c>
      <c r="E46" t="s">
        <v>27</v>
      </c>
      <c r="F46" t="s">
        <v>36</v>
      </c>
      <c r="G46" t="s">
        <v>104</v>
      </c>
      <c r="H46" s="16">
        <v>2046</v>
      </c>
      <c r="I46">
        <f>IF(TbRegistroEntradas[[#This Row],[Data do Caixa Realizado]]="",0,MONTH(TbRegistroEntradas[[#This Row],[Data do Caixa Realizado]]))</f>
        <v>12</v>
      </c>
      <c r="J46">
        <f>IF(TbRegistroEntradas[[#This Row],[Data do Caixa Realizado]]="",0,YEAR(TbRegistroEntradas[[#This Row],[Data do Caixa Realizado]]))</f>
        <v>2017</v>
      </c>
    </row>
    <row r="47" spans="2:10" hidden="1" x14ac:dyDescent="0.25">
      <c r="B47" s="13">
        <v>43122</v>
      </c>
      <c r="C47" s="13">
        <v>43085</v>
      </c>
      <c r="D47" s="13">
        <v>43122</v>
      </c>
      <c r="E47" t="s">
        <v>27</v>
      </c>
      <c r="F47" t="s">
        <v>34</v>
      </c>
      <c r="G47" t="s">
        <v>105</v>
      </c>
      <c r="H47" s="16">
        <v>3880</v>
      </c>
      <c r="I47">
        <f>IF(TbRegistroEntradas[[#This Row],[Data do Caixa Realizado]]="",0,MONTH(TbRegistroEntradas[[#This Row],[Data do Caixa Realizado]]))</f>
        <v>1</v>
      </c>
      <c r="J47">
        <f>IF(TbRegistroEntradas[[#This Row],[Data do Caixa Realizado]]="",0,YEAR(TbRegistroEntradas[[#This Row],[Data do Caixa Realizado]]))</f>
        <v>2018</v>
      </c>
    </row>
    <row r="48" spans="2:10" hidden="1" x14ac:dyDescent="0.25">
      <c r="B48" s="13">
        <v>43123</v>
      </c>
      <c r="C48" s="13">
        <v>43086</v>
      </c>
      <c r="D48" s="13">
        <v>43123</v>
      </c>
      <c r="E48" t="s">
        <v>27</v>
      </c>
      <c r="F48" t="s">
        <v>34</v>
      </c>
      <c r="G48" t="s">
        <v>106</v>
      </c>
      <c r="H48" s="16">
        <v>3149</v>
      </c>
      <c r="I48">
        <f>IF(TbRegistroEntradas[[#This Row],[Data do Caixa Realizado]]="",0,MONTH(TbRegistroEntradas[[#This Row],[Data do Caixa Realizado]]))</f>
        <v>1</v>
      </c>
      <c r="J48">
        <f>IF(TbRegistroEntradas[[#This Row],[Data do Caixa Realizado]]="",0,YEAR(TbRegistroEntradas[[#This Row],[Data do Caixa Realizado]]))</f>
        <v>2018</v>
      </c>
    </row>
    <row r="49" spans="2:10" hidden="1" x14ac:dyDescent="0.25">
      <c r="B49" s="13">
        <v>43125</v>
      </c>
      <c r="C49" s="13">
        <v>43088</v>
      </c>
      <c r="D49" s="13">
        <v>43125</v>
      </c>
      <c r="E49" t="s">
        <v>27</v>
      </c>
      <c r="F49" t="s">
        <v>36</v>
      </c>
      <c r="G49" t="s">
        <v>107</v>
      </c>
      <c r="H49" s="16">
        <v>668</v>
      </c>
      <c r="I49">
        <f>IF(TbRegistroEntradas[[#This Row],[Data do Caixa Realizado]]="",0,MONTH(TbRegistroEntradas[[#This Row],[Data do Caixa Realizado]]))</f>
        <v>1</v>
      </c>
      <c r="J49">
        <f>IF(TbRegistroEntradas[[#This Row],[Data do Caixa Realizado]]="",0,YEAR(TbRegistroEntradas[[#This Row],[Data do Caixa Realizado]]))</f>
        <v>2018</v>
      </c>
    </row>
    <row r="50" spans="2:10" x14ac:dyDescent="0.25">
      <c r="B50" s="13">
        <v>43089</v>
      </c>
      <c r="C50" s="13">
        <v>43089</v>
      </c>
      <c r="D50" s="13">
        <v>43089</v>
      </c>
      <c r="E50" t="s">
        <v>27</v>
      </c>
      <c r="F50" t="s">
        <v>37</v>
      </c>
      <c r="G50" t="s">
        <v>108</v>
      </c>
      <c r="H50" s="16">
        <v>3721</v>
      </c>
      <c r="I50">
        <f>IF(TbRegistroEntradas[[#This Row],[Data do Caixa Realizado]]="",0,MONTH(TbRegistroEntradas[[#This Row],[Data do Caixa Realizado]]))</f>
        <v>12</v>
      </c>
      <c r="J50">
        <f>IF(TbRegistroEntradas[[#This Row],[Data do Caixa Realizado]]="",0,YEAR(TbRegistroEntradas[[#This Row],[Data do Caixa Realizado]]))</f>
        <v>2017</v>
      </c>
    </row>
    <row r="51" spans="2:10" hidden="1" x14ac:dyDescent="0.25">
      <c r="B51" s="13">
        <v>43133</v>
      </c>
      <c r="C51" s="13">
        <v>43091</v>
      </c>
      <c r="D51" s="13">
        <v>43133</v>
      </c>
      <c r="E51" t="s">
        <v>27</v>
      </c>
      <c r="F51" t="s">
        <v>34</v>
      </c>
      <c r="G51" t="s">
        <v>109</v>
      </c>
      <c r="H51" s="16">
        <v>3114</v>
      </c>
      <c r="I51">
        <f>IF(TbRegistroEntradas[[#This Row],[Data do Caixa Realizado]]="",0,MONTH(TbRegistroEntradas[[#This Row],[Data do Caixa Realizado]]))</f>
        <v>2</v>
      </c>
      <c r="J51">
        <f>IF(TbRegistroEntradas[[#This Row],[Data do Caixa Realizado]]="",0,YEAR(TbRegistroEntradas[[#This Row],[Data do Caixa Realizado]]))</f>
        <v>2018</v>
      </c>
    </row>
    <row r="52" spans="2:10" hidden="1" x14ac:dyDescent="0.25">
      <c r="B52" s="13">
        <v>43182</v>
      </c>
      <c r="C52" s="13">
        <v>43095</v>
      </c>
      <c r="D52" s="13">
        <v>43095</v>
      </c>
      <c r="E52" t="s">
        <v>27</v>
      </c>
      <c r="F52" t="s">
        <v>36</v>
      </c>
      <c r="G52" t="s">
        <v>110</v>
      </c>
      <c r="H52" s="16">
        <v>1436</v>
      </c>
      <c r="I52">
        <f>IF(TbRegistroEntradas[[#This Row],[Data do Caixa Realizado]]="",0,MONTH(TbRegistroEntradas[[#This Row],[Data do Caixa Realizado]]))</f>
        <v>3</v>
      </c>
      <c r="J52">
        <f>IF(TbRegistroEntradas[[#This Row],[Data do Caixa Realizado]]="",0,YEAR(TbRegistroEntradas[[#This Row],[Data do Caixa Realizado]]))</f>
        <v>2018</v>
      </c>
    </row>
    <row r="53" spans="2:10" hidden="1" x14ac:dyDescent="0.25">
      <c r="B53" s="13">
        <v>43101</v>
      </c>
      <c r="C53" s="13">
        <v>43099</v>
      </c>
      <c r="D53" s="13">
        <v>43101</v>
      </c>
      <c r="E53" t="s">
        <v>27</v>
      </c>
      <c r="F53" t="s">
        <v>36</v>
      </c>
      <c r="G53" t="s">
        <v>111</v>
      </c>
      <c r="H53" s="16">
        <v>3192</v>
      </c>
      <c r="I53">
        <f>IF(TbRegistroEntradas[[#This Row],[Data do Caixa Realizado]]="",0,MONTH(TbRegistroEntradas[[#This Row],[Data do Caixa Realizado]]))</f>
        <v>1</v>
      </c>
      <c r="J53">
        <f>IF(TbRegistroEntradas[[#This Row],[Data do Caixa Realizado]]="",0,YEAR(TbRegistroEntradas[[#This Row],[Data do Caixa Realizado]]))</f>
        <v>2018</v>
      </c>
    </row>
    <row r="54" spans="2:10" hidden="1" x14ac:dyDescent="0.25">
      <c r="B54" s="13">
        <v>43144</v>
      </c>
      <c r="C54" s="13">
        <v>43100</v>
      </c>
      <c r="D54" s="13">
        <v>43144</v>
      </c>
      <c r="E54" t="s">
        <v>27</v>
      </c>
      <c r="F54" t="s">
        <v>37</v>
      </c>
      <c r="G54" t="s">
        <v>112</v>
      </c>
      <c r="H54" s="16">
        <v>2687</v>
      </c>
      <c r="I54">
        <f>IF(TbRegistroEntradas[[#This Row],[Data do Caixa Realizado]]="",0,MONTH(TbRegistroEntradas[[#This Row],[Data do Caixa Realizado]]))</f>
        <v>2</v>
      </c>
      <c r="J54">
        <f>IF(TbRegistroEntradas[[#This Row],[Data do Caixa Realizado]]="",0,YEAR(TbRegistroEntradas[[#This Row],[Data do Caixa Realizado]]))</f>
        <v>2018</v>
      </c>
    </row>
    <row r="55" spans="2:10" hidden="1" x14ac:dyDescent="0.25">
      <c r="B55" s="13" t="s">
        <v>70</v>
      </c>
      <c r="C55" s="13">
        <v>43103</v>
      </c>
      <c r="D55" s="13">
        <v>43159</v>
      </c>
      <c r="E55" t="s">
        <v>27</v>
      </c>
      <c r="F55" t="s">
        <v>36</v>
      </c>
      <c r="G55" t="s">
        <v>113</v>
      </c>
      <c r="H55" s="16">
        <v>1561</v>
      </c>
      <c r="I55">
        <f>IF(TbRegistroEntradas[[#This Row],[Data do Caixa Realizado]]="",0,MONTH(TbRegistroEntradas[[#This Row],[Data do Caixa Realizado]]))</f>
        <v>0</v>
      </c>
      <c r="J55">
        <f>IF(TbRegistroEntradas[[#This Row],[Data do Caixa Realizado]]="",0,YEAR(TbRegistroEntradas[[#This Row],[Data do Caixa Realizado]]))</f>
        <v>0</v>
      </c>
    </row>
    <row r="56" spans="2:10" hidden="1" x14ac:dyDescent="0.25">
      <c r="B56" s="13">
        <v>43155</v>
      </c>
      <c r="C56" s="13">
        <v>43109</v>
      </c>
      <c r="D56" s="13">
        <v>43113</v>
      </c>
      <c r="E56" t="s">
        <v>27</v>
      </c>
      <c r="F56" t="s">
        <v>36</v>
      </c>
      <c r="G56" t="s">
        <v>114</v>
      </c>
      <c r="H56" s="16">
        <v>1573</v>
      </c>
      <c r="I56">
        <f>IF(TbRegistroEntradas[[#This Row],[Data do Caixa Realizado]]="",0,MONTH(TbRegistroEntradas[[#This Row],[Data do Caixa Realizado]]))</f>
        <v>2</v>
      </c>
      <c r="J56">
        <f>IF(TbRegistroEntradas[[#This Row],[Data do Caixa Realizado]]="",0,YEAR(TbRegistroEntradas[[#This Row],[Data do Caixa Realizado]]))</f>
        <v>2018</v>
      </c>
    </row>
    <row r="57" spans="2:10" hidden="1" x14ac:dyDescent="0.25">
      <c r="B57" s="13">
        <v>43117</v>
      </c>
      <c r="C57" s="13">
        <v>43117</v>
      </c>
      <c r="D57" s="13">
        <v>43117</v>
      </c>
      <c r="E57" t="s">
        <v>27</v>
      </c>
      <c r="F57" t="s">
        <v>36</v>
      </c>
      <c r="G57" t="s">
        <v>115</v>
      </c>
      <c r="H57" s="16">
        <v>1364</v>
      </c>
      <c r="I57">
        <f>IF(TbRegistroEntradas[[#This Row],[Data do Caixa Realizado]]="",0,MONTH(TbRegistroEntradas[[#This Row],[Data do Caixa Realizado]]))</f>
        <v>1</v>
      </c>
      <c r="J57">
        <f>IF(TbRegistroEntradas[[#This Row],[Data do Caixa Realizado]]="",0,YEAR(TbRegistroEntradas[[#This Row],[Data do Caixa Realizado]]))</f>
        <v>2018</v>
      </c>
    </row>
    <row r="58" spans="2:10" hidden="1" x14ac:dyDescent="0.25">
      <c r="B58" s="13">
        <v>43166</v>
      </c>
      <c r="C58" s="13">
        <v>43121</v>
      </c>
      <c r="D58" s="13">
        <v>43166</v>
      </c>
      <c r="E58" t="s">
        <v>27</v>
      </c>
      <c r="F58" t="s">
        <v>37</v>
      </c>
      <c r="G58" t="s">
        <v>116</v>
      </c>
      <c r="H58" s="16">
        <v>783</v>
      </c>
      <c r="I58">
        <f>IF(TbRegistroEntradas[[#This Row],[Data do Caixa Realizado]]="",0,MONTH(TbRegistroEntradas[[#This Row],[Data do Caixa Realizado]]))</f>
        <v>3</v>
      </c>
      <c r="J58">
        <f>IF(TbRegistroEntradas[[#This Row],[Data do Caixa Realizado]]="",0,YEAR(TbRegistroEntradas[[#This Row],[Data do Caixa Realizado]]))</f>
        <v>2018</v>
      </c>
    </row>
    <row r="59" spans="2:10" hidden="1" x14ac:dyDescent="0.25">
      <c r="B59" s="13">
        <v>43145</v>
      </c>
      <c r="C59" s="13">
        <v>43122</v>
      </c>
      <c r="D59" s="13">
        <v>43145</v>
      </c>
      <c r="E59" t="s">
        <v>27</v>
      </c>
      <c r="F59" t="s">
        <v>37</v>
      </c>
      <c r="G59" t="s">
        <v>117</v>
      </c>
      <c r="H59" s="16">
        <v>3928</v>
      </c>
      <c r="I59">
        <f>IF(TbRegistroEntradas[[#This Row],[Data do Caixa Realizado]]="",0,MONTH(TbRegistroEntradas[[#This Row],[Data do Caixa Realizado]]))</f>
        <v>2</v>
      </c>
      <c r="J59">
        <f>IF(TbRegistroEntradas[[#This Row],[Data do Caixa Realizado]]="",0,YEAR(TbRegistroEntradas[[#This Row],[Data do Caixa Realizado]]))</f>
        <v>2018</v>
      </c>
    </row>
    <row r="60" spans="2:10" hidden="1" x14ac:dyDescent="0.25">
      <c r="B60" s="13">
        <v>43142</v>
      </c>
      <c r="C60" s="13">
        <v>43124</v>
      </c>
      <c r="D60" s="13">
        <v>43142</v>
      </c>
      <c r="E60" t="s">
        <v>27</v>
      </c>
      <c r="F60" t="s">
        <v>34</v>
      </c>
      <c r="G60" t="s">
        <v>118</v>
      </c>
      <c r="H60" s="16">
        <v>3843</v>
      </c>
      <c r="I60">
        <f>IF(TbRegistroEntradas[[#This Row],[Data do Caixa Realizado]]="",0,MONTH(TbRegistroEntradas[[#This Row],[Data do Caixa Realizado]]))</f>
        <v>2</v>
      </c>
      <c r="J60">
        <f>IF(TbRegistroEntradas[[#This Row],[Data do Caixa Realizado]]="",0,YEAR(TbRegistroEntradas[[#This Row],[Data do Caixa Realizado]]))</f>
        <v>2018</v>
      </c>
    </row>
    <row r="61" spans="2:10" hidden="1" x14ac:dyDescent="0.25">
      <c r="B61" s="13">
        <v>43206</v>
      </c>
      <c r="C61" s="13">
        <v>43125</v>
      </c>
      <c r="D61" s="13">
        <v>43129</v>
      </c>
      <c r="E61" t="s">
        <v>27</v>
      </c>
      <c r="F61" t="s">
        <v>33</v>
      </c>
      <c r="G61" t="s">
        <v>119</v>
      </c>
      <c r="H61" s="16">
        <v>1864</v>
      </c>
      <c r="I61">
        <f>IF(TbRegistroEntradas[[#This Row],[Data do Caixa Realizado]]="",0,MONTH(TbRegistroEntradas[[#This Row],[Data do Caixa Realizado]]))</f>
        <v>4</v>
      </c>
      <c r="J61">
        <f>IF(TbRegistroEntradas[[#This Row],[Data do Caixa Realizado]]="",0,YEAR(TbRegistroEntradas[[#This Row],[Data do Caixa Realizado]]))</f>
        <v>2018</v>
      </c>
    </row>
    <row r="62" spans="2:10" hidden="1" x14ac:dyDescent="0.25">
      <c r="B62" s="13">
        <v>43137</v>
      </c>
      <c r="C62" s="13">
        <v>43128</v>
      </c>
      <c r="D62" s="13">
        <v>43128</v>
      </c>
      <c r="E62" t="s">
        <v>27</v>
      </c>
      <c r="F62" t="s">
        <v>36</v>
      </c>
      <c r="G62" t="s">
        <v>120</v>
      </c>
      <c r="H62" s="16">
        <v>1184</v>
      </c>
      <c r="I62">
        <f>IF(TbRegistroEntradas[[#This Row],[Data do Caixa Realizado]]="",0,MONTH(TbRegistroEntradas[[#This Row],[Data do Caixa Realizado]]))</f>
        <v>2</v>
      </c>
      <c r="J62">
        <f>IF(TbRegistroEntradas[[#This Row],[Data do Caixa Realizado]]="",0,YEAR(TbRegistroEntradas[[#This Row],[Data do Caixa Realizado]]))</f>
        <v>2018</v>
      </c>
    </row>
    <row r="63" spans="2:10" hidden="1" x14ac:dyDescent="0.25">
      <c r="B63" s="13">
        <v>43161</v>
      </c>
      <c r="C63" s="13">
        <v>43129</v>
      </c>
      <c r="D63" s="13">
        <v>43161</v>
      </c>
      <c r="E63" t="s">
        <v>27</v>
      </c>
      <c r="F63" t="s">
        <v>36</v>
      </c>
      <c r="G63" t="s">
        <v>121</v>
      </c>
      <c r="H63" s="16">
        <v>4055</v>
      </c>
      <c r="I63">
        <f>IF(TbRegistroEntradas[[#This Row],[Data do Caixa Realizado]]="",0,MONTH(TbRegistroEntradas[[#This Row],[Data do Caixa Realizado]]))</f>
        <v>3</v>
      </c>
      <c r="J63">
        <f>IF(TbRegistroEntradas[[#This Row],[Data do Caixa Realizado]]="",0,YEAR(TbRegistroEntradas[[#This Row],[Data do Caixa Realizado]]))</f>
        <v>2018</v>
      </c>
    </row>
    <row r="64" spans="2:10" hidden="1" x14ac:dyDescent="0.25">
      <c r="B64" s="13">
        <v>43178</v>
      </c>
      <c r="C64" s="13">
        <v>43130</v>
      </c>
      <c r="D64" s="13">
        <v>43178</v>
      </c>
      <c r="E64" t="s">
        <v>27</v>
      </c>
      <c r="F64" t="s">
        <v>36</v>
      </c>
      <c r="G64" t="s">
        <v>122</v>
      </c>
      <c r="H64" s="16">
        <v>427</v>
      </c>
      <c r="I64">
        <f>IF(TbRegistroEntradas[[#This Row],[Data do Caixa Realizado]]="",0,MONTH(TbRegistroEntradas[[#This Row],[Data do Caixa Realizado]]))</f>
        <v>3</v>
      </c>
      <c r="J64">
        <f>IF(TbRegistroEntradas[[#This Row],[Data do Caixa Realizado]]="",0,YEAR(TbRegistroEntradas[[#This Row],[Data do Caixa Realizado]]))</f>
        <v>2018</v>
      </c>
    </row>
    <row r="65" spans="2:10" hidden="1" x14ac:dyDescent="0.25">
      <c r="B65" s="13">
        <v>43138</v>
      </c>
      <c r="C65" s="13">
        <v>43133</v>
      </c>
      <c r="D65" s="13">
        <v>43138</v>
      </c>
      <c r="E65" t="s">
        <v>27</v>
      </c>
      <c r="F65" t="s">
        <v>35</v>
      </c>
      <c r="G65" t="s">
        <v>123</v>
      </c>
      <c r="H65" s="16">
        <v>460</v>
      </c>
      <c r="I65">
        <f>IF(TbRegistroEntradas[[#This Row],[Data do Caixa Realizado]]="",0,MONTH(TbRegistroEntradas[[#This Row],[Data do Caixa Realizado]]))</f>
        <v>2</v>
      </c>
      <c r="J65">
        <f>IF(TbRegistroEntradas[[#This Row],[Data do Caixa Realizado]]="",0,YEAR(TbRegistroEntradas[[#This Row],[Data do Caixa Realizado]]))</f>
        <v>2018</v>
      </c>
    </row>
    <row r="66" spans="2:10" hidden="1" x14ac:dyDescent="0.25">
      <c r="B66" s="13" t="s">
        <v>70</v>
      </c>
      <c r="C66" s="13">
        <v>43136</v>
      </c>
      <c r="D66" s="13">
        <v>43190</v>
      </c>
      <c r="E66" t="s">
        <v>27</v>
      </c>
      <c r="F66" t="s">
        <v>37</v>
      </c>
      <c r="G66" t="s">
        <v>124</v>
      </c>
      <c r="H66" s="16">
        <v>964</v>
      </c>
      <c r="I66">
        <f>IF(TbRegistroEntradas[[#This Row],[Data do Caixa Realizado]]="",0,MONTH(TbRegistroEntradas[[#This Row],[Data do Caixa Realizado]]))</f>
        <v>0</v>
      </c>
      <c r="J66">
        <f>IF(TbRegistroEntradas[[#This Row],[Data do Caixa Realizado]]="",0,YEAR(TbRegistroEntradas[[#This Row],[Data do Caixa Realizado]]))</f>
        <v>0</v>
      </c>
    </row>
    <row r="67" spans="2:10" hidden="1" x14ac:dyDescent="0.25">
      <c r="B67" s="13">
        <v>43145</v>
      </c>
      <c r="C67" s="13">
        <v>43140</v>
      </c>
      <c r="D67" s="13">
        <v>43145</v>
      </c>
      <c r="E67" t="s">
        <v>27</v>
      </c>
      <c r="F67" t="s">
        <v>36</v>
      </c>
      <c r="G67" t="s">
        <v>125</v>
      </c>
      <c r="H67" s="16">
        <v>3412</v>
      </c>
      <c r="I67">
        <f>IF(TbRegistroEntradas[[#This Row],[Data do Caixa Realizado]]="",0,MONTH(TbRegistroEntradas[[#This Row],[Data do Caixa Realizado]]))</f>
        <v>2</v>
      </c>
      <c r="J67">
        <f>IF(TbRegistroEntradas[[#This Row],[Data do Caixa Realizado]]="",0,YEAR(TbRegistroEntradas[[#This Row],[Data do Caixa Realizado]]))</f>
        <v>2018</v>
      </c>
    </row>
    <row r="68" spans="2:10" hidden="1" x14ac:dyDescent="0.25">
      <c r="B68" s="13">
        <v>43146</v>
      </c>
      <c r="C68" s="13">
        <v>43142</v>
      </c>
      <c r="D68" s="13">
        <v>43146</v>
      </c>
      <c r="E68" t="s">
        <v>27</v>
      </c>
      <c r="F68" t="s">
        <v>34</v>
      </c>
      <c r="G68" t="s">
        <v>126</v>
      </c>
      <c r="H68" s="16">
        <v>3095</v>
      </c>
      <c r="I68">
        <f>IF(TbRegistroEntradas[[#This Row],[Data do Caixa Realizado]]="",0,MONTH(TbRegistroEntradas[[#This Row],[Data do Caixa Realizado]]))</f>
        <v>2</v>
      </c>
      <c r="J68">
        <f>IF(TbRegistroEntradas[[#This Row],[Data do Caixa Realizado]]="",0,YEAR(TbRegistroEntradas[[#This Row],[Data do Caixa Realizado]]))</f>
        <v>2018</v>
      </c>
    </row>
    <row r="69" spans="2:10" hidden="1" x14ac:dyDescent="0.25">
      <c r="B69" s="13">
        <v>43193</v>
      </c>
      <c r="C69" s="13">
        <v>43148</v>
      </c>
      <c r="D69" s="13">
        <v>43193</v>
      </c>
      <c r="E69" t="s">
        <v>27</v>
      </c>
      <c r="F69" t="s">
        <v>35</v>
      </c>
      <c r="G69" t="s">
        <v>127</v>
      </c>
      <c r="H69" s="16">
        <v>1532</v>
      </c>
      <c r="I69">
        <f>IF(TbRegistroEntradas[[#This Row],[Data do Caixa Realizado]]="",0,MONTH(TbRegistroEntradas[[#This Row],[Data do Caixa Realizado]]))</f>
        <v>4</v>
      </c>
      <c r="J69">
        <f>IF(TbRegistroEntradas[[#This Row],[Data do Caixa Realizado]]="",0,YEAR(TbRegistroEntradas[[#This Row],[Data do Caixa Realizado]]))</f>
        <v>2018</v>
      </c>
    </row>
    <row r="70" spans="2:10" hidden="1" x14ac:dyDescent="0.25">
      <c r="B70" s="13">
        <v>43193</v>
      </c>
      <c r="C70" s="13">
        <v>43151</v>
      </c>
      <c r="D70" s="13">
        <v>43193</v>
      </c>
      <c r="E70" t="s">
        <v>27</v>
      </c>
      <c r="F70" t="s">
        <v>35</v>
      </c>
      <c r="G70" t="s">
        <v>128</v>
      </c>
      <c r="H70" s="16">
        <v>3726</v>
      </c>
      <c r="I70">
        <f>IF(TbRegistroEntradas[[#This Row],[Data do Caixa Realizado]]="",0,MONTH(TbRegistroEntradas[[#This Row],[Data do Caixa Realizado]]))</f>
        <v>4</v>
      </c>
      <c r="J70">
        <f>IF(TbRegistroEntradas[[#This Row],[Data do Caixa Realizado]]="",0,YEAR(TbRegistroEntradas[[#This Row],[Data do Caixa Realizado]]))</f>
        <v>2018</v>
      </c>
    </row>
    <row r="71" spans="2:10" hidden="1" x14ac:dyDescent="0.25">
      <c r="B71" s="13">
        <v>43154</v>
      </c>
      <c r="C71" s="13">
        <v>43154</v>
      </c>
      <c r="D71" s="13">
        <v>43154</v>
      </c>
      <c r="E71" t="s">
        <v>27</v>
      </c>
      <c r="F71" t="s">
        <v>36</v>
      </c>
      <c r="G71" t="s">
        <v>129</v>
      </c>
      <c r="H71" s="16">
        <v>4322</v>
      </c>
      <c r="I71">
        <f>IF(TbRegistroEntradas[[#This Row],[Data do Caixa Realizado]]="",0,MONTH(TbRegistroEntradas[[#This Row],[Data do Caixa Realizado]]))</f>
        <v>2</v>
      </c>
      <c r="J71">
        <f>IF(TbRegistroEntradas[[#This Row],[Data do Caixa Realizado]]="",0,YEAR(TbRegistroEntradas[[#This Row],[Data do Caixa Realizado]]))</f>
        <v>2018</v>
      </c>
    </row>
    <row r="72" spans="2:10" hidden="1" x14ac:dyDescent="0.25">
      <c r="B72" s="13" t="s">
        <v>70</v>
      </c>
      <c r="C72" s="13">
        <v>43156</v>
      </c>
      <c r="D72" s="13">
        <v>43205</v>
      </c>
      <c r="E72" t="s">
        <v>27</v>
      </c>
      <c r="F72" t="s">
        <v>34</v>
      </c>
      <c r="G72" t="s">
        <v>130</v>
      </c>
      <c r="H72" s="16">
        <v>3998</v>
      </c>
      <c r="I72">
        <f>IF(TbRegistroEntradas[[#This Row],[Data do Caixa Realizado]]="",0,MONTH(TbRegistroEntradas[[#This Row],[Data do Caixa Realizado]]))</f>
        <v>0</v>
      </c>
      <c r="J72">
        <f>IF(TbRegistroEntradas[[#This Row],[Data do Caixa Realizado]]="",0,YEAR(TbRegistroEntradas[[#This Row],[Data do Caixa Realizado]]))</f>
        <v>0</v>
      </c>
    </row>
    <row r="73" spans="2:10" hidden="1" x14ac:dyDescent="0.25">
      <c r="B73" s="13">
        <v>43246</v>
      </c>
      <c r="C73" s="13">
        <v>43158</v>
      </c>
      <c r="D73" s="13">
        <v>43188</v>
      </c>
      <c r="E73" t="s">
        <v>27</v>
      </c>
      <c r="F73" t="s">
        <v>34</v>
      </c>
      <c r="G73" t="s">
        <v>131</v>
      </c>
      <c r="H73" s="16">
        <v>3252</v>
      </c>
      <c r="I73">
        <f>IF(TbRegistroEntradas[[#This Row],[Data do Caixa Realizado]]="",0,MONTH(TbRegistroEntradas[[#This Row],[Data do Caixa Realizado]]))</f>
        <v>5</v>
      </c>
      <c r="J73">
        <f>IF(TbRegistroEntradas[[#This Row],[Data do Caixa Realizado]]="",0,YEAR(TbRegistroEntradas[[#This Row],[Data do Caixa Realizado]]))</f>
        <v>2018</v>
      </c>
    </row>
    <row r="74" spans="2:10" hidden="1" x14ac:dyDescent="0.25">
      <c r="B74" s="13">
        <v>43169</v>
      </c>
      <c r="C74" s="13">
        <v>43160</v>
      </c>
      <c r="D74" s="13">
        <v>43169</v>
      </c>
      <c r="E74" t="s">
        <v>27</v>
      </c>
      <c r="F74" t="s">
        <v>35</v>
      </c>
      <c r="G74" t="s">
        <v>132</v>
      </c>
      <c r="H74" s="16">
        <v>3701</v>
      </c>
      <c r="I74">
        <f>IF(TbRegistroEntradas[[#This Row],[Data do Caixa Realizado]]="",0,MONTH(TbRegistroEntradas[[#This Row],[Data do Caixa Realizado]]))</f>
        <v>3</v>
      </c>
      <c r="J74">
        <f>IF(TbRegistroEntradas[[#This Row],[Data do Caixa Realizado]]="",0,YEAR(TbRegistroEntradas[[#This Row],[Data do Caixa Realizado]]))</f>
        <v>2018</v>
      </c>
    </row>
    <row r="75" spans="2:10" hidden="1" x14ac:dyDescent="0.25">
      <c r="B75" s="13" t="s">
        <v>70</v>
      </c>
      <c r="C75" s="13">
        <v>43162</v>
      </c>
      <c r="D75" s="13">
        <v>43202</v>
      </c>
      <c r="E75" t="s">
        <v>27</v>
      </c>
      <c r="F75" t="s">
        <v>37</v>
      </c>
      <c r="G75" t="s">
        <v>133</v>
      </c>
      <c r="H75" s="16">
        <v>1977</v>
      </c>
      <c r="I75">
        <f>IF(TbRegistroEntradas[[#This Row],[Data do Caixa Realizado]]="",0,MONTH(TbRegistroEntradas[[#This Row],[Data do Caixa Realizado]]))</f>
        <v>0</v>
      </c>
      <c r="J75">
        <f>IF(TbRegistroEntradas[[#This Row],[Data do Caixa Realizado]]="",0,YEAR(TbRegistroEntradas[[#This Row],[Data do Caixa Realizado]]))</f>
        <v>0</v>
      </c>
    </row>
    <row r="76" spans="2:10" hidden="1" x14ac:dyDescent="0.25">
      <c r="B76" s="13">
        <v>43287</v>
      </c>
      <c r="C76" s="13">
        <v>43163</v>
      </c>
      <c r="D76" s="13">
        <v>43211</v>
      </c>
      <c r="E76" t="s">
        <v>27</v>
      </c>
      <c r="F76" t="s">
        <v>35</v>
      </c>
      <c r="G76" t="s">
        <v>134</v>
      </c>
      <c r="H76" s="16">
        <v>1217</v>
      </c>
      <c r="I76">
        <f>IF(TbRegistroEntradas[[#This Row],[Data do Caixa Realizado]]="",0,MONTH(TbRegistroEntradas[[#This Row],[Data do Caixa Realizado]]))</f>
        <v>7</v>
      </c>
      <c r="J76">
        <f>IF(TbRegistroEntradas[[#This Row],[Data do Caixa Realizado]]="",0,YEAR(TbRegistroEntradas[[#This Row],[Data do Caixa Realizado]]))</f>
        <v>2018</v>
      </c>
    </row>
    <row r="77" spans="2:10" hidden="1" x14ac:dyDescent="0.25">
      <c r="B77" s="13">
        <v>43203</v>
      </c>
      <c r="C77" s="13">
        <v>43166</v>
      </c>
      <c r="D77" s="13">
        <v>43203</v>
      </c>
      <c r="E77" t="s">
        <v>27</v>
      </c>
      <c r="F77" t="s">
        <v>33</v>
      </c>
      <c r="G77" t="s">
        <v>135</v>
      </c>
      <c r="H77" s="16">
        <v>1660</v>
      </c>
      <c r="I77">
        <f>IF(TbRegistroEntradas[[#This Row],[Data do Caixa Realizado]]="",0,MONTH(TbRegistroEntradas[[#This Row],[Data do Caixa Realizado]]))</f>
        <v>4</v>
      </c>
      <c r="J77">
        <f>IF(TbRegistroEntradas[[#This Row],[Data do Caixa Realizado]]="",0,YEAR(TbRegistroEntradas[[#This Row],[Data do Caixa Realizado]]))</f>
        <v>2018</v>
      </c>
    </row>
    <row r="78" spans="2:10" hidden="1" x14ac:dyDescent="0.25">
      <c r="B78" s="13">
        <v>43169</v>
      </c>
      <c r="C78" s="13">
        <v>43169</v>
      </c>
      <c r="D78" s="13">
        <v>43169</v>
      </c>
      <c r="E78" t="s">
        <v>27</v>
      </c>
      <c r="F78" t="s">
        <v>33</v>
      </c>
      <c r="G78" t="s">
        <v>136</v>
      </c>
      <c r="H78" s="16">
        <v>837</v>
      </c>
      <c r="I78">
        <f>IF(TbRegistroEntradas[[#This Row],[Data do Caixa Realizado]]="",0,MONTH(TbRegistroEntradas[[#This Row],[Data do Caixa Realizado]]))</f>
        <v>3</v>
      </c>
      <c r="J78">
        <f>IF(TbRegistroEntradas[[#This Row],[Data do Caixa Realizado]]="",0,YEAR(TbRegistroEntradas[[#This Row],[Data do Caixa Realizado]]))</f>
        <v>2018</v>
      </c>
    </row>
    <row r="79" spans="2:10" hidden="1" x14ac:dyDescent="0.25">
      <c r="B79" s="13">
        <v>43274</v>
      </c>
      <c r="C79" s="13">
        <v>43171</v>
      </c>
      <c r="D79" s="13">
        <v>43200</v>
      </c>
      <c r="E79" t="s">
        <v>27</v>
      </c>
      <c r="F79" t="s">
        <v>36</v>
      </c>
      <c r="G79" t="s">
        <v>137</v>
      </c>
      <c r="H79" s="16">
        <v>1838</v>
      </c>
      <c r="I79">
        <f>IF(TbRegistroEntradas[[#This Row],[Data do Caixa Realizado]]="",0,MONTH(TbRegistroEntradas[[#This Row],[Data do Caixa Realizado]]))</f>
        <v>6</v>
      </c>
      <c r="J79">
        <f>IF(TbRegistroEntradas[[#This Row],[Data do Caixa Realizado]]="",0,YEAR(TbRegistroEntradas[[#This Row],[Data do Caixa Realizado]]))</f>
        <v>2018</v>
      </c>
    </row>
    <row r="80" spans="2:10" hidden="1" x14ac:dyDescent="0.25">
      <c r="B80" s="13">
        <v>43176</v>
      </c>
      <c r="C80" s="13">
        <v>43176</v>
      </c>
      <c r="D80" s="13">
        <v>43176</v>
      </c>
      <c r="E80" t="s">
        <v>27</v>
      </c>
      <c r="F80" t="s">
        <v>37</v>
      </c>
      <c r="G80" t="s">
        <v>138</v>
      </c>
      <c r="H80" s="16">
        <v>4471</v>
      </c>
      <c r="I80">
        <f>IF(TbRegistroEntradas[[#This Row],[Data do Caixa Realizado]]="",0,MONTH(TbRegistroEntradas[[#This Row],[Data do Caixa Realizado]]))</f>
        <v>3</v>
      </c>
      <c r="J80">
        <f>IF(TbRegistroEntradas[[#This Row],[Data do Caixa Realizado]]="",0,YEAR(TbRegistroEntradas[[#This Row],[Data do Caixa Realizado]]))</f>
        <v>2018</v>
      </c>
    </row>
    <row r="81" spans="2:10" hidden="1" x14ac:dyDescent="0.25">
      <c r="B81" s="13">
        <v>43177</v>
      </c>
      <c r="C81" s="13">
        <v>43177</v>
      </c>
      <c r="D81" s="13">
        <v>43177</v>
      </c>
      <c r="E81" t="s">
        <v>27</v>
      </c>
      <c r="F81" t="s">
        <v>36</v>
      </c>
      <c r="G81" t="s">
        <v>139</v>
      </c>
      <c r="H81" s="16">
        <v>3540</v>
      </c>
      <c r="I81">
        <f>IF(TbRegistroEntradas[[#This Row],[Data do Caixa Realizado]]="",0,MONTH(TbRegistroEntradas[[#This Row],[Data do Caixa Realizado]]))</f>
        <v>3</v>
      </c>
      <c r="J81">
        <f>IF(TbRegistroEntradas[[#This Row],[Data do Caixa Realizado]]="",0,YEAR(TbRegistroEntradas[[#This Row],[Data do Caixa Realizado]]))</f>
        <v>2018</v>
      </c>
    </row>
    <row r="82" spans="2:10" hidden="1" x14ac:dyDescent="0.25">
      <c r="B82" s="13">
        <v>43225</v>
      </c>
      <c r="C82" s="13">
        <v>43180</v>
      </c>
      <c r="D82" s="13">
        <v>43180</v>
      </c>
      <c r="E82" t="s">
        <v>27</v>
      </c>
      <c r="F82" t="s">
        <v>36</v>
      </c>
      <c r="G82" t="s">
        <v>140</v>
      </c>
      <c r="H82" s="16">
        <v>4606</v>
      </c>
      <c r="I82">
        <f>IF(TbRegistroEntradas[[#This Row],[Data do Caixa Realizado]]="",0,MONTH(TbRegistroEntradas[[#This Row],[Data do Caixa Realizado]]))</f>
        <v>5</v>
      </c>
      <c r="J82">
        <f>IF(TbRegistroEntradas[[#This Row],[Data do Caixa Realizado]]="",0,YEAR(TbRegistroEntradas[[#This Row],[Data do Caixa Realizado]]))</f>
        <v>2018</v>
      </c>
    </row>
    <row r="83" spans="2:10" hidden="1" x14ac:dyDescent="0.25">
      <c r="B83" s="13">
        <v>43199</v>
      </c>
      <c r="C83" s="13">
        <v>43182</v>
      </c>
      <c r="D83" s="13">
        <v>43199</v>
      </c>
      <c r="E83" t="s">
        <v>27</v>
      </c>
      <c r="F83" t="s">
        <v>34</v>
      </c>
      <c r="G83" t="s">
        <v>141</v>
      </c>
      <c r="H83" s="16">
        <v>2388</v>
      </c>
      <c r="I83">
        <f>IF(TbRegistroEntradas[[#This Row],[Data do Caixa Realizado]]="",0,MONTH(TbRegistroEntradas[[#This Row],[Data do Caixa Realizado]]))</f>
        <v>4</v>
      </c>
      <c r="J83">
        <f>IF(TbRegistroEntradas[[#This Row],[Data do Caixa Realizado]]="",0,YEAR(TbRegistroEntradas[[#This Row],[Data do Caixa Realizado]]))</f>
        <v>2018</v>
      </c>
    </row>
    <row r="84" spans="2:10" hidden="1" x14ac:dyDescent="0.25">
      <c r="B84" s="13">
        <v>43187</v>
      </c>
      <c r="C84" s="13">
        <v>43184</v>
      </c>
      <c r="D84" s="13">
        <v>43187</v>
      </c>
      <c r="E84" t="s">
        <v>27</v>
      </c>
      <c r="F84" t="s">
        <v>33</v>
      </c>
      <c r="G84" t="s">
        <v>142</v>
      </c>
      <c r="H84" s="16">
        <v>2303</v>
      </c>
      <c r="I84">
        <f>IF(TbRegistroEntradas[[#This Row],[Data do Caixa Realizado]]="",0,MONTH(TbRegistroEntradas[[#This Row],[Data do Caixa Realizado]]))</f>
        <v>3</v>
      </c>
      <c r="J84">
        <f>IF(TbRegistroEntradas[[#This Row],[Data do Caixa Realizado]]="",0,YEAR(TbRegistroEntradas[[#This Row],[Data do Caixa Realizado]]))</f>
        <v>2018</v>
      </c>
    </row>
    <row r="85" spans="2:10" hidden="1" x14ac:dyDescent="0.25">
      <c r="B85" s="13">
        <v>43257</v>
      </c>
      <c r="C85" s="13">
        <v>43187</v>
      </c>
      <c r="D85" s="13">
        <v>43205</v>
      </c>
      <c r="E85" t="s">
        <v>27</v>
      </c>
      <c r="F85" t="s">
        <v>37</v>
      </c>
      <c r="G85" t="s">
        <v>143</v>
      </c>
      <c r="H85" s="16">
        <v>1662</v>
      </c>
      <c r="I85">
        <f>IF(TbRegistroEntradas[[#This Row],[Data do Caixa Realizado]]="",0,MONTH(TbRegistroEntradas[[#This Row],[Data do Caixa Realizado]]))</f>
        <v>6</v>
      </c>
      <c r="J85">
        <f>IF(TbRegistroEntradas[[#This Row],[Data do Caixa Realizado]]="",0,YEAR(TbRegistroEntradas[[#This Row],[Data do Caixa Realizado]]))</f>
        <v>2018</v>
      </c>
    </row>
    <row r="86" spans="2:10" hidden="1" x14ac:dyDescent="0.25">
      <c r="B86" s="13">
        <v>43214</v>
      </c>
      <c r="C86" s="13">
        <v>43189</v>
      </c>
      <c r="D86" s="13">
        <v>43189</v>
      </c>
      <c r="E86" t="s">
        <v>27</v>
      </c>
      <c r="F86" t="s">
        <v>34</v>
      </c>
      <c r="G86" t="s">
        <v>144</v>
      </c>
      <c r="H86" s="16">
        <v>3241</v>
      </c>
      <c r="I86">
        <f>IF(TbRegistroEntradas[[#This Row],[Data do Caixa Realizado]]="",0,MONTH(TbRegistroEntradas[[#This Row],[Data do Caixa Realizado]]))</f>
        <v>4</v>
      </c>
      <c r="J86">
        <f>IF(TbRegistroEntradas[[#This Row],[Data do Caixa Realizado]]="",0,YEAR(TbRegistroEntradas[[#This Row],[Data do Caixa Realizado]]))</f>
        <v>2018</v>
      </c>
    </row>
    <row r="87" spans="2:10" hidden="1" x14ac:dyDescent="0.25">
      <c r="B87" s="13">
        <v>43306</v>
      </c>
      <c r="C87" s="13">
        <v>43190</v>
      </c>
      <c r="D87" s="13">
        <v>43228</v>
      </c>
      <c r="E87" t="s">
        <v>27</v>
      </c>
      <c r="F87" t="s">
        <v>37</v>
      </c>
      <c r="G87" t="s">
        <v>145</v>
      </c>
      <c r="H87" s="16">
        <v>4017</v>
      </c>
      <c r="I87">
        <f>IF(TbRegistroEntradas[[#This Row],[Data do Caixa Realizado]]="",0,MONTH(TbRegistroEntradas[[#This Row],[Data do Caixa Realizado]]))</f>
        <v>7</v>
      </c>
      <c r="J87">
        <f>IF(TbRegistroEntradas[[#This Row],[Data do Caixa Realizado]]="",0,YEAR(TbRegistroEntradas[[#This Row],[Data do Caixa Realizado]]))</f>
        <v>2018</v>
      </c>
    </row>
    <row r="88" spans="2:10" hidden="1" x14ac:dyDescent="0.25">
      <c r="B88" s="13">
        <v>43193</v>
      </c>
      <c r="C88" s="13">
        <v>43193</v>
      </c>
      <c r="D88" s="13">
        <v>43193</v>
      </c>
      <c r="E88" t="s">
        <v>27</v>
      </c>
      <c r="F88" t="s">
        <v>36</v>
      </c>
      <c r="G88" t="s">
        <v>146</v>
      </c>
      <c r="H88" s="16">
        <v>3586</v>
      </c>
      <c r="I88">
        <f>IF(TbRegistroEntradas[[#This Row],[Data do Caixa Realizado]]="",0,MONTH(TbRegistroEntradas[[#This Row],[Data do Caixa Realizado]]))</f>
        <v>4</v>
      </c>
      <c r="J88">
        <f>IF(TbRegistroEntradas[[#This Row],[Data do Caixa Realizado]]="",0,YEAR(TbRegistroEntradas[[#This Row],[Data do Caixa Realizado]]))</f>
        <v>2018</v>
      </c>
    </row>
    <row r="89" spans="2:10" hidden="1" x14ac:dyDescent="0.25">
      <c r="B89" s="13">
        <v>43196</v>
      </c>
      <c r="C89" s="13">
        <v>43196</v>
      </c>
      <c r="D89" s="13">
        <v>43196</v>
      </c>
      <c r="E89" t="s">
        <v>27</v>
      </c>
      <c r="F89" t="s">
        <v>34</v>
      </c>
      <c r="G89" t="s">
        <v>147</v>
      </c>
      <c r="H89" s="16">
        <v>4467</v>
      </c>
      <c r="I89">
        <f>IF(TbRegistroEntradas[[#This Row],[Data do Caixa Realizado]]="",0,MONTH(TbRegistroEntradas[[#This Row],[Data do Caixa Realizado]]))</f>
        <v>4</v>
      </c>
      <c r="J89">
        <f>IF(TbRegistroEntradas[[#This Row],[Data do Caixa Realizado]]="",0,YEAR(TbRegistroEntradas[[#This Row],[Data do Caixa Realizado]]))</f>
        <v>2018</v>
      </c>
    </row>
    <row r="90" spans="2:10" hidden="1" x14ac:dyDescent="0.25">
      <c r="B90" s="13">
        <v>43251</v>
      </c>
      <c r="C90" s="13">
        <v>43199</v>
      </c>
      <c r="D90" s="13">
        <v>43251</v>
      </c>
      <c r="E90" t="s">
        <v>27</v>
      </c>
      <c r="F90" t="s">
        <v>36</v>
      </c>
      <c r="G90" t="s">
        <v>148</v>
      </c>
      <c r="H90" s="16">
        <v>4262</v>
      </c>
      <c r="I90">
        <f>IF(TbRegistroEntradas[[#This Row],[Data do Caixa Realizado]]="",0,MONTH(TbRegistroEntradas[[#This Row],[Data do Caixa Realizado]]))</f>
        <v>5</v>
      </c>
      <c r="J90">
        <f>IF(TbRegistroEntradas[[#This Row],[Data do Caixa Realizado]]="",0,YEAR(TbRegistroEntradas[[#This Row],[Data do Caixa Realizado]]))</f>
        <v>2018</v>
      </c>
    </row>
    <row r="91" spans="2:10" hidden="1" x14ac:dyDescent="0.25">
      <c r="B91" s="13" t="s">
        <v>70</v>
      </c>
      <c r="C91" s="13">
        <v>43201</v>
      </c>
      <c r="D91" s="13">
        <v>43260</v>
      </c>
      <c r="E91" t="s">
        <v>27</v>
      </c>
      <c r="F91" t="s">
        <v>36</v>
      </c>
      <c r="G91" t="s">
        <v>149</v>
      </c>
      <c r="H91" s="16">
        <v>2593</v>
      </c>
      <c r="I91">
        <f>IF(TbRegistroEntradas[[#This Row],[Data do Caixa Realizado]]="",0,MONTH(TbRegistroEntradas[[#This Row],[Data do Caixa Realizado]]))</f>
        <v>0</v>
      </c>
      <c r="J91">
        <f>IF(TbRegistroEntradas[[#This Row],[Data do Caixa Realizado]]="",0,YEAR(TbRegistroEntradas[[#This Row],[Data do Caixa Realizado]]))</f>
        <v>0</v>
      </c>
    </row>
    <row r="92" spans="2:10" hidden="1" x14ac:dyDescent="0.25">
      <c r="B92" s="13">
        <v>43224</v>
      </c>
      <c r="C92" s="13">
        <v>43204</v>
      </c>
      <c r="D92" s="13">
        <v>43224</v>
      </c>
      <c r="E92" t="s">
        <v>27</v>
      </c>
      <c r="F92" t="s">
        <v>36</v>
      </c>
      <c r="G92" t="s">
        <v>150</v>
      </c>
      <c r="H92" s="16">
        <v>1885</v>
      </c>
      <c r="I92">
        <f>IF(TbRegistroEntradas[[#This Row],[Data do Caixa Realizado]]="",0,MONTH(TbRegistroEntradas[[#This Row],[Data do Caixa Realizado]]))</f>
        <v>5</v>
      </c>
      <c r="J92">
        <f>IF(TbRegistroEntradas[[#This Row],[Data do Caixa Realizado]]="",0,YEAR(TbRegistroEntradas[[#This Row],[Data do Caixa Realizado]]))</f>
        <v>2018</v>
      </c>
    </row>
    <row r="93" spans="2:10" hidden="1" x14ac:dyDescent="0.25">
      <c r="B93" s="13">
        <v>43295</v>
      </c>
      <c r="C93" s="13">
        <v>43209</v>
      </c>
      <c r="D93" s="13">
        <v>43209</v>
      </c>
      <c r="E93" t="s">
        <v>27</v>
      </c>
      <c r="F93" t="s">
        <v>36</v>
      </c>
      <c r="G93" t="s">
        <v>151</v>
      </c>
      <c r="H93" s="16">
        <v>2224</v>
      </c>
      <c r="I93">
        <f>IF(TbRegistroEntradas[[#This Row],[Data do Caixa Realizado]]="",0,MONTH(TbRegistroEntradas[[#This Row],[Data do Caixa Realizado]]))</f>
        <v>7</v>
      </c>
      <c r="J93">
        <f>IF(TbRegistroEntradas[[#This Row],[Data do Caixa Realizado]]="",0,YEAR(TbRegistroEntradas[[#This Row],[Data do Caixa Realizado]]))</f>
        <v>2018</v>
      </c>
    </row>
    <row r="94" spans="2:10" hidden="1" x14ac:dyDescent="0.25">
      <c r="B94" s="13">
        <v>43234</v>
      </c>
      <c r="C94" s="13">
        <v>43213</v>
      </c>
      <c r="D94" s="13">
        <v>43234</v>
      </c>
      <c r="E94" t="s">
        <v>27</v>
      </c>
      <c r="F94" t="s">
        <v>36</v>
      </c>
      <c r="G94" t="s">
        <v>152</v>
      </c>
      <c r="H94" s="16">
        <v>3223</v>
      </c>
      <c r="I94">
        <f>IF(TbRegistroEntradas[[#This Row],[Data do Caixa Realizado]]="",0,MONTH(TbRegistroEntradas[[#This Row],[Data do Caixa Realizado]]))</f>
        <v>5</v>
      </c>
      <c r="J94">
        <f>IF(TbRegistroEntradas[[#This Row],[Data do Caixa Realizado]]="",0,YEAR(TbRegistroEntradas[[#This Row],[Data do Caixa Realizado]]))</f>
        <v>2018</v>
      </c>
    </row>
    <row r="95" spans="2:10" hidden="1" x14ac:dyDescent="0.25">
      <c r="B95" s="13">
        <v>43216</v>
      </c>
      <c r="C95" s="13">
        <v>43216</v>
      </c>
      <c r="D95" s="13">
        <v>43216</v>
      </c>
      <c r="E95" t="s">
        <v>27</v>
      </c>
      <c r="F95" t="s">
        <v>35</v>
      </c>
      <c r="G95" t="s">
        <v>153</v>
      </c>
      <c r="H95" s="16">
        <v>3446</v>
      </c>
      <c r="I95">
        <f>IF(TbRegistroEntradas[[#This Row],[Data do Caixa Realizado]]="",0,MONTH(TbRegistroEntradas[[#This Row],[Data do Caixa Realizado]]))</f>
        <v>4</v>
      </c>
      <c r="J95">
        <f>IF(TbRegistroEntradas[[#This Row],[Data do Caixa Realizado]]="",0,YEAR(TbRegistroEntradas[[#This Row],[Data do Caixa Realizado]]))</f>
        <v>2018</v>
      </c>
    </row>
    <row r="96" spans="2:10" hidden="1" x14ac:dyDescent="0.25">
      <c r="B96" s="13">
        <v>43226</v>
      </c>
      <c r="C96" s="13">
        <v>43220</v>
      </c>
      <c r="D96" s="13">
        <v>43220</v>
      </c>
      <c r="E96" t="s">
        <v>27</v>
      </c>
      <c r="F96" t="s">
        <v>36</v>
      </c>
      <c r="G96" t="s">
        <v>154</v>
      </c>
      <c r="H96" s="16">
        <v>4540</v>
      </c>
      <c r="I96">
        <f>IF(TbRegistroEntradas[[#This Row],[Data do Caixa Realizado]]="",0,MONTH(TbRegistroEntradas[[#This Row],[Data do Caixa Realizado]]))</f>
        <v>5</v>
      </c>
      <c r="J96">
        <f>IF(TbRegistroEntradas[[#This Row],[Data do Caixa Realizado]]="",0,YEAR(TbRegistroEntradas[[#This Row],[Data do Caixa Realizado]]))</f>
        <v>2018</v>
      </c>
    </row>
    <row r="97" spans="2:10" hidden="1" x14ac:dyDescent="0.25">
      <c r="B97" s="13">
        <v>43283</v>
      </c>
      <c r="C97" s="13">
        <v>43228</v>
      </c>
      <c r="D97" s="13">
        <v>43283</v>
      </c>
      <c r="E97" t="s">
        <v>27</v>
      </c>
      <c r="F97" t="s">
        <v>37</v>
      </c>
      <c r="G97" t="s">
        <v>155</v>
      </c>
      <c r="H97" s="16">
        <v>3862</v>
      </c>
      <c r="I97">
        <f>IF(TbRegistroEntradas[[#This Row],[Data do Caixa Realizado]]="",0,MONTH(TbRegistroEntradas[[#This Row],[Data do Caixa Realizado]]))</f>
        <v>7</v>
      </c>
      <c r="J97">
        <f>IF(TbRegistroEntradas[[#This Row],[Data do Caixa Realizado]]="",0,YEAR(TbRegistroEntradas[[#This Row],[Data do Caixa Realizado]]))</f>
        <v>2018</v>
      </c>
    </row>
    <row r="98" spans="2:10" hidden="1" x14ac:dyDescent="0.25">
      <c r="B98" s="13">
        <v>43311</v>
      </c>
      <c r="C98" s="13">
        <v>43231</v>
      </c>
      <c r="D98" s="13">
        <v>43279</v>
      </c>
      <c r="E98" t="s">
        <v>27</v>
      </c>
      <c r="F98" t="s">
        <v>35</v>
      </c>
      <c r="G98" t="s">
        <v>156</v>
      </c>
      <c r="H98" s="16">
        <v>611</v>
      </c>
      <c r="I98">
        <f>IF(TbRegistroEntradas[[#This Row],[Data do Caixa Realizado]]="",0,MONTH(TbRegistroEntradas[[#This Row],[Data do Caixa Realizado]]))</f>
        <v>7</v>
      </c>
      <c r="J98">
        <f>IF(TbRegistroEntradas[[#This Row],[Data do Caixa Realizado]]="",0,YEAR(TbRegistroEntradas[[#This Row],[Data do Caixa Realizado]]))</f>
        <v>2018</v>
      </c>
    </row>
    <row r="99" spans="2:10" hidden="1" x14ac:dyDescent="0.25">
      <c r="B99" s="13">
        <v>43233</v>
      </c>
      <c r="C99" s="13">
        <v>43233</v>
      </c>
      <c r="D99" s="13">
        <v>43233</v>
      </c>
      <c r="E99" t="s">
        <v>27</v>
      </c>
      <c r="F99" t="s">
        <v>33</v>
      </c>
      <c r="G99" t="s">
        <v>157</v>
      </c>
      <c r="H99" s="16">
        <v>1486</v>
      </c>
      <c r="I99">
        <f>IF(TbRegistroEntradas[[#This Row],[Data do Caixa Realizado]]="",0,MONTH(TbRegistroEntradas[[#This Row],[Data do Caixa Realizado]]))</f>
        <v>5</v>
      </c>
      <c r="J99">
        <f>IF(TbRegistroEntradas[[#This Row],[Data do Caixa Realizado]]="",0,YEAR(TbRegistroEntradas[[#This Row],[Data do Caixa Realizado]]))</f>
        <v>2018</v>
      </c>
    </row>
    <row r="100" spans="2:10" hidden="1" x14ac:dyDescent="0.25">
      <c r="B100" s="13">
        <v>43252</v>
      </c>
      <c r="C100" s="13">
        <v>43241</v>
      </c>
      <c r="D100" s="13">
        <v>43252</v>
      </c>
      <c r="E100" t="s">
        <v>27</v>
      </c>
      <c r="F100" t="s">
        <v>36</v>
      </c>
      <c r="G100" t="s">
        <v>158</v>
      </c>
      <c r="H100" s="16">
        <v>4850</v>
      </c>
      <c r="I100">
        <f>IF(TbRegistroEntradas[[#This Row],[Data do Caixa Realizado]]="",0,MONTH(TbRegistroEntradas[[#This Row],[Data do Caixa Realizado]]))</f>
        <v>6</v>
      </c>
      <c r="J100">
        <f>IF(TbRegistroEntradas[[#This Row],[Data do Caixa Realizado]]="",0,YEAR(TbRegistroEntradas[[#This Row],[Data do Caixa Realizado]]))</f>
        <v>2018</v>
      </c>
    </row>
    <row r="101" spans="2:10" hidden="1" x14ac:dyDescent="0.25">
      <c r="B101" s="13">
        <v>43275</v>
      </c>
      <c r="C101" s="13">
        <v>43244</v>
      </c>
      <c r="D101" s="13">
        <v>43275</v>
      </c>
      <c r="E101" t="s">
        <v>27</v>
      </c>
      <c r="F101" t="s">
        <v>33</v>
      </c>
      <c r="G101" t="s">
        <v>97</v>
      </c>
      <c r="H101" s="16">
        <v>3878</v>
      </c>
      <c r="I101">
        <f>IF(TbRegistroEntradas[[#This Row],[Data do Caixa Realizado]]="",0,MONTH(TbRegistroEntradas[[#This Row],[Data do Caixa Realizado]]))</f>
        <v>6</v>
      </c>
      <c r="J101">
        <f>IF(TbRegistroEntradas[[#This Row],[Data do Caixa Realizado]]="",0,YEAR(TbRegistroEntradas[[#This Row],[Data do Caixa Realizado]]))</f>
        <v>2018</v>
      </c>
    </row>
    <row r="102" spans="2:10" hidden="1" x14ac:dyDescent="0.25">
      <c r="B102" s="13">
        <v>43275</v>
      </c>
      <c r="C102" s="13">
        <v>43249</v>
      </c>
      <c r="D102" s="13">
        <v>43275</v>
      </c>
      <c r="E102" t="s">
        <v>27</v>
      </c>
      <c r="F102" t="s">
        <v>33</v>
      </c>
      <c r="G102" t="s">
        <v>159</v>
      </c>
      <c r="H102" s="16">
        <v>976</v>
      </c>
      <c r="I102">
        <f>IF(TbRegistroEntradas[[#This Row],[Data do Caixa Realizado]]="",0,MONTH(TbRegistroEntradas[[#This Row],[Data do Caixa Realizado]]))</f>
        <v>6</v>
      </c>
      <c r="J102">
        <f>IF(TbRegistroEntradas[[#This Row],[Data do Caixa Realizado]]="",0,YEAR(TbRegistroEntradas[[#This Row],[Data do Caixa Realizado]]))</f>
        <v>2018</v>
      </c>
    </row>
    <row r="103" spans="2:10" hidden="1" x14ac:dyDescent="0.25">
      <c r="B103" s="13">
        <v>43265</v>
      </c>
      <c r="C103" s="13">
        <v>43250</v>
      </c>
      <c r="D103" s="13">
        <v>43265</v>
      </c>
      <c r="E103" t="s">
        <v>27</v>
      </c>
      <c r="F103" t="s">
        <v>37</v>
      </c>
      <c r="G103" t="s">
        <v>160</v>
      </c>
      <c r="H103" s="16">
        <v>3346</v>
      </c>
      <c r="I103">
        <f>IF(TbRegistroEntradas[[#This Row],[Data do Caixa Realizado]]="",0,MONTH(TbRegistroEntradas[[#This Row],[Data do Caixa Realizado]]))</f>
        <v>6</v>
      </c>
      <c r="J103">
        <f>IF(TbRegistroEntradas[[#This Row],[Data do Caixa Realizado]]="",0,YEAR(TbRegistroEntradas[[#This Row],[Data do Caixa Realizado]]))</f>
        <v>2018</v>
      </c>
    </row>
    <row r="104" spans="2:10" hidden="1" x14ac:dyDescent="0.25">
      <c r="B104" s="13">
        <v>43340</v>
      </c>
      <c r="C104" s="13">
        <v>43254</v>
      </c>
      <c r="D104" s="13">
        <v>43313</v>
      </c>
      <c r="E104" t="s">
        <v>27</v>
      </c>
      <c r="F104" t="s">
        <v>35</v>
      </c>
      <c r="G104" t="s">
        <v>161</v>
      </c>
      <c r="H104" s="16">
        <v>443</v>
      </c>
      <c r="I104">
        <f>IF(TbRegistroEntradas[[#This Row],[Data do Caixa Realizado]]="",0,MONTH(TbRegistroEntradas[[#This Row],[Data do Caixa Realizado]]))</f>
        <v>8</v>
      </c>
      <c r="J104">
        <f>IF(TbRegistroEntradas[[#This Row],[Data do Caixa Realizado]]="",0,YEAR(TbRegistroEntradas[[#This Row],[Data do Caixa Realizado]]))</f>
        <v>2018</v>
      </c>
    </row>
    <row r="105" spans="2:10" hidden="1" x14ac:dyDescent="0.25">
      <c r="B105" s="13">
        <v>43255</v>
      </c>
      <c r="C105" s="13">
        <v>43255</v>
      </c>
      <c r="D105" s="13">
        <v>43255</v>
      </c>
      <c r="E105" t="s">
        <v>27</v>
      </c>
      <c r="F105" t="s">
        <v>35</v>
      </c>
      <c r="G105" t="s">
        <v>162</v>
      </c>
      <c r="H105" s="16">
        <v>2781</v>
      </c>
      <c r="I105">
        <f>IF(TbRegistroEntradas[[#This Row],[Data do Caixa Realizado]]="",0,MONTH(TbRegistroEntradas[[#This Row],[Data do Caixa Realizado]]))</f>
        <v>6</v>
      </c>
      <c r="J105">
        <f>IF(TbRegistroEntradas[[#This Row],[Data do Caixa Realizado]]="",0,YEAR(TbRegistroEntradas[[#This Row],[Data do Caixa Realizado]]))</f>
        <v>2018</v>
      </c>
    </row>
    <row r="106" spans="2:10" hidden="1" x14ac:dyDescent="0.25">
      <c r="B106" s="13">
        <v>43267</v>
      </c>
      <c r="C106" s="13">
        <v>43256</v>
      </c>
      <c r="D106" s="13">
        <v>43267</v>
      </c>
      <c r="E106" t="s">
        <v>27</v>
      </c>
      <c r="F106" t="s">
        <v>33</v>
      </c>
      <c r="G106" t="s">
        <v>163</v>
      </c>
      <c r="H106" s="16">
        <v>1875</v>
      </c>
      <c r="I106">
        <f>IF(TbRegistroEntradas[[#This Row],[Data do Caixa Realizado]]="",0,MONTH(TbRegistroEntradas[[#This Row],[Data do Caixa Realizado]]))</f>
        <v>6</v>
      </c>
      <c r="J106">
        <f>IF(TbRegistroEntradas[[#This Row],[Data do Caixa Realizado]]="",0,YEAR(TbRegistroEntradas[[#This Row],[Data do Caixa Realizado]]))</f>
        <v>2018</v>
      </c>
    </row>
    <row r="107" spans="2:10" hidden="1" x14ac:dyDescent="0.25">
      <c r="B107" s="13">
        <v>43259</v>
      </c>
      <c r="C107" s="13">
        <v>43259</v>
      </c>
      <c r="D107" s="13">
        <v>43259</v>
      </c>
      <c r="E107" t="s">
        <v>27</v>
      </c>
      <c r="F107" t="s">
        <v>36</v>
      </c>
      <c r="G107" t="s">
        <v>164</v>
      </c>
      <c r="H107" s="16">
        <v>3134</v>
      </c>
      <c r="I107">
        <f>IF(TbRegistroEntradas[[#This Row],[Data do Caixa Realizado]]="",0,MONTH(TbRegistroEntradas[[#This Row],[Data do Caixa Realizado]]))</f>
        <v>6</v>
      </c>
      <c r="J107">
        <f>IF(TbRegistroEntradas[[#This Row],[Data do Caixa Realizado]]="",0,YEAR(TbRegistroEntradas[[#This Row],[Data do Caixa Realizado]]))</f>
        <v>2018</v>
      </c>
    </row>
    <row r="108" spans="2:10" hidden="1" x14ac:dyDescent="0.25">
      <c r="B108" s="13">
        <v>43276</v>
      </c>
      <c r="C108" s="13">
        <v>43261</v>
      </c>
      <c r="D108" s="13">
        <v>43276</v>
      </c>
      <c r="E108" t="s">
        <v>27</v>
      </c>
      <c r="F108" t="s">
        <v>34</v>
      </c>
      <c r="G108" t="s">
        <v>165</v>
      </c>
      <c r="H108" s="16">
        <v>2114</v>
      </c>
      <c r="I108">
        <f>IF(TbRegistroEntradas[[#This Row],[Data do Caixa Realizado]]="",0,MONTH(TbRegistroEntradas[[#This Row],[Data do Caixa Realizado]]))</f>
        <v>6</v>
      </c>
      <c r="J108">
        <f>IF(TbRegistroEntradas[[#This Row],[Data do Caixa Realizado]]="",0,YEAR(TbRegistroEntradas[[#This Row],[Data do Caixa Realizado]]))</f>
        <v>2018</v>
      </c>
    </row>
    <row r="109" spans="2:10" hidden="1" x14ac:dyDescent="0.25">
      <c r="B109" s="13">
        <v>43320</v>
      </c>
      <c r="C109" s="13">
        <v>43264</v>
      </c>
      <c r="D109" s="13">
        <v>43320</v>
      </c>
      <c r="E109" t="s">
        <v>27</v>
      </c>
      <c r="F109" t="s">
        <v>33</v>
      </c>
      <c r="G109" t="s">
        <v>166</v>
      </c>
      <c r="H109" s="16">
        <v>4961</v>
      </c>
      <c r="I109">
        <f>IF(TbRegistroEntradas[[#This Row],[Data do Caixa Realizado]]="",0,MONTH(TbRegistroEntradas[[#This Row],[Data do Caixa Realizado]]))</f>
        <v>8</v>
      </c>
      <c r="J109">
        <f>IF(TbRegistroEntradas[[#This Row],[Data do Caixa Realizado]]="",0,YEAR(TbRegistroEntradas[[#This Row],[Data do Caixa Realizado]]))</f>
        <v>2018</v>
      </c>
    </row>
    <row r="110" spans="2:10" hidden="1" x14ac:dyDescent="0.25">
      <c r="B110" s="13">
        <v>43303</v>
      </c>
      <c r="C110" s="13">
        <v>43265</v>
      </c>
      <c r="D110" s="13">
        <v>43303</v>
      </c>
      <c r="E110" t="s">
        <v>27</v>
      </c>
      <c r="F110" t="s">
        <v>36</v>
      </c>
      <c r="G110" t="s">
        <v>167</v>
      </c>
      <c r="H110" s="16">
        <v>909</v>
      </c>
      <c r="I110">
        <f>IF(TbRegistroEntradas[[#This Row],[Data do Caixa Realizado]]="",0,MONTH(TbRegistroEntradas[[#This Row],[Data do Caixa Realizado]]))</f>
        <v>7</v>
      </c>
      <c r="J110">
        <f>IF(TbRegistroEntradas[[#This Row],[Data do Caixa Realizado]]="",0,YEAR(TbRegistroEntradas[[#This Row],[Data do Caixa Realizado]]))</f>
        <v>2018</v>
      </c>
    </row>
    <row r="111" spans="2:10" hidden="1" x14ac:dyDescent="0.25">
      <c r="B111" s="13">
        <v>43293</v>
      </c>
      <c r="C111" s="13">
        <v>43266</v>
      </c>
      <c r="D111" s="13">
        <v>43293</v>
      </c>
      <c r="E111" t="s">
        <v>27</v>
      </c>
      <c r="F111" t="s">
        <v>36</v>
      </c>
      <c r="G111" t="s">
        <v>168</v>
      </c>
      <c r="H111" s="16">
        <v>2197</v>
      </c>
      <c r="I111">
        <f>IF(TbRegistroEntradas[[#This Row],[Data do Caixa Realizado]]="",0,MONTH(TbRegistroEntradas[[#This Row],[Data do Caixa Realizado]]))</f>
        <v>7</v>
      </c>
      <c r="J111">
        <f>IF(TbRegistroEntradas[[#This Row],[Data do Caixa Realizado]]="",0,YEAR(TbRegistroEntradas[[#This Row],[Data do Caixa Realizado]]))</f>
        <v>2018</v>
      </c>
    </row>
    <row r="112" spans="2:10" hidden="1" x14ac:dyDescent="0.25">
      <c r="B112" s="13">
        <v>43268</v>
      </c>
      <c r="C112" s="13">
        <v>43268</v>
      </c>
      <c r="D112" s="13">
        <v>43268</v>
      </c>
      <c r="E112" t="s">
        <v>27</v>
      </c>
      <c r="F112" t="s">
        <v>37</v>
      </c>
      <c r="G112" t="s">
        <v>169</v>
      </c>
      <c r="H112" s="16">
        <v>3045</v>
      </c>
      <c r="I112">
        <f>IF(TbRegistroEntradas[[#This Row],[Data do Caixa Realizado]]="",0,MONTH(TbRegistroEntradas[[#This Row],[Data do Caixa Realizado]]))</f>
        <v>6</v>
      </c>
      <c r="J112">
        <f>IF(TbRegistroEntradas[[#This Row],[Data do Caixa Realizado]]="",0,YEAR(TbRegistroEntradas[[#This Row],[Data do Caixa Realizado]]))</f>
        <v>2018</v>
      </c>
    </row>
    <row r="113" spans="2:10" hidden="1" x14ac:dyDescent="0.25">
      <c r="B113" s="13">
        <v>43326</v>
      </c>
      <c r="C113" s="13">
        <v>43272</v>
      </c>
      <c r="D113" s="13">
        <v>43309</v>
      </c>
      <c r="E113" t="s">
        <v>27</v>
      </c>
      <c r="F113" t="s">
        <v>37</v>
      </c>
      <c r="G113" t="s">
        <v>170</v>
      </c>
      <c r="H113" s="16">
        <v>460</v>
      </c>
      <c r="I113">
        <f>IF(TbRegistroEntradas[[#This Row],[Data do Caixa Realizado]]="",0,MONTH(TbRegistroEntradas[[#This Row],[Data do Caixa Realizado]]))</f>
        <v>8</v>
      </c>
      <c r="J113">
        <f>IF(TbRegistroEntradas[[#This Row],[Data do Caixa Realizado]]="",0,YEAR(TbRegistroEntradas[[#This Row],[Data do Caixa Realizado]]))</f>
        <v>2018</v>
      </c>
    </row>
    <row r="114" spans="2:10" hidden="1" x14ac:dyDescent="0.25">
      <c r="B114" s="13">
        <v>43313</v>
      </c>
      <c r="C114" s="13">
        <v>43275</v>
      </c>
      <c r="D114" s="13">
        <v>43313</v>
      </c>
      <c r="E114" t="s">
        <v>27</v>
      </c>
      <c r="F114" t="s">
        <v>37</v>
      </c>
      <c r="G114" t="s">
        <v>171</v>
      </c>
      <c r="H114" s="16">
        <v>770</v>
      </c>
      <c r="I114">
        <f>IF(TbRegistroEntradas[[#This Row],[Data do Caixa Realizado]]="",0,MONTH(TbRegistroEntradas[[#This Row],[Data do Caixa Realizado]]))</f>
        <v>8</v>
      </c>
      <c r="J114">
        <f>IF(TbRegistroEntradas[[#This Row],[Data do Caixa Realizado]]="",0,YEAR(TbRegistroEntradas[[#This Row],[Data do Caixa Realizado]]))</f>
        <v>2018</v>
      </c>
    </row>
    <row r="115" spans="2:10" hidden="1" x14ac:dyDescent="0.25">
      <c r="B115" s="13">
        <v>43317</v>
      </c>
      <c r="C115" s="13">
        <v>43276</v>
      </c>
      <c r="D115" s="13">
        <v>43317</v>
      </c>
      <c r="E115" t="s">
        <v>27</v>
      </c>
      <c r="F115" t="s">
        <v>36</v>
      </c>
      <c r="G115" t="s">
        <v>172</v>
      </c>
      <c r="H115" s="16">
        <v>3646</v>
      </c>
      <c r="I115">
        <f>IF(TbRegistroEntradas[[#This Row],[Data do Caixa Realizado]]="",0,MONTH(TbRegistroEntradas[[#This Row],[Data do Caixa Realizado]]))</f>
        <v>8</v>
      </c>
      <c r="J115">
        <f>IF(TbRegistroEntradas[[#This Row],[Data do Caixa Realizado]]="",0,YEAR(TbRegistroEntradas[[#This Row],[Data do Caixa Realizado]]))</f>
        <v>2018</v>
      </c>
    </row>
    <row r="116" spans="2:10" hidden="1" x14ac:dyDescent="0.25">
      <c r="B116" s="13">
        <v>43328</v>
      </c>
      <c r="C116" s="13">
        <v>43280</v>
      </c>
      <c r="D116" s="13">
        <v>43328</v>
      </c>
      <c r="E116" t="s">
        <v>27</v>
      </c>
      <c r="F116" t="s">
        <v>36</v>
      </c>
      <c r="G116" t="s">
        <v>173</v>
      </c>
      <c r="H116" s="16">
        <v>2376</v>
      </c>
      <c r="I116">
        <f>IF(TbRegistroEntradas[[#This Row],[Data do Caixa Realizado]]="",0,MONTH(TbRegistroEntradas[[#This Row],[Data do Caixa Realizado]]))</f>
        <v>8</v>
      </c>
      <c r="J116">
        <f>IF(TbRegistroEntradas[[#This Row],[Data do Caixa Realizado]]="",0,YEAR(TbRegistroEntradas[[#This Row],[Data do Caixa Realizado]]))</f>
        <v>2018</v>
      </c>
    </row>
    <row r="117" spans="2:10" hidden="1" x14ac:dyDescent="0.25">
      <c r="B117" s="13">
        <v>43398</v>
      </c>
      <c r="C117" s="13">
        <v>43284</v>
      </c>
      <c r="D117" s="13">
        <v>43310</v>
      </c>
      <c r="E117" t="s">
        <v>27</v>
      </c>
      <c r="F117" t="s">
        <v>36</v>
      </c>
      <c r="G117" t="s">
        <v>174</v>
      </c>
      <c r="H117" s="16">
        <v>3940</v>
      </c>
      <c r="I117">
        <f>IF(TbRegistroEntradas[[#This Row],[Data do Caixa Realizado]]="",0,MONTH(TbRegistroEntradas[[#This Row],[Data do Caixa Realizado]]))</f>
        <v>10</v>
      </c>
      <c r="J117">
        <f>IF(TbRegistroEntradas[[#This Row],[Data do Caixa Realizado]]="",0,YEAR(TbRegistroEntradas[[#This Row],[Data do Caixa Realizado]]))</f>
        <v>2018</v>
      </c>
    </row>
    <row r="118" spans="2:10" hidden="1" x14ac:dyDescent="0.25">
      <c r="B118" s="13">
        <v>43343</v>
      </c>
      <c r="C118" s="13">
        <v>43285</v>
      </c>
      <c r="D118" s="13">
        <v>43343</v>
      </c>
      <c r="E118" t="s">
        <v>27</v>
      </c>
      <c r="F118" t="s">
        <v>36</v>
      </c>
      <c r="G118" t="s">
        <v>175</v>
      </c>
      <c r="H118" s="16">
        <v>1732</v>
      </c>
      <c r="I118">
        <f>IF(TbRegistroEntradas[[#This Row],[Data do Caixa Realizado]]="",0,MONTH(TbRegistroEntradas[[#This Row],[Data do Caixa Realizado]]))</f>
        <v>8</v>
      </c>
      <c r="J118">
        <f>IF(TbRegistroEntradas[[#This Row],[Data do Caixa Realizado]]="",0,YEAR(TbRegistroEntradas[[#This Row],[Data do Caixa Realizado]]))</f>
        <v>2018</v>
      </c>
    </row>
    <row r="119" spans="2:10" hidden="1" x14ac:dyDescent="0.25">
      <c r="B119" s="13">
        <v>43316</v>
      </c>
      <c r="C119" s="13">
        <v>43286</v>
      </c>
      <c r="D119" s="13">
        <v>43316</v>
      </c>
      <c r="E119" t="s">
        <v>27</v>
      </c>
      <c r="F119" t="s">
        <v>35</v>
      </c>
      <c r="G119" t="s">
        <v>176</v>
      </c>
      <c r="H119" s="16">
        <v>1306</v>
      </c>
      <c r="I119">
        <f>IF(TbRegistroEntradas[[#This Row],[Data do Caixa Realizado]]="",0,MONTH(TbRegistroEntradas[[#This Row],[Data do Caixa Realizado]]))</f>
        <v>8</v>
      </c>
      <c r="J119">
        <f>IF(TbRegistroEntradas[[#This Row],[Data do Caixa Realizado]]="",0,YEAR(TbRegistroEntradas[[#This Row],[Data do Caixa Realizado]]))</f>
        <v>2018</v>
      </c>
    </row>
    <row r="120" spans="2:10" hidden="1" x14ac:dyDescent="0.25">
      <c r="B120" s="13">
        <v>43336</v>
      </c>
      <c r="C120" s="13">
        <v>43288</v>
      </c>
      <c r="D120" s="13">
        <v>43336</v>
      </c>
      <c r="E120" t="s">
        <v>27</v>
      </c>
      <c r="F120" t="s">
        <v>34</v>
      </c>
      <c r="G120" t="s">
        <v>177</v>
      </c>
      <c r="H120" s="16">
        <v>3954</v>
      </c>
      <c r="I120">
        <f>IF(TbRegistroEntradas[[#This Row],[Data do Caixa Realizado]]="",0,MONTH(TbRegistroEntradas[[#This Row],[Data do Caixa Realizado]]))</f>
        <v>8</v>
      </c>
      <c r="J120">
        <f>IF(TbRegistroEntradas[[#This Row],[Data do Caixa Realizado]]="",0,YEAR(TbRegistroEntradas[[#This Row],[Data do Caixa Realizado]]))</f>
        <v>2018</v>
      </c>
    </row>
    <row r="121" spans="2:10" hidden="1" x14ac:dyDescent="0.25">
      <c r="B121" s="13">
        <v>43323</v>
      </c>
      <c r="C121" s="13">
        <v>43292</v>
      </c>
      <c r="D121" s="13">
        <v>43323</v>
      </c>
      <c r="E121" t="s">
        <v>27</v>
      </c>
      <c r="F121" t="s">
        <v>37</v>
      </c>
      <c r="G121" t="s">
        <v>178</v>
      </c>
      <c r="H121" s="16">
        <v>4090</v>
      </c>
      <c r="I121">
        <f>IF(TbRegistroEntradas[[#This Row],[Data do Caixa Realizado]]="",0,MONTH(TbRegistroEntradas[[#This Row],[Data do Caixa Realizado]]))</f>
        <v>8</v>
      </c>
      <c r="J121">
        <f>IF(TbRegistroEntradas[[#This Row],[Data do Caixa Realizado]]="",0,YEAR(TbRegistroEntradas[[#This Row],[Data do Caixa Realizado]]))</f>
        <v>2018</v>
      </c>
    </row>
    <row r="122" spans="2:10" hidden="1" x14ac:dyDescent="0.25">
      <c r="B122" s="13">
        <v>43311</v>
      </c>
      <c r="C122" s="13">
        <v>43293</v>
      </c>
      <c r="D122" s="13">
        <v>43311</v>
      </c>
      <c r="E122" t="s">
        <v>27</v>
      </c>
      <c r="F122" t="s">
        <v>33</v>
      </c>
      <c r="G122" t="s">
        <v>179</v>
      </c>
      <c r="H122" s="16">
        <v>2713</v>
      </c>
      <c r="I122">
        <f>IF(TbRegistroEntradas[[#This Row],[Data do Caixa Realizado]]="",0,MONTH(TbRegistroEntradas[[#This Row],[Data do Caixa Realizado]]))</f>
        <v>7</v>
      </c>
      <c r="J122">
        <f>IF(TbRegistroEntradas[[#This Row],[Data do Caixa Realizado]]="",0,YEAR(TbRegistroEntradas[[#This Row],[Data do Caixa Realizado]]))</f>
        <v>2018</v>
      </c>
    </row>
    <row r="123" spans="2:10" hidden="1" x14ac:dyDescent="0.25">
      <c r="B123" s="13">
        <v>43302</v>
      </c>
      <c r="C123" s="13">
        <v>43297</v>
      </c>
      <c r="D123" s="13">
        <v>43302</v>
      </c>
      <c r="E123" t="s">
        <v>27</v>
      </c>
      <c r="F123" t="s">
        <v>36</v>
      </c>
      <c r="G123" t="s">
        <v>180</v>
      </c>
      <c r="H123" s="16">
        <v>3482</v>
      </c>
      <c r="I123">
        <f>IF(TbRegistroEntradas[[#This Row],[Data do Caixa Realizado]]="",0,MONTH(TbRegistroEntradas[[#This Row],[Data do Caixa Realizado]]))</f>
        <v>7</v>
      </c>
      <c r="J123">
        <f>IF(TbRegistroEntradas[[#This Row],[Data do Caixa Realizado]]="",0,YEAR(TbRegistroEntradas[[#This Row],[Data do Caixa Realizado]]))</f>
        <v>2018</v>
      </c>
    </row>
    <row r="124" spans="2:10" hidden="1" x14ac:dyDescent="0.25">
      <c r="B124" s="13" t="s">
        <v>70</v>
      </c>
      <c r="C124" s="13">
        <v>43299</v>
      </c>
      <c r="D124" s="13">
        <v>43346</v>
      </c>
      <c r="E124" t="s">
        <v>27</v>
      </c>
      <c r="F124" t="s">
        <v>36</v>
      </c>
      <c r="G124" t="s">
        <v>181</v>
      </c>
      <c r="H124" s="16">
        <v>2071</v>
      </c>
      <c r="I124">
        <f>IF(TbRegistroEntradas[[#This Row],[Data do Caixa Realizado]]="",0,MONTH(TbRegistroEntradas[[#This Row],[Data do Caixa Realizado]]))</f>
        <v>0</v>
      </c>
      <c r="J124">
        <f>IF(TbRegistroEntradas[[#This Row],[Data do Caixa Realizado]]="",0,YEAR(TbRegistroEntradas[[#This Row],[Data do Caixa Realizado]]))</f>
        <v>0</v>
      </c>
    </row>
    <row r="125" spans="2:10" hidden="1" x14ac:dyDescent="0.25">
      <c r="B125" s="13" t="s">
        <v>70</v>
      </c>
      <c r="C125" s="13">
        <v>43304</v>
      </c>
      <c r="D125" s="13">
        <v>43304</v>
      </c>
      <c r="E125" t="s">
        <v>27</v>
      </c>
      <c r="F125" t="s">
        <v>37</v>
      </c>
      <c r="G125" t="s">
        <v>182</v>
      </c>
      <c r="H125" s="16">
        <v>4258</v>
      </c>
      <c r="I125">
        <f>IF(TbRegistroEntradas[[#This Row],[Data do Caixa Realizado]]="",0,MONTH(TbRegistroEntradas[[#This Row],[Data do Caixa Realizado]]))</f>
        <v>0</v>
      </c>
      <c r="J125">
        <f>IF(TbRegistroEntradas[[#This Row],[Data do Caixa Realizado]]="",0,YEAR(TbRegistroEntradas[[#This Row],[Data do Caixa Realizado]]))</f>
        <v>0</v>
      </c>
    </row>
    <row r="126" spans="2:10" hidden="1" x14ac:dyDescent="0.25">
      <c r="B126" s="13">
        <v>43350</v>
      </c>
      <c r="C126" s="13">
        <v>43306</v>
      </c>
      <c r="D126" s="13">
        <v>43350</v>
      </c>
      <c r="E126" t="s">
        <v>27</v>
      </c>
      <c r="F126" t="s">
        <v>34</v>
      </c>
      <c r="G126" t="s">
        <v>183</v>
      </c>
      <c r="H126" s="16">
        <v>4383</v>
      </c>
      <c r="I126">
        <f>IF(TbRegistroEntradas[[#This Row],[Data do Caixa Realizado]]="",0,MONTH(TbRegistroEntradas[[#This Row],[Data do Caixa Realizado]]))</f>
        <v>9</v>
      </c>
      <c r="J126">
        <f>IF(TbRegistroEntradas[[#This Row],[Data do Caixa Realizado]]="",0,YEAR(TbRegistroEntradas[[#This Row],[Data do Caixa Realizado]]))</f>
        <v>2018</v>
      </c>
    </row>
    <row r="127" spans="2:10" hidden="1" x14ac:dyDescent="0.25">
      <c r="B127" s="13" t="s">
        <v>70</v>
      </c>
      <c r="C127" s="13">
        <v>43310</v>
      </c>
      <c r="D127" s="13">
        <v>43310</v>
      </c>
      <c r="E127" t="s">
        <v>27</v>
      </c>
      <c r="F127" t="s">
        <v>36</v>
      </c>
      <c r="G127" t="s">
        <v>184</v>
      </c>
      <c r="H127" s="16">
        <v>1369</v>
      </c>
      <c r="I127">
        <f>IF(TbRegistroEntradas[[#This Row],[Data do Caixa Realizado]]="",0,MONTH(TbRegistroEntradas[[#This Row],[Data do Caixa Realizado]]))</f>
        <v>0</v>
      </c>
      <c r="J127">
        <f>IF(TbRegistroEntradas[[#This Row],[Data do Caixa Realizado]]="",0,YEAR(TbRegistroEntradas[[#This Row],[Data do Caixa Realizado]]))</f>
        <v>0</v>
      </c>
    </row>
    <row r="128" spans="2:10" hidden="1" x14ac:dyDescent="0.25">
      <c r="B128" s="13">
        <v>43409</v>
      </c>
      <c r="C128" s="13">
        <v>43315</v>
      </c>
      <c r="D128" s="13">
        <v>43357</v>
      </c>
      <c r="E128" t="s">
        <v>27</v>
      </c>
      <c r="F128" t="s">
        <v>36</v>
      </c>
      <c r="G128" t="s">
        <v>185</v>
      </c>
      <c r="H128" s="16">
        <v>331</v>
      </c>
      <c r="I128">
        <f>IF(TbRegistroEntradas[[#This Row],[Data do Caixa Realizado]]="",0,MONTH(TbRegistroEntradas[[#This Row],[Data do Caixa Realizado]]))</f>
        <v>11</v>
      </c>
      <c r="J128">
        <f>IF(TbRegistroEntradas[[#This Row],[Data do Caixa Realizado]]="",0,YEAR(TbRegistroEntradas[[#This Row],[Data do Caixa Realizado]]))</f>
        <v>2018</v>
      </c>
    </row>
    <row r="129" spans="2:10" hidden="1" x14ac:dyDescent="0.25">
      <c r="B129" s="13">
        <v>43368</v>
      </c>
      <c r="C129" s="13">
        <v>43318</v>
      </c>
      <c r="D129" s="13">
        <v>43318</v>
      </c>
      <c r="E129" t="s">
        <v>27</v>
      </c>
      <c r="F129" t="s">
        <v>36</v>
      </c>
      <c r="G129" t="s">
        <v>186</v>
      </c>
      <c r="H129" s="16">
        <v>3031</v>
      </c>
      <c r="I129">
        <f>IF(TbRegistroEntradas[[#This Row],[Data do Caixa Realizado]]="",0,MONTH(TbRegistroEntradas[[#This Row],[Data do Caixa Realizado]]))</f>
        <v>9</v>
      </c>
      <c r="J129">
        <f>IF(TbRegistroEntradas[[#This Row],[Data do Caixa Realizado]]="",0,YEAR(TbRegistroEntradas[[#This Row],[Data do Caixa Realizado]]))</f>
        <v>2018</v>
      </c>
    </row>
    <row r="130" spans="2:10" hidden="1" x14ac:dyDescent="0.25">
      <c r="B130" s="13">
        <v>43341</v>
      </c>
      <c r="C130" s="13">
        <v>43321</v>
      </c>
      <c r="D130" s="13">
        <v>43341</v>
      </c>
      <c r="E130" t="s">
        <v>27</v>
      </c>
      <c r="F130" t="s">
        <v>34</v>
      </c>
      <c r="G130" t="s">
        <v>187</v>
      </c>
      <c r="H130" s="16">
        <v>1200</v>
      </c>
      <c r="I130">
        <f>IF(TbRegistroEntradas[[#This Row],[Data do Caixa Realizado]]="",0,MONTH(TbRegistroEntradas[[#This Row],[Data do Caixa Realizado]]))</f>
        <v>8</v>
      </c>
      <c r="J130">
        <f>IF(TbRegistroEntradas[[#This Row],[Data do Caixa Realizado]]="",0,YEAR(TbRegistroEntradas[[#This Row],[Data do Caixa Realizado]]))</f>
        <v>2018</v>
      </c>
    </row>
    <row r="131" spans="2:10" hidden="1" x14ac:dyDescent="0.25">
      <c r="B131" s="13">
        <v>43323</v>
      </c>
      <c r="C131" s="13">
        <v>43323</v>
      </c>
      <c r="D131" s="13">
        <v>43323</v>
      </c>
      <c r="E131" t="s">
        <v>27</v>
      </c>
      <c r="F131" t="s">
        <v>34</v>
      </c>
      <c r="G131" t="s">
        <v>188</v>
      </c>
      <c r="H131" s="16">
        <v>405</v>
      </c>
      <c r="I131">
        <f>IF(TbRegistroEntradas[[#This Row],[Data do Caixa Realizado]]="",0,MONTH(TbRegistroEntradas[[#This Row],[Data do Caixa Realizado]]))</f>
        <v>8</v>
      </c>
      <c r="J131">
        <f>IF(TbRegistroEntradas[[#This Row],[Data do Caixa Realizado]]="",0,YEAR(TbRegistroEntradas[[#This Row],[Data do Caixa Realizado]]))</f>
        <v>2018</v>
      </c>
    </row>
    <row r="132" spans="2:10" hidden="1" x14ac:dyDescent="0.25">
      <c r="B132" s="13">
        <v>43360</v>
      </c>
      <c r="C132" s="13">
        <v>43326</v>
      </c>
      <c r="D132" s="13">
        <v>43360</v>
      </c>
      <c r="E132" t="s">
        <v>27</v>
      </c>
      <c r="F132" t="s">
        <v>33</v>
      </c>
      <c r="G132" t="s">
        <v>154</v>
      </c>
      <c r="H132" s="16">
        <v>3080</v>
      </c>
      <c r="I132">
        <f>IF(TbRegistroEntradas[[#This Row],[Data do Caixa Realizado]]="",0,MONTH(TbRegistroEntradas[[#This Row],[Data do Caixa Realizado]]))</f>
        <v>9</v>
      </c>
      <c r="J132">
        <f>IF(TbRegistroEntradas[[#This Row],[Data do Caixa Realizado]]="",0,YEAR(TbRegistroEntradas[[#This Row],[Data do Caixa Realizado]]))</f>
        <v>2018</v>
      </c>
    </row>
    <row r="133" spans="2:10" hidden="1" x14ac:dyDescent="0.25">
      <c r="B133" s="13">
        <v>43329</v>
      </c>
      <c r="C133" s="13">
        <v>43329</v>
      </c>
      <c r="D133" s="13">
        <v>43329</v>
      </c>
      <c r="E133" t="s">
        <v>27</v>
      </c>
      <c r="F133" t="s">
        <v>36</v>
      </c>
      <c r="G133" t="s">
        <v>189</v>
      </c>
      <c r="H133" s="16">
        <v>2137</v>
      </c>
      <c r="I133">
        <f>IF(TbRegistroEntradas[[#This Row],[Data do Caixa Realizado]]="",0,MONTH(TbRegistroEntradas[[#This Row],[Data do Caixa Realizado]]))</f>
        <v>8</v>
      </c>
      <c r="J133">
        <f>IF(TbRegistroEntradas[[#This Row],[Data do Caixa Realizado]]="",0,YEAR(TbRegistroEntradas[[#This Row],[Data do Caixa Realizado]]))</f>
        <v>2018</v>
      </c>
    </row>
    <row r="134" spans="2:10" hidden="1" x14ac:dyDescent="0.25">
      <c r="B134" s="13">
        <v>43336</v>
      </c>
      <c r="C134" s="13">
        <v>43336</v>
      </c>
      <c r="D134" s="13">
        <v>43336</v>
      </c>
      <c r="E134" t="s">
        <v>27</v>
      </c>
      <c r="F134" t="s">
        <v>37</v>
      </c>
      <c r="G134" t="s">
        <v>190</v>
      </c>
      <c r="H134" s="16">
        <v>4287</v>
      </c>
      <c r="I134">
        <f>IF(TbRegistroEntradas[[#This Row],[Data do Caixa Realizado]]="",0,MONTH(TbRegistroEntradas[[#This Row],[Data do Caixa Realizado]]))</f>
        <v>8</v>
      </c>
      <c r="J134">
        <f>IF(TbRegistroEntradas[[#This Row],[Data do Caixa Realizado]]="",0,YEAR(TbRegistroEntradas[[#This Row],[Data do Caixa Realizado]]))</f>
        <v>2018</v>
      </c>
    </row>
    <row r="135" spans="2:10" hidden="1" x14ac:dyDescent="0.25">
      <c r="B135" s="13">
        <v>43475</v>
      </c>
      <c r="C135" s="13">
        <v>43338</v>
      </c>
      <c r="D135" s="13">
        <v>43395</v>
      </c>
      <c r="E135" t="s">
        <v>27</v>
      </c>
      <c r="F135" t="s">
        <v>37</v>
      </c>
      <c r="G135" t="s">
        <v>191</v>
      </c>
      <c r="H135" s="16">
        <v>4857</v>
      </c>
      <c r="I135">
        <f>IF(TbRegistroEntradas[[#This Row],[Data do Caixa Realizado]]="",0,MONTH(TbRegistroEntradas[[#This Row],[Data do Caixa Realizado]]))</f>
        <v>1</v>
      </c>
      <c r="J135">
        <f>IF(TbRegistroEntradas[[#This Row],[Data do Caixa Realizado]]="",0,YEAR(TbRegistroEntradas[[#This Row],[Data do Caixa Realizado]]))</f>
        <v>2019</v>
      </c>
    </row>
    <row r="136" spans="2:10" hidden="1" x14ac:dyDescent="0.25">
      <c r="B136" s="13">
        <v>43393</v>
      </c>
      <c r="C136" s="13">
        <v>43342</v>
      </c>
      <c r="D136" s="13">
        <v>43393</v>
      </c>
      <c r="E136" t="s">
        <v>27</v>
      </c>
      <c r="F136" t="s">
        <v>36</v>
      </c>
      <c r="G136" t="s">
        <v>192</v>
      </c>
      <c r="H136" s="16">
        <v>507</v>
      </c>
      <c r="I136">
        <f>IF(TbRegistroEntradas[[#This Row],[Data do Caixa Realizado]]="",0,MONTH(TbRegistroEntradas[[#This Row],[Data do Caixa Realizado]]))</f>
        <v>10</v>
      </c>
      <c r="J136">
        <f>IF(TbRegistroEntradas[[#This Row],[Data do Caixa Realizado]]="",0,YEAR(TbRegistroEntradas[[#This Row],[Data do Caixa Realizado]]))</f>
        <v>2018</v>
      </c>
    </row>
    <row r="137" spans="2:10" hidden="1" x14ac:dyDescent="0.25">
      <c r="B137" s="13">
        <v>43405</v>
      </c>
      <c r="C137" s="13">
        <v>43343</v>
      </c>
      <c r="D137" s="13">
        <v>43354</v>
      </c>
      <c r="E137" t="s">
        <v>27</v>
      </c>
      <c r="F137" t="s">
        <v>34</v>
      </c>
      <c r="G137" t="s">
        <v>193</v>
      </c>
      <c r="H137" s="16">
        <v>2467</v>
      </c>
      <c r="I137">
        <f>IF(TbRegistroEntradas[[#This Row],[Data do Caixa Realizado]]="",0,MONTH(TbRegistroEntradas[[#This Row],[Data do Caixa Realizado]]))</f>
        <v>11</v>
      </c>
      <c r="J137">
        <f>IF(TbRegistroEntradas[[#This Row],[Data do Caixa Realizado]]="",0,YEAR(TbRegistroEntradas[[#This Row],[Data do Caixa Realizado]]))</f>
        <v>2018</v>
      </c>
    </row>
    <row r="138" spans="2:10" hidden="1" x14ac:dyDescent="0.25">
      <c r="B138" s="13">
        <v>43370</v>
      </c>
      <c r="C138" s="13">
        <v>43344</v>
      </c>
      <c r="D138" s="13">
        <v>43370</v>
      </c>
      <c r="E138" t="s">
        <v>27</v>
      </c>
      <c r="F138" t="s">
        <v>36</v>
      </c>
      <c r="G138" t="s">
        <v>194</v>
      </c>
      <c r="H138" s="16">
        <v>4253</v>
      </c>
      <c r="I138">
        <f>IF(TbRegistroEntradas[[#This Row],[Data do Caixa Realizado]]="",0,MONTH(TbRegistroEntradas[[#This Row],[Data do Caixa Realizado]]))</f>
        <v>9</v>
      </c>
      <c r="J138">
        <f>IF(TbRegistroEntradas[[#This Row],[Data do Caixa Realizado]]="",0,YEAR(TbRegistroEntradas[[#This Row],[Data do Caixa Realizado]]))</f>
        <v>2018</v>
      </c>
    </row>
    <row r="139" spans="2:10" hidden="1" x14ac:dyDescent="0.25">
      <c r="B139" s="13">
        <v>43350</v>
      </c>
      <c r="C139" s="13">
        <v>43350</v>
      </c>
      <c r="D139" s="13">
        <v>43350</v>
      </c>
      <c r="E139" t="s">
        <v>27</v>
      </c>
      <c r="F139" t="s">
        <v>37</v>
      </c>
      <c r="G139" t="s">
        <v>195</v>
      </c>
      <c r="H139" s="16">
        <v>2391</v>
      </c>
      <c r="I139">
        <f>IF(TbRegistroEntradas[[#This Row],[Data do Caixa Realizado]]="",0,MONTH(TbRegistroEntradas[[#This Row],[Data do Caixa Realizado]]))</f>
        <v>9</v>
      </c>
      <c r="J139">
        <f>IF(TbRegistroEntradas[[#This Row],[Data do Caixa Realizado]]="",0,YEAR(TbRegistroEntradas[[#This Row],[Data do Caixa Realizado]]))</f>
        <v>2018</v>
      </c>
    </row>
    <row r="140" spans="2:10" hidden="1" x14ac:dyDescent="0.25">
      <c r="B140" s="13">
        <v>43365</v>
      </c>
      <c r="C140" s="13">
        <v>43352</v>
      </c>
      <c r="D140" s="13">
        <v>43365</v>
      </c>
      <c r="E140" t="s">
        <v>27</v>
      </c>
      <c r="F140" t="s">
        <v>36</v>
      </c>
      <c r="G140" t="s">
        <v>196</v>
      </c>
      <c r="H140" s="16">
        <v>3669</v>
      </c>
      <c r="I140">
        <f>IF(TbRegistroEntradas[[#This Row],[Data do Caixa Realizado]]="",0,MONTH(TbRegistroEntradas[[#This Row],[Data do Caixa Realizado]]))</f>
        <v>9</v>
      </c>
      <c r="J140">
        <f>IF(TbRegistroEntradas[[#This Row],[Data do Caixa Realizado]]="",0,YEAR(TbRegistroEntradas[[#This Row],[Data do Caixa Realizado]]))</f>
        <v>2018</v>
      </c>
    </row>
    <row r="141" spans="2:10" hidden="1" x14ac:dyDescent="0.25">
      <c r="B141" s="13">
        <v>43383</v>
      </c>
      <c r="C141" s="13">
        <v>43355</v>
      </c>
      <c r="D141" s="13">
        <v>43383</v>
      </c>
      <c r="E141" t="s">
        <v>27</v>
      </c>
      <c r="F141" t="s">
        <v>36</v>
      </c>
      <c r="G141" t="s">
        <v>197</v>
      </c>
      <c r="H141" s="16">
        <v>1207</v>
      </c>
      <c r="I141">
        <f>IF(TbRegistroEntradas[[#This Row],[Data do Caixa Realizado]]="",0,MONTH(TbRegistroEntradas[[#This Row],[Data do Caixa Realizado]]))</f>
        <v>10</v>
      </c>
      <c r="J141">
        <f>IF(TbRegistroEntradas[[#This Row],[Data do Caixa Realizado]]="",0,YEAR(TbRegistroEntradas[[#This Row],[Data do Caixa Realizado]]))</f>
        <v>2018</v>
      </c>
    </row>
    <row r="142" spans="2:10" hidden="1" x14ac:dyDescent="0.25">
      <c r="B142" s="13">
        <v>43412</v>
      </c>
      <c r="C142" s="13">
        <v>43361</v>
      </c>
      <c r="D142" s="13">
        <v>43412</v>
      </c>
      <c r="E142" t="s">
        <v>27</v>
      </c>
      <c r="F142" t="s">
        <v>34</v>
      </c>
      <c r="G142" t="s">
        <v>198</v>
      </c>
      <c r="H142" s="16">
        <v>2539</v>
      </c>
      <c r="I142">
        <f>IF(TbRegistroEntradas[[#This Row],[Data do Caixa Realizado]]="",0,MONTH(TbRegistroEntradas[[#This Row],[Data do Caixa Realizado]]))</f>
        <v>11</v>
      </c>
      <c r="J142">
        <f>IF(TbRegistroEntradas[[#This Row],[Data do Caixa Realizado]]="",0,YEAR(TbRegistroEntradas[[#This Row],[Data do Caixa Realizado]]))</f>
        <v>2018</v>
      </c>
    </row>
    <row r="143" spans="2:10" hidden="1" x14ac:dyDescent="0.25">
      <c r="B143" s="13">
        <v>43374</v>
      </c>
      <c r="C143" s="13">
        <v>43363</v>
      </c>
      <c r="D143" s="13">
        <v>43374</v>
      </c>
      <c r="E143" t="s">
        <v>27</v>
      </c>
      <c r="F143" t="s">
        <v>35</v>
      </c>
      <c r="G143" t="s">
        <v>199</v>
      </c>
      <c r="H143" s="16">
        <v>2895</v>
      </c>
      <c r="I143">
        <f>IF(TbRegistroEntradas[[#This Row],[Data do Caixa Realizado]]="",0,MONTH(TbRegistroEntradas[[#This Row],[Data do Caixa Realizado]]))</f>
        <v>10</v>
      </c>
      <c r="J143">
        <f>IF(TbRegistroEntradas[[#This Row],[Data do Caixa Realizado]]="",0,YEAR(TbRegistroEntradas[[#This Row],[Data do Caixa Realizado]]))</f>
        <v>2018</v>
      </c>
    </row>
    <row r="144" spans="2:10" hidden="1" x14ac:dyDescent="0.25">
      <c r="B144" s="13">
        <v>43422</v>
      </c>
      <c r="C144" s="13">
        <v>43364</v>
      </c>
      <c r="D144" s="13">
        <v>43364</v>
      </c>
      <c r="E144" t="s">
        <v>27</v>
      </c>
      <c r="F144" t="s">
        <v>36</v>
      </c>
      <c r="G144" t="s">
        <v>200</v>
      </c>
      <c r="H144" s="16">
        <v>2106</v>
      </c>
      <c r="I144">
        <f>IF(TbRegistroEntradas[[#This Row],[Data do Caixa Realizado]]="",0,MONTH(TbRegistroEntradas[[#This Row],[Data do Caixa Realizado]]))</f>
        <v>11</v>
      </c>
      <c r="J144">
        <f>IF(TbRegistroEntradas[[#This Row],[Data do Caixa Realizado]]="",0,YEAR(TbRegistroEntradas[[#This Row],[Data do Caixa Realizado]]))</f>
        <v>2018</v>
      </c>
    </row>
    <row r="145" spans="2:10" hidden="1" x14ac:dyDescent="0.25">
      <c r="B145" s="13">
        <v>43405</v>
      </c>
      <c r="C145" s="13">
        <v>43366</v>
      </c>
      <c r="D145" s="13">
        <v>43405</v>
      </c>
      <c r="E145" t="s">
        <v>27</v>
      </c>
      <c r="F145" t="s">
        <v>35</v>
      </c>
      <c r="G145" t="s">
        <v>201</v>
      </c>
      <c r="H145" s="16">
        <v>3742</v>
      </c>
      <c r="I145">
        <f>IF(TbRegistroEntradas[[#This Row],[Data do Caixa Realizado]]="",0,MONTH(TbRegistroEntradas[[#This Row],[Data do Caixa Realizado]]))</f>
        <v>11</v>
      </c>
      <c r="J145">
        <f>IF(TbRegistroEntradas[[#This Row],[Data do Caixa Realizado]]="",0,YEAR(TbRegistroEntradas[[#This Row],[Data do Caixa Realizado]]))</f>
        <v>2018</v>
      </c>
    </row>
    <row r="146" spans="2:10" hidden="1" x14ac:dyDescent="0.25">
      <c r="B146" s="13">
        <v>43369</v>
      </c>
      <c r="C146" s="13">
        <v>43369</v>
      </c>
      <c r="D146" s="13">
        <v>43369</v>
      </c>
      <c r="E146" t="s">
        <v>27</v>
      </c>
      <c r="F146" t="s">
        <v>34</v>
      </c>
      <c r="G146" t="s">
        <v>202</v>
      </c>
      <c r="H146" s="16">
        <v>3222</v>
      </c>
      <c r="I146">
        <f>IF(TbRegistroEntradas[[#This Row],[Data do Caixa Realizado]]="",0,MONTH(TbRegistroEntradas[[#This Row],[Data do Caixa Realizado]]))</f>
        <v>9</v>
      </c>
      <c r="J146">
        <f>IF(TbRegistroEntradas[[#This Row],[Data do Caixa Realizado]]="",0,YEAR(TbRegistroEntradas[[#This Row],[Data do Caixa Realizado]]))</f>
        <v>2018</v>
      </c>
    </row>
    <row r="147" spans="2:10" hidden="1" x14ac:dyDescent="0.25">
      <c r="B147" s="13">
        <v>43392</v>
      </c>
      <c r="C147" s="13">
        <v>43374</v>
      </c>
      <c r="D147" s="13">
        <v>43392</v>
      </c>
      <c r="E147" t="s">
        <v>27</v>
      </c>
      <c r="F147" t="s">
        <v>36</v>
      </c>
      <c r="G147" t="s">
        <v>203</v>
      </c>
      <c r="H147" s="16">
        <v>673</v>
      </c>
      <c r="I147">
        <f>IF(TbRegistroEntradas[[#This Row],[Data do Caixa Realizado]]="",0,MONTH(TbRegistroEntradas[[#This Row],[Data do Caixa Realizado]]))</f>
        <v>10</v>
      </c>
      <c r="J147">
        <f>IF(TbRegistroEntradas[[#This Row],[Data do Caixa Realizado]]="",0,YEAR(TbRegistroEntradas[[#This Row],[Data do Caixa Realizado]]))</f>
        <v>2018</v>
      </c>
    </row>
    <row r="148" spans="2:10" hidden="1" x14ac:dyDescent="0.25">
      <c r="B148" s="13">
        <v>43399</v>
      </c>
      <c r="C148" s="13">
        <v>43378</v>
      </c>
      <c r="D148" s="13">
        <v>43399</v>
      </c>
      <c r="E148" t="s">
        <v>27</v>
      </c>
      <c r="F148" t="s">
        <v>33</v>
      </c>
      <c r="G148" t="s">
        <v>204</v>
      </c>
      <c r="H148" s="16">
        <v>4922</v>
      </c>
      <c r="I148">
        <f>IF(TbRegistroEntradas[[#This Row],[Data do Caixa Realizado]]="",0,MONTH(TbRegistroEntradas[[#This Row],[Data do Caixa Realizado]]))</f>
        <v>10</v>
      </c>
      <c r="J148">
        <f>IF(TbRegistroEntradas[[#This Row],[Data do Caixa Realizado]]="",0,YEAR(TbRegistroEntradas[[#This Row],[Data do Caixa Realizado]]))</f>
        <v>2018</v>
      </c>
    </row>
    <row r="149" spans="2:10" hidden="1" x14ac:dyDescent="0.25">
      <c r="B149" s="13">
        <v>43432</v>
      </c>
      <c r="C149" s="13">
        <v>43382</v>
      </c>
      <c r="D149" s="13">
        <v>43432</v>
      </c>
      <c r="E149" t="s">
        <v>27</v>
      </c>
      <c r="F149" t="s">
        <v>37</v>
      </c>
      <c r="G149" t="s">
        <v>205</v>
      </c>
      <c r="H149" s="16">
        <v>1688</v>
      </c>
      <c r="I149">
        <f>IF(TbRegistroEntradas[[#This Row],[Data do Caixa Realizado]]="",0,MONTH(TbRegistroEntradas[[#This Row],[Data do Caixa Realizado]]))</f>
        <v>11</v>
      </c>
      <c r="J149">
        <f>IF(TbRegistroEntradas[[#This Row],[Data do Caixa Realizado]]="",0,YEAR(TbRegistroEntradas[[#This Row],[Data do Caixa Realizado]]))</f>
        <v>2018</v>
      </c>
    </row>
    <row r="150" spans="2:10" hidden="1" x14ac:dyDescent="0.25">
      <c r="B150" s="13">
        <v>43382</v>
      </c>
      <c r="C150" s="13">
        <v>43382</v>
      </c>
      <c r="D150" s="13">
        <v>43382</v>
      </c>
      <c r="E150" t="s">
        <v>27</v>
      </c>
      <c r="F150" t="s">
        <v>37</v>
      </c>
      <c r="G150" t="s">
        <v>206</v>
      </c>
      <c r="H150" s="16">
        <v>979</v>
      </c>
      <c r="I150">
        <f>IF(TbRegistroEntradas[[#This Row],[Data do Caixa Realizado]]="",0,MONTH(TbRegistroEntradas[[#This Row],[Data do Caixa Realizado]]))</f>
        <v>10</v>
      </c>
      <c r="J150">
        <f>IF(TbRegistroEntradas[[#This Row],[Data do Caixa Realizado]]="",0,YEAR(TbRegistroEntradas[[#This Row],[Data do Caixa Realizado]]))</f>
        <v>2018</v>
      </c>
    </row>
    <row r="151" spans="2:10" hidden="1" x14ac:dyDescent="0.25">
      <c r="B151" s="13">
        <v>43400</v>
      </c>
      <c r="C151" s="13">
        <v>43387</v>
      </c>
      <c r="D151" s="13">
        <v>43400</v>
      </c>
      <c r="E151" t="s">
        <v>27</v>
      </c>
      <c r="F151" t="s">
        <v>36</v>
      </c>
      <c r="G151" t="s">
        <v>207</v>
      </c>
      <c r="H151" s="16">
        <v>3744</v>
      </c>
      <c r="I151">
        <f>IF(TbRegistroEntradas[[#This Row],[Data do Caixa Realizado]]="",0,MONTH(TbRegistroEntradas[[#This Row],[Data do Caixa Realizado]]))</f>
        <v>10</v>
      </c>
      <c r="J151">
        <f>IF(TbRegistroEntradas[[#This Row],[Data do Caixa Realizado]]="",0,YEAR(TbRegistroEntradas[[#This Row],[Data do Caixa Realizado]]))</f>
        <v>2018</v>
      </c>
    </row>
    <row r="152" spans="2:10" hidden="1" x14ac:dyDescent="0.25">
      <c r="B152" s="13" t="s">
        <v>70</v>
      </c>
      <c r="C152" s="13">
        <v>43389</v>
      </c>
      <c r="D152" s="13">
        <v>43438</v>
      </c>
      <c r="E152" t="s">
        <v>27</v>
      </c>
      <c r="F152" t="s">
        <v>37</v>
      </c>
      <c r="G152" t="s">
        <v>208</v>
      </c>
      <c r="H152" s="16">
        <v>4061</v>
      </c>
      <c r="I152">
        <f>IF(TbRegistroEntradas[[#This Row],[Data do Caixa Realizado]]="",0,MONTH(TbRegistroEntradas[[#This Row],[Data do Caixa Realizado]]))</f>
        <v>0</v>
      </c>
      <c r="J152">
        <f>IF(TbRegistroEntradas[[#This Row],[Data do Caixa Realizado]]="",0,YEAR(TbRegistroEntradas[[#This Row],[Data do Caixa Realizado]]))</f>
        <v>0</v>
      </c>
    </row>
    <row r="153" spans="2:10" hidden="1" x14ac:dyDescent="0.25">
      <c r="B153" s="13">
        <v>43435</v>
      </c>
      <c r="C153" s="13">
        <v>43394</v>
      </c>
      <c r="D153" s="13">
        <v>43435</v>
      </c>
      <c r="E153" t="s">
        <v>27</v>
      </c>
      <c r="F153" t="s">
        <v>34</v>
      </c>
      <c r="G153" t="s">
        <v>209</v>
      </c>
      <c r="H153" s="16">
        <v>4404</v>
      </c>
      <c r="I153">
        <f>IF(TbRegistroEntradas[[#This Row],[Data do Caixa Realizado]]="",0,MONTH(TbRegistroEntradas[[#This Row],[Data do Caixa Realizado]]))</f>
        <v>12</v>
      </c>
      <c r="J153">
        <f>IF(TbRegistroEntradas[[#This Row],[Data do Caixa Realizado]]="",0,YEAR(TbRegistroEntradas[[#This Row],[Data do Caixa Realizado]]))</f>
        <v>2018</v>
      </c>
    </row>
    <row r="154" spans="2:10" hidden="1" x14ac:dyDescent="0.25">
      <c r="B154" s="13">
        <v>43424</v>
      </c>
      <c r="C154" s="13">
        <v>43398</v>
      </c>
      <c r="D154" s="13">
        <v>43419</v>
      </c>
      <c r="E154" t="s">
        <v>27</v>
      </c>
      <c r="F154" t="s">
        <v>36</v>
      </c>
      <c r="G154" t="s">
        <v>210</v>
      </c>
      <c r="H154" s="16">
        <v>2429</v>
      </c>
      <c r="I154">
        <f>IF(TbRegistroEntradas[[#This Row],[Data do Caixa Realizado]]="",0,MONTH(TbRegistroEntradas[[#This Row],[Data do Caixa Realizado]]))</f>
        <v>11</v>
      </c>
      <c r="J154">
        <f>IF(TbRegistroEntradas[[#This Row],[Data do Caixa Realizado]]="",0,YEAR(TbRegistroEntradas[[#This Row],[Data do Caixa Realizado]]))</f>
        <v>2018</v>
      </c>
    </row>
    <row r="155" spans="2:10" hidden="1" x14ac:dyDescent="0.25">
      <c r="B155" s="13">
        <v>43398</v>
      </c>
      <c r="C155" s="13">
        <v>43398</v>
      </c>
      <c r="D155" s="13">
        <v>43398</v>
      </c>
      <c r="E155" t="s">
        <v>27</v>
      </c>
      <c r="F155" t="s">
        <v>34</v>
      </c>
      <c r="G155" t="s">
        <v>211</v>
      </c>
      <c r="H155" s="16">
        <v>2713</v>
      </c>
      <c r="I155">
        <f>IF(TbRegistroEntradas[[#This Row],[Data do Caixa Realizado]]="",0,MONTH(TbRegistroEntradas[[#This Row],[Data do Caixa Realizado]]))</f>
        <v>10</v>
      </c>
      <c r="J155">
        <f>IF(TbRegistroEntradas[[#This Row],[Data do Caixa Realizado]]="",0,YEAR(TbRegistroEntradas[[#This Row],[Data do Caixa Realizado]]))</f>
        <v>2018</v>
      </c>
    </row>
    <row r="156" spans="2:10" hidden="1" x14ac:dyDescent="0.25">
      <c r="B156" s="13" t="s">
        <v>70</v>
      </c>
      <c r="C156" s="13">
        <v>43403</v>
      </c>
      <c r="D156" s="13">
        <v>43403</v>
      </c>
      <c r="E156" t="s">
        <v>27</v>
      </c>
      <c r="F156" t="s">
        <v>36</v>
      </c>
      <c r="G156" t="s">
        <v>212</v>
      </c>
      <c r="H156" s="16">
        <v>3787</v>
      </c>
      <c r="I156">
        <f>IF(TbRegistroEntradas[[#This Row],[Data do Caixa Realizado]]="",0,MONTH(TbRegistroEntradas[[#This Row],[Data do Caixa Realizado]]))</f>
        <v>0</v>
      </c>
      <c r="J156">
        <f>IF(TbRegistroEntradas[[#This Row],[Data do Caixa Realizado]]="",0,YEAR(TbRegistroEntradas[[#This Row],[Data do Caixa Realizado]]))</f>
        <v>0</v>
      </c>
    </row>
    <row r="157" spans="2:10" hidden="1" x14ac:dyDescent="0.25">
      <c r="B157" s="13">
        <v>43442</v>
      </c>
      <c r="C157" s="13">
        <v>43408</v>
      </c>
      <c r="D157" s="13">
        <v>43442</v>
      </c>
      <c r="E157" t="s">
        <v>27</v>
      </c>
      <c r="F157" t="s">
        <v>35</v>
      </c>
      <c r="G157" t="s">
        <v>213</v>
      </c>
      <c r="H157" s="16">
        <v>1820</v>
      </c>
      <c r="I157">
        <f>IF(TbRegistroEntradas[[#This Row],[Data do Caixa Realizado]]="",0,MONTH(TbRegistroEntradas[[#This Row],[Data do Caixa Realizado]]))</f>
        <v>12</v>
      </c>
      <c r="J157">
        <f>IF(TbRegistroEntradas[[#This Row],[Data do Caixa Realizado]]="",0,YEAR(TbRegistroEntradas[[#This Row],[Data do Caixa Realizado]]))</f>
        <v>2018</v>
      </c>
    </row>
    <row r="158" spans="2:10" hidden="1" x14ac:dyDescent="0.25">
      <c r="B158" s="13">
        <v>43431</v>
      </c>
      <c r="C158" s="13">
        <v>43412</v>
      </c>
      <c r="D158" s="13">
        <v>43431</v>
      </c>
      <c r="E158" t="s">
        <v>27</v>
      </c>
      <c r="F158" t="s">
        <v>36</v>
      </c>
      <c r="G158" t="s">
        <v>214</v>
      </c>
      <c r="H158" s="16">
        <v>4135</v>
      </c>
      <c r="I158">
        <f>IF(TbRegistroEntradas[[#This Row],[Data do Caixa Realizado]]="",0,MONTH(TbRegistroEntradas[[#This Row],[Data do Caixa Realizado]]))</f>
        <v>11</v>
      </c>
      <c r="J158">
        <f>IF(TbRegistroEntradas[[#This Row],[Data do Caixa Realizado]]="",0,YEAR(TbRegistroEntradas[[#This Row],[Data do Caixa Realizado]]))</f>
        <v>2018</v>
      </c>
    </row>
    <row r="159" spans="2:10" hidden="1" x14ac:dyDescent="0.25">
      <c r="B159" s="13">
        <v>43421</v>
      </c>
      <c r="C159" s="13">
        <v>43415</v>
      </c>
      <c r="D159" s="13">
        <v>43421</v>
      </c>
      <c r="E159" t="s">
        <v>27</v>
      </c>
      <c r="F159" t="s">
        <v>36</v>
      </c>
      <c r="G159" t="s">
        <v>215</v>
      </c>
      <c r="H159" s="16">
        <v>3902</v>
      </c>
      <c r="I159">
        <f>IF(TbRegistroEntradas[[#This Row],[Data do Caixa Realizado]]="",0,MONTH(TbRegistroEntradas[[#This Row],[Data do Caixa Realizado]]))</f>
        <v>11</v>
      </c>
      <c r="J159">
        <f>IF(TbRegistroEntradas[[#This Row],[Data do Caixa Realizado]]="",0,YEAR(TbRegistroEntradas[[#This Row],[Data do Caixa Realizado]]))</f>
        <v>2018</v>
      </c>
    </row>
    <row r="160" spans="2:10" hidden="1" x14ac:dyDescent="0.25">
      <c r="B160" s="13">
        <v>43418</v>
      </c>
      <c r="C160" s="13">
        <v>43418</v>
      </c>
      <c r="D160" s="13">
        <v>43418</v>
      </c>
      <c r="E160" t="s">
        <v>27</v>
      </c>
      <c r="F160" t="s">
        <v>36</v>
      </c>
      <c r="G160" t="s">
        <v>216</v>
      </c>
      <c r="H160" s="16">
        <v>4319</v>
      </c>
      <c r="I160">
        <f>IF(TbRegistroEntradas[[#This Row],[Data do Caixa Realizado]]="",0,MONTH(TbRegistroEntradas[[#This Row],[Data do Caixa Realizado]]))</f>
        <v>11</v>
      </c>
      <c r="J160">
        <f>IF(TbRegistroEntradas[[#This Row],[Data do Caixa Realizado]]="",0,YEAR(TbRegistroEntradas[[#This Row],[Data do Caixa Realizado]]))</f>
        <v>2018</v>
      </c>
    </row>
    <row r="161" spans="2:10" hidden="1" x14ac:dyDescent="0.25">
      <c r="B161" s="13">
        <v>43537</v>
      </c>
      <c r="C161" s="13">
        <v>43421</v>
      </c>
      <c r="D161" s="13">
        <v>43464</v>
      </c>
      <c r="E161" t="s">
        <v>27</v>
      </c>
      <c r="F161" t="s">
        <v>34</v>
      </c>
      <c r="G161" t="s">
        <v>217</v>
      </c>
      <c r="H161" s="16">
        <v>3068</v>
      </c>
      <c r="I161">
        <f>IF(TbRegistroEntradas[[#This Row],[Data do Caixa Realizado]]="",0,MONTH(TbRegistroEntradas[[#This Row],[Data do Caixa Realizado]]))</f>
        <v>3</v>
      </c>
      <c r="J161">
        <f>IF(TbRegistroEntradas[[#This Row],[Data do Caixa Realizado]]="",0,YEAR(TbRegistroEntradas[[#This Row],[Data do Caixa Realizado]]))</f>
        <v>2019</v>
      </c>
    </row>
    <row r="162" spans="2:10" hidden="1" x14ac:dyDescent="0.25">
      <c r="B162" s="13">
        <v>43425</v>
      </c>
      <c r="C162" s="13">
        <v>43425</v>
      </c>
      <c r="D162" s="13">
        <v>43425</v>
      </c>
      <c r="E162" t="s">
        <v>27</v>
      </c>
      <c r="F162" t="s">
        <v>36</v>
      </c>
      <c r="G162" t="s">
        <v>218</v>
      </c>
      <c r="H162" s="16">
        <v>1880</v>
      </c>
      <c r="I162">
        <f>IF(TbRegistroEntradas[[#This Row],[Data do Caixa Realizado]]="",0,MONTH(TbRegistroEntradas[[#This Row],[Data do Caixa Realizado]]))</f>
        <v>11</v>
      </c>
      <c r="J162">
        <f>IF(TbRegistroEntradas[[#This Row],[Data do Caixa Realizado]]="",0,YEAR(TbRegistroEntradas[[#This Row],[Data do Caixa Realizado]]))</f>
        <v>2018</v>
      </c>
    </row>
    <row r="163" spans="2:10" hidden="1" x14ac:dyDescent="0.25">
      <c r="B163" s="13">
        <v>43465</v>
      </c>
      <c r="C163" s="13">
        <v>43427</v>
      </c>
      <c r="D163" s="13">
        <v>43465</v>
      </c>
      <c r="E163" t="s">
        <v>27</v>
      </c>
      <c r="F163" t="s">
        <v>36</v>
      </c>
      <c r="G163" t="s">
        <v>219</v>
      </c>
      <c r="H163" s="16">
        <v>1414</v>
      </c>
      <c r="I163">
        <f>IF(TbRegistroEntradas[[#This Row],[Data do Caixa Realizado]]="",0,MONTH(TbRegistroEntradas[[#This Row],[Data do Caixa Realizado]]))</f>
        <v>12</v>
      </c>
      <c r="J163">
        <f>IF(TbRegistroEntradas[[#This Row],[Data do Caixa Realizado]]="",0,YEAR(TbRegistroEntradas[[#This Row],[Data do Caixa Realizado]]))</f>
        <v>2018</v>
      </c>
    </row>
    <row r="164" spans="2:10" hidden="1" x14ac:dyDescent="0.25">
      <c r="B164" s="13">
        <v>43457</v>
      </c>
      <c r="C164" s="13">
        <v>43430</v>
      </c>
      <c r="D164" s="13">
        <v>43447</v>
      </c>
      <c r="E164" t="s">
        <v>27</v>
      </c>
      <c r="F164" t="s">
        <v>33</v>
      </c>
      <c r="G164" t="s">
        <v>220</v>
      </c>
      <c r="H164" s="16">
        <v>919</v>
      </c>
      <c r="I164">
        <f>IF(TbRegistroEntradas[[#This Row],[Data do Caixa Realizado]]="",0,MONTH(TbRegistroEntradas[[#This Row],[Data do Caixa Realizado]]))</f>
        <v>12</v>
      </c>
      <c r="J164">
        <f>IF(TbRegistroEntradas[[#This Row],[Data do Caixa Realizado]]="",0,YEAR(TbRegistroEntradas[[#This Row],[Data do Caixa Realizado]]))</f>
        <v>2018</v>
      </c>
    </row>
    <row r="165" spans="2:10" hidden="1" x14ac:dyDescent="0.25">
      <c r="B165" s="13">
        <v>43431</v>
      </c>
      <c r="C165" s="13">
        <v>43431</v>
      </c>
      <c r="D165" s="13">
        <v>43431</v>
      </c>
      <c r="E165" t="s">
        <v>27</v>
      </c>
      <c r="F165" t="s">
        <v>36</v>
      </c>
      <c r="G165" t="s">
        <v>221</v>
      </c>
      <c r="H165" s="16">
        <v>4801</v>
      </c>
      <c r="I165">
        <f>IF(TbRegistroEntradas[[#This Row],[Data do Caixa Realizado]]="",0,MONTH(TbRegistroEntradas[[#This Row],[Data do Caixa Realizado]]))</f>
        <v>11</v>
      </c>
      <c r="J165">
        <f>IF(TbRegistroEntradas[[#This Row],[Data do Caixa Realizado]]="",0,YEAR(TbRegistroEntradas[[#This Row],[Data do Caixa Realizado]]))</f>
        <v>2018</v>
      </c>
    </row>
    <row r="166" spans="2:10" hidden="1" x14ac:dyDescent="0.25">
      <c r="B166" s="13">
        <v>43434</v>
      </c>
      <c r="C166" s="13">
        <v>43434</v>
      </c>
      <c r="D166" s="13">
        <v>43434</v>
      </c>
      <c r="E166" t="s">
        <v>27</v>
      </c>
      <c r="F166" t="s">
        <v>37</v>
      </c>
      <c r="G166" t="s">
        <v>222</v>
      </c>
      <c r="H166" s="16">
        <v>4639</v>
      </c>
      <c r="I166">
        <f>IF(TbRegistroEntradas[[#This Row],[Data do Caixa Realizado]]="",0,MONTH(TbRegistroEntradas[[#This Row],[Data do Caixa Realizado]]))</f>
        <v>11</v>
      </c>
      <c r="J166">
        <f>IF(TbRegistroEntradas[[#This Row],[Data do Caixa Realizado]]="",0,YEAR(TbRegistroEntradas[[#This Row],[Data do Caixa Realizado]]))</f>
        <v>2018</v>
      </c>
    </row>
    <row r="167" spans="2:10" hidden="1" x14ac:dyDescent="0.25">
      <c r="B167" s="13" t="s">
        <v>70</v>
      </c>
      <c r="C167" s="13">
        <v>43440</v>
      </c>
      <c r="D167" s="13">
        <v>43487</v>
      </c>
      <c r="E167" t="s">
        <v>27</v>
      </c>
      <c r="F167" t="s">
        <v>36</v>
      </c>
      <c r="G167" t="s">
        <v>223</v>
      </c>
      <c r="H167" s="16">
        <v>1209</v>
      </c>
      <c r="I167">
        <f>IF(TbRegistroEntradas[[#This Row],[Data do Caixa Realizado]]="",0,MONTH(TbRegistroEntradas[[#This Row],[Data do Caixa Realizado]]))</f>
        <v>0</v>
      </c>
      <c r="J167">
        <f>IF(TbRegistroEntradas[[#This Row],[Data do Caixa Realizado]]="",0,YEAR(TbRegistroEntradas[[#This Row],[Data do Caixa Realizado]]))</f>
        <v>0</v>
      </c>
    </row>
    <row r="168" spans="2:10" hidden="1" x14ac:dyDescent="0.25">
      <c r="B168" s="13">
        <v>43560</v>
      </c>
      <c r="C168" s="13">
        <v>43444</v>
      </c>
      <c r="D168" s="13">
        <v>43477</v>
      </c>
      <c r="E168" t="s">
        <v>27</v>
      </c>
      <c r="F168" t="s">
        <v>37</v>
      </c>
      <c r="G168" t="s">
        <v>224</v>
      </c>
      <c r="H168" s="16">
        <v>483</v>
      </c>
      <c r="I168">
        <f>IF(TbRegistroEntradas[[#This Row],[Data do Caixa Realizado]]="",0,MONTH(TbRegistroEntradas[[#This Row],[Data do Caixa Realizado]]))</f>
        <v>4</v>
      </c>
      <c r="J168">
        <f>IF(TbRegistroEntradas[[#This Row],[Data do Caixa Realizado]]="",0,YEAR(TbRegistroEntradas[[#This Row],[Data do Caixa Realizado]]))</f>
        <v>2019</v>
      </c>
    </row>
    <row r="169" spans="2:10" hidden="1" x14ac:dyDescent="0.25">
      <c r="B169" s="13">
        <v>43503</v>
      </c>
      <c r="C169" s="13">
        <v>43451</v>
      </c>
      <c r="D169" s="13">
        <v>43469</v>
      </c>
      <c r="E169" t="s">
        <v>27</v>
      </c>
      <c r="F169" t="s">
        <v>36</v>
      </c>
      <c r="G169" t="s">
        <v>225</v>
      </c>
      <c r="H169" s="16">
        <v>373</v>
      </c>
      <c r="I169">
        <f>IF(TbRegistroEntradas[[#This Row],[Data do Caixa Realizado]]="",0,MONTH(TbRegistroEntradas[[#This Row],[Data do Caixa Realizado]]))</f>
        <v>2</v>
      </c>
      <c r="J169">
        <f>IF(TbRegistroEntradas[[#This Row],[Data do Caixa Realizado]]="",0,YEAR(TbRegistroEntradas[[#This Row],[Data do Caixa Realizado]]))</f>
        <v>2019</v>
      </c>
    </row>
    <row r="170" spans="2:10" hidden="1" x14ac:dyDescent="0.25">
      <c r="B170" s="13">
        <v>43459</v>
      </c>
      <c r="C170" s="13">
        <v>43454</v>
      </c>
      <c r="D170" s="13">
        <v>43459</v>
      </c>
      <c r="E170" t="s">
        <v>27</v>
      </c>
      <c r="F170" t="s">
        <v>34</v>
      </c>
      <c r="G170" t="s">
        <v>226</v>
      </c>
      <c r="H170" s="16">
        <v>2088</v>
      </c>
      <c r="I170">
        <f>IF(TbRegistroEntradas[[#This Row],[Data do Caixa Realizado]]="",0,MONTH(TbRegistroEntradas[[#This Row],[Data do Caixa Realizado]]))</f>
        <v>12</v>
      </c>
      <c r="J170">
        <f>IF(TbRegistroEntradas[[#This Row],[Data do Caixa Realizado]]="",0,YEAR(TbRegistroEntradas[[#This Row],[Data do Caixa Realizado]]))</f>
        <v>2018</v>
      </c>
    </row>
    <row r="171" spans="2:10" hidden="1" x14ac:dyDescent="0.25">
      <c r="B171" s="13">
        <v>43497</v>
      </c>
      <c r="C171" s="13">
        <v>43455</v>
      </c>
      <c r="D171" s="13">
        <v>43497</v>
      </c>
      <c r="E171" t="s">
        <v>27</v>
      </c>
      <c r="F171" t="s">
        <v>37</v>
      </c>
      <c r="G171" t="s">
        <v>227</v>
      </c>
      <c r="H171" s="16">
        <v>1168</v>
      </c>
      <c r="I171">
        <f>IF(TbRegistroEntradas[[#This Row],[Data do Caixa Realizado]]="",0,MONTH(TbRegistroEntradas[[#This Row],[Data do Caixa Realizado]]))</f>
        <v>2</v>
      </c>
      <c r="J171">
        <f>IF(TbRegistroEntradas[[#This Row],[Data do Caixa Realizado]]="",0,YEAR(TbRegistroEntradas[[#This Row],[Data do Caixa Realizado]]))</f>
        <v>2019</v>
      </c>
    </row>
    <row r="172" spans="2:10" hidden="1" x14ac:dyDescent="0.25">
      <c r="B172" s="13">
        <v>43457</v>
      </c>
      <c r="C172" s="13">
        <v>43457</v>
      </c>
      <c r="D172" s="13">
        <v>43457</v>
      </c>
      <c r="E172" t="s">
        <v>27</v>
      </c>
      <c r="F172" t="s">
        <v>37</v>
      </c>
      <c r="G172" t="s">
        <v>228</v>
      </c>
      <c r="H172" s="16">
        <v>4429</v>
      </c>
      <c r="I172">
        <f>IF(TbRegistroEntradas[[#This Row],[Data do Caixa Realizado]]="",0,MONTH(TbRegistroEntradas[[#This Row],[Data do Caixa Realizado]]))</f>
        <v>12</v>
      </c>
      <c r="J172">
        <f>IF(TbRegistroEntradas[[#This Row],[Data do Caixa Realizado]]="",0,YEAR(TbRegistroEntradas[[#This Row],[Data do Caixa Realizado]]))</f>
        <v>2018</v>
      </c>
    </row>
    <row r="173" spans="2:10" hidden="1" x14ac:dyDescent="0.25">
      <c r="B173" s="13">
        <v>43519</v>
      </c>
      <c r="C173" s="13">
        <v>43462</v>
      </c>
      <c r="D173" s="13">
        <v>43519</v>
      </c>
      <c r="E173" t="s">
        <v>27</v>
      </c>
      <c r="F173" t="s">
        <v>36</v>
      </c>
      <c r="G173" t="s">
        <v>229</v>
      </c>
      <c r="H173" s="16">
        <v>4955</v>
      </c>
      <c r="I173">
        <f>IF(TbRegistroEntradas[[#This Row],[Data do Caixa Realizado]]="",0,MONTH(TbRegistroEntradas[[#This Row],[Data do Caixa Realizado]]))</f>
        <v>2</v>
      </c>
      <c r="J173">
        <f>IF(TbRegistroEntradas[[#This Row],[Data do Caixa Realizado]]="",0,YEAR(TbRegistroEntradas[[#This Row],[Data do Caixa Realizado]]))</f>
        <v>2019</v>
      </c>
    </row>
    <row r="174" spans="2:10" hidden="1" x14ac:dyDescent="0.25">
      <c r="B174" s="13">
        <v>43483</v>
      </c>
      <c r="C174" s="13">
        <v>43465</v>
      </c>
      <c r="D174" s="13">
        <v>43483</v>
      </c>
      <c r="E174" t="s">
        <v>27</v>
      </c>
      <c r="F174" t="s">
        <v>36</v>
      </c>
      <c r="G174" t="s">
        <v>230</v>
      </c>
      <c r="H174" s="16">
        <v>3201</v>
      </c>
      <c r="I174">
        <f>IF(TbRegistroEntradas[[#This Row],[Data do Caixa Realizado]]="",0,MONTH(TbRegistroEntradas[[#This Row],[Data do Caixa Realizado]]))</f>
        <v>1</v>
      </c>
      <c r="J174">
        <f>IF(TbRegistroEntradas[[#This Row],[Data do Caixa Realizado]]="",0,YEAR(TbRegistroEntradas[[#This Row],[Data do Caixa Realizado]]))</f>
        <v>2019</v>
      </c>
    </row>
    <row r="175" spans="2:10" hidden="1" x14ac:dyDescent="0.25">
      <c r="B175" s="13">
        <v>43511</v>
      </c>
      <c r="C175" s="13">
        <v>43469</v>
      </c>
      <c r="D175" s="13">
        <v>43511</v>
      </c>
      <c r="E175" t="s">
        <v>27</v>
      </c>
      <c r="F175" t="s">
        <v>35</v>
      </c>
      <c r="G175" t="s">
        <v>231</v>
      </c>
      <c r="H175" s="16">
        <v>3007</v>
      </c>
      <c r="I175">
        <f>IF(TbRegistroEntradas[[#This Row],[Data do Caixa Realizado]]="",0,MONTH(TbRegistroEntradas[[#This Row],[Data do Caixa Realizado]]))</f>
        <v>2</v>
      </c>
      <c r="J175">
        <f>IF(TbRegistroEntradas[[#This Row],[Data do Caixa Realizado]]="",0,YEAR(TbRegistroEntradas[[#This Row],[Data do Caixa Realizado]]))</f>
        <v>2019</v>
      </c>
    </row>
    <row r="176" spans="2:10" hidden="1" x14ac:dyDescent="0.25">
      <c r="B176" s="13">
        <v>43473</v>
      </c>
      <c r="C176" s="13">
        <v>43473</v>
      </c>
      <c r="D176" s="13">
        <v>43473</v>
      </c>
      <c r="E176" t="s">
        <v>27</v>
      </c>
      <c r="F176" t="s">
        <v>37</v>
      </c>
      <c r="G176" t="s">
        <v>232</v>
      </c>
      <c r="H176" s="16">
        <v>900</v>
      </c>
      <c r="I176">
        <f>IF(TbRegistroEntradas[[#This Row],[Data do Caixa Realizado]]="",0,MONTH(TbRegistroEntradas[[#This Row],[Data do Caixa Realizado]]))</f>
        <v>1</v>
      </c>
      <c r="J176">
        <f>IF(TbRegistroEntradas[[#This Row],[Data do Caixa Realizado]]="",0,YEAR(TbRegistroEntradas[[#This Row],[Data do Caixa Realizado]]))</f>
        <v>2019</v>
      </c>
    </row>
    <row r="177" spans="2:10" hidden="1" x14ac:dyDescent="0.25">
      <c r="B177" s="13">
        <v>43478</v>
      </c>
      <c r="C177" s="13">
        <v>43478</v>
      </c>
      <c r="D177" s="13">
        <v>43478</v>
      </c>
      <c r="E177" t="s">
        <v>27</v>
      </c>
      <c r="F177" t="s">
        <v>36</v>
      </c>
      <c r="G177" t="s">
        <v>233</v>
      </c>
      <c r="H177" s="16">
        <v>2970</v>
      </c>
      <c r="I177">
        <f>IF(TbRegistroEntradas[[#This Row],[Data do Caixa Realizado]]="",0,MONTH(TbRegistroEntradas[[#This Row],[Data do Caixa Realizado]]))</f>
        <v>1</v>
      </c>
      <c r="J177">
        <f>IF(TbRegistroEntradas[[#This Row],[Data do Caixa Realizado]]="",0,YEAR(TbRegistroEntradas[[#This Row],[Data do Caixa Realizado]]))</f>
        <v>2019</v>
      </c>
    </row>
    <row r="178" spans="2:10" hidden="1" x14ac:dyDescent="0.25">
      <c r="B178" s="13">
        <v>43538</v>
      </c>
      <c r="C178" s="13">
        <v>43482</v>
      </c>
      <c r="D178" s="13">
        <v>43538</v>
      </c>
      <c r="E178" t="s">
        <v>27</v>
      </c>
      <c r="F178" t="s">
        <v>33</v>
      </c>
      <c r="G178" t="s">
        <v>234</v>
      </c>
      <c r="H178" s="16">
        <v>4993</v>
      </c>
      <c r="I178">
        <f>IF(TbRegistroEntradas[[#This Row],[Data do Caixa Realizado]]="",0,MONTH(TbRegistroEntradas[[#This Row],[Data do Caixa Realizado]]))</f>
        <v>3</v>
      </c>
      <c r="J178">
        <f>IF(TbRegistroEntradas[[#This Row],[Data do Caixa Realizado]]="",0,YEAR(TbRegistroEntradas[[#This Row],[Data do Caixa Realizado]]))</f>
        <v>2019</v>
      </c>
    </row>
    <row r="179" spans="2:10" hidden="1" x14ac:dyDescent="0.25">
      <c r="B179" s="13">
        <v>43485</v>
      </c>
      <c r="C179" s="13">
        <v>43485</v>
      </c>
      <c r="D179" s="13">
        <v>43485</v>
      </c>
      <c r="E179" t="s">
        <v>27</v>
      </c>
      <c r="F179" t="s">
        <v>37</v>
      </c>
      <c r="G179" t="s">
        <v>235</v>
      </c>
      <c r="H179" s="16">
        <v>1664</v>
      </c>
      <c r="I179">
        <f>IF(TbRegistroEntradas[[#This Row],[Data do Caixa Realizado]]="",0,MONTH(TbRegistroEntradas[[#This Row],[Data do Caixa Realizado]]))</f>
        <v>1</v>
      </c>
      <c r="J179">
        <f>IF(TbRegistroEntradas[[#This Row],[Data do Caixa Realizado]]="",0,YEAR(TbRegistroEntradas[[#This Row],[Data do Caixa Realizado]]))</f>
        <v>2019</v>
      </c>
    </row>
    <row r="180" spans="2:10" hidden="1" x14ac:dyDescent="0.25">
      <c r="B180" s="13" t="s">
        <v>70</v>
      </c>
      <c r="C180" s="13">
        <v>43486</v>
      </c>
      <c r="D180" s="13">
        <v>43522</v>
      </c>
      <c r="E180" t="s">
        <v>27</v>
      </c>
      <c r="F180" t="s">
        <v>36</v>
      </c>
      <c r="G180" t="s">
        <v>236</v>
      </c>
      <c r="H180" s="16">
        <v>1815</v>
      </c>
      <c r="I180">
        <f>IF(TbRegistroEntradas[[#This Row],[Data do Caixa Realizado]]="",0,MONTH(TbRegistroEntradas[[#This Row],[Data do Caixa Realizado]]))</f>
        <v>0</v>
      </c>
      <c r="J180">
        <f>IF(TbRegistroEntradas[[#This Row],[Data do Caixa Realizado]]="",0,YEAR(TbRegistroEntradas[[#This Row],[Data do Caixa Realizado]]))</f>
        <v>0</v>
      </c>
    </row>
    <row r="181" spans="2:10" hidden="1" x14ac:dyDescent="0.25">
      <c r="B181" s="13">
        <v>43505</v>
      </c>
      <c r="C181" s="13">
        <v>43488</v>
      </c>
      <c r="D181" s="13">
        <v>43505</v>
      </c>
      <c r="E181" t="s">
        <v>27</v>
      </c>
      <c r="F181" t="s">
        <v>35</v>
      </c>
      <c r="G181" t="s">
        <v>237</v>
      </c>
      <c r="H181" s="16">
        <v>3752</v>
      </c>
      <c r="I181">
        <f>IF(TbRegistroEntradas[[#This Row],[Data do Caixa Realizado]]="",0,MONTH(TbRegistroEntradas[[#This Row],[Data do Caixa Realizado]]))</f>
        <v>2</v>
      </c>
      <c r="J181">
        <f>IF(TbRegistroEntradas[[#This Row],[Data do Caixa Realizado]]="",0,YEAR(TbRegistroEntradas[[#This Row],[Data do Caixa Realizado]]))</f>
        <v>2019</v>
      </c>
    </row>
    <row r="182" spans="2:10" hidden="1" x14ac:dyDescent="0.25">
      <c r="B182" s="13" t="s">
        <v>70</v>
      </c>
      <c r="C182" s="13">
        <v>43492</v>
      </c>
      <c r="D182" s="13">
        <v>43513</v>
      </c>
      <c r="E182" t="s">
        <v>27</v>
      </c>
      <c r="F182" t="s">
        <v>36</v>
      </c>
      <c r="G182" t="s">
        <v>238</v>
      </c>
      <c r="H182" s="16">
        <v>177</v>
      </c>
      <c r="I182">
        <f>IF(TbRegistroEntradas[[#This Row],[Data do Caixa Realizado]]="",0,MONTH(TbRegistroEntradas[[#This Row],[Data do Caixa Realizado]]))</f>
        <v>0</v>
      </c>
      <c r="J182">
        <f>IF(TbRegistroEntradas[[#This Row],[Data do Caixa Realizado]]="",0,YEAR(TbRegistroEntradas[[#This Row],[Data do Caixa Realizado]]))</f>
        <v>0</v>
      </c>
    </row>
    <row r="183" spans="2:10" hidden="1" x14ac:dyDescent="0.25">
      <c r="B183" s="13">
        <v>43494</v>
      </c>
      <c r="C183" s="13">
        <v>43494</v>
      </c>
      <c r="D183" s="13">
        <v>43494</v>
      </c>
      <c r="E183" t="s">
        <v>27</v>
      </c>
      <c r="F183" t="s">
        <v>36</v>
      </c>
      <c r="G183" t="s">
        <v>239</v>
      </c>
      <c r="H183" s="16">
        <v>3619</v>
      </c>
      <c r="I183">
        <f>IF(TbRegistroEntradas[[#This Row],[Data do Caixa Realizado]]="",0,MONTH(TbRegistroEntradas[[#This Row],[Data do Caixa Realizado]]))</f>
        <v>1</v>
      </c>
      <c r="J183">
        <f>IF(TbRegistroEntradas[[#This Row],[Data do Caixa Realizado]]="",0,YEAR(TbRegistroEntradas[[#This Row],[Data do Caixa Realizado]]))</f>
        <v>2019</v>
      </c>
    </row>
    <row r="184" spans="2:10" hidden="1" x14ac:dyDescent="0.25">
      <c r="B184" s="13">
        <v>43535</v>
      </c>
      <c r="C184" s="13">
        <v>43498</v>
      </c>
      <c r="D184" s="13">
        <v>43534</v>
      </c>
      <c r="E184" t="s">
        <v>27</v>
      </c>
      <c r="F184" t="s">
        <v>35</v>
      </c>
      <c r="G184" t="s">
        <v>240</v>
      </c>
      <c r="H184" s="16">
        <v>4030</v>
      </c>
      <c r="I184">
        <f>IF(TbRegistroEntradas[[#This Row],[Data do Caixa Realizado]]="",0,MONTH(TbRegistroEntradas[[#This Row],[Data do Caixa Realizado]]))</f>
        <v>3</v>
      </c>
      <c r="J184">
        <f>IF(TbRegistroEntradas[[#This Row],[Data do Caixa Realizado]]="",0,YEAR(TbRegistroEntradas[[#This Row],[Data do Caixa Realizado]]))</f>
        <v>2019</v>
      </c>
    </row>
    <row r="185" spans="2:10" hidden="1" x14ac:dyDescent="0.25">
      <c r="B185" s="13">
        <v>43512</v>
      </c>
      <c r="C185" s="13">
        <v>43501</v>
      </c>
      <c r="D185" s="13">
        <v>43512</v>
      </c>
      <c r="E185" t="s">
        <v>27</v>
      </c>
      <c r="F185" t="s">
        <v>35</v>
      </c>
      <c r="G185" t="s">
        <v>241</v>
      </c>
      <c r="H185" s="16">
        <v>4157</v>
      </c>
      <c r="I185">
        <f>IF(TbRegistroEntradas[[#This Row],[Data do Caixa Realizado]]="",0,MONTH(TbRegistroEntradas[[#This Row],[Data do Caixa Realizado]]))</f>
        <v>2</v>
      </c>
      <c r="J185">
        <f>IF(TbRegistroEntradas[[#This Row],[Data do Caixa Realizado]]="",0,YEAR(TbRegistroEntradas[[#This Row],[Data do Caixa Realizado]]))</f>
        <v>2019</v>
      </c>
    </row>
    <row r="186" spans="2:10" hidden="1" x14ac:dyDescent="0.25">
      <c r="B186" s="13">
        <v>43532</v>
      </c>
      <c r="C186" s="13">
        <v>43502</v>
      </c>
      <c r="D186" s="13">
        <v>43532</v>
      </c>
      <c r="E186" t="s">
        <v>27</v>
      </c>
      <c r="F186" t="s">
        <v>34</v>
      </c>
      <c r="G186" t="s">
        <v>242</v>
      </c>
      <c r="H186" s="16">
        <v>1417</v>
      </c>
      <c r="I186">
        <f>IF(TbRegistroEntradas[[#This Row],[Data do Caixa Realizado]]="",0,MONTH(TbRegistroEntradas[[#This Row],[Data do Caixa Realizado]]))</f>
        <v>3</v>
      </c>
      <c r="J186">
        <f>IF(TbRegistroEntradas[[#This Row],[Data do Caixa Realizado]]="",0,YEAR(TbRegistroEntradas[[#This Row],[Data do Caixa Realizado]]))</f>
        <v>2019</v>
      </c>
    </row>
    <row r="187" spans="2:10" hidden="1" x14ac:dyDescent="0.25">
      <c r="B187" s="13">
        <v>43540</v>
      </c>
      <c r="C187" s="13">
        <v>43505</v>
      </c>
      <c r="D187" s="13">
        <v>43540</v>
      </c>
      <c r="E187" t="s">
        <v>27</v>
      </c>
      <c r="F187" t="s">
        <v>37</v>
      </c>
      <c r="G187" t="s">
        <v>243</v>
      </c>
      <c r="H187" s="16">
        <v>1117</v>
      </c>
      <c r="I187">
        <f>IF(TbRegistroEntradas[[#This Row],[Data do Caixa Realizado]]="",0,MONTH(TbRegistroEntradas[[#This Row],[Data do Caixa Realizado]]))</f>
        <v>3</v>
      </c>
      <c r="J187">
        <f>IF(TbRegistroEntradas[[#This Row],[Data do Caixa Realizado]]="",0,YEAR(TbRegistroEntradas[[#This Row],[Data do Caixa Realizado]]))</f>
        <v>2019</v>
      </c>
    </row>
    <row r="188" spans="2:10" hidden="1" x14ac:dyDescent="0.25">
      <c r="B188" s="13">
        <v>43541</v>
      </c>
      <c r="C188" s="13">
        <v>43506</v>
      </c>
      <c r="D188" s="13">
        <v>43541</v>
      </c>
      <c r="E188" t="s">
        <v>27</v>
      </c>
      <c r="F188" t="s">
        <v>33</v>
      </c>
      <c r="G188" t="s">
        <v>244</v>
      </c>
      <c r="H188" s="16">
        <v>4461</v>
      </c>
      <c r="I188">
        <f>IF(TbRegistroEntradas[[#This Row],[Data do Caixa Realizado]]="",0,MONTH(TbRegistroEntradas[[#This Row],[Data do Caixa Realizado]]))</f>
        <v>3</v>
      </c>
      <c r="J188">
        <f>IF(TbRegistroEntradas[[#This Row],[Data do Caixa Realizado]]="",0,YEAR(TbRegistroEntradas[[#This Row],[Data do Caixa Realizado]]))</f>
        <v>2019</v>
      </c>
    </row>
    <row r="189" spans="2:10" hidden="1" x14ac:dyDescent="0.25">
      <c r="B189" s="13">
        <v>43549</v>
      </c>
      <c r="C189" s="13">
        <v>43508</v>
      </c>
      <c r="D189" s="13">
        <v>43508</v>
      </c>
      <c r="E189" t="s">
        <v>27</v>
      </c>
      <c r="F189" t="s">
        <v>36</v>
      </c>
      <c r="G189" t="s">
        <v>245</v>
      </c>
      <c r="H189" s="16">
        <v>3732</v>
      </c>
      <c r="I189">
        <f>IF(TbRegistroEntradas[[#This Row],[Data do Caixa Realizado]]="",0,MONTH(TbRegistroEntradas[[#This Row],[Data do Caixa Realizado]]))</f>
        <v>3</v>
      </c>
      <c r="J189">
        <f>IF(TbRegistroEntradas[[#This Row],[Data do Caixa Realizado]]="",0,YEAR(TbRegistroEntradas[[#This Row],[Data do Caixa Realizado]]))</f>
        <v>2019</v>
      </c>
    </row>
    <row r="190" spans="2:10" hidden="1" x14ac:dyDescent="0.25">
      <c r="B190" s="13">
        <v>43509</v>
      </c>
      <c r="C190" s="13">
        <v>43509</v>
      </c>
      <c r="D190" s="13">
        <v>43509</v>
      </c>
      <c r="E190" t="s">
        <v>27</v>
      </c>
      <c r="F190" t="s">
        <v>37</v>
      </c>
      <c r="G190" t="s">
        <v>246</v>
      </c>
      <c r="H190" s="16">
        <v>2024</v>
      </c>
      <c r="I190">
        <f>IF(TbRegistroEntradas[[#This Row],[Data do Caixa Realizado]]="",0,MONTH(TbRegistroEntradas[[#This Row],[Data do Caixa Realizado]]))</f>
        <v>2</v>
      </c>
      <c r="J190">
        <f>IF(TbRegistroEntradas[[#This Row],[Data do Caixa Realizado]]="",0,YEAR(TbRegistroEntradas[[#This Row],[Data do Caixa Realizado]]))</f>
        <v>2019</v>
      </c>
    </row>
    <row r="191" spans="2:10" hidden="1" x14ac:dyDescent="0.25">
      <c r="B191" s="13">
        <v>43512</v>
      </c>
      <c r="C191" s="13">
        <v>43512</v>
      </c>
      <c r="D191" s="13">
        <v>43512</v>
      </c>
      <c r="E191" t="s">
        <v>27</v>
      </c>
      <c r="F191" t="s">
        <v>36</v>
      </c>
      <c r="G191" t="s">
        <v>247</v>
      </c>
      <c r="H191" s="16">
        <v>928</v>
      </c>
      <c r="I191">
        <f>IF(TbRegistroEntradas[[#This Row],[Data do Caixa Realizado]]="",0,MONTH(TbRegistroEntradas[[#This Row],[Data do Caixa Realizado]]))</f>
        <v>2</v>
      </c>
      <c r="J191">
        <f>IF(TbRegistroEntradas[[#This Row],[Data do Caixa Realizado]]="",0,YEAR(TbRegistroEntradas[[#This Row],[Data do Caixa Realizado]]))</f>
        <v>2019</v>
      </c>
    </row>
    <row r="192" spans="2:10" hidden="1" x14ac:dyDescent="0.25">
      <c r="B192" s="13">
        <v>43533</v>
      </c>
      <c r="C192" s="13">
        <v>43513</v>
      </c>
      <c r="D192" s="13">
        <v>43513</v>
      </c>
      <c r="E192" t="s">
        <v>27</v>
      </c>
      <c r="F192" t="s">
        <v>36</v>
      </c>
      <c r="G192" t="s">
        <v>248</v>
      </c>
      <c r="H192" s="16">
        <v>3557</v>
      </c>
      <c r="I192">
        <f>IF(TbRegistroEntradas[[#This Row],[Data do Caixa Realizado]]="",0,MONTH(TbRegistroEntradas[[#This Row],[Data do Caixa Realizado]]))</f>
        <v>3</v>
      </c>
      <c r="J192">
        <f>IF(TbRegistroEntradas[[#This Row],[Data do Caixa Realizado]]="",0,YEAR(TbRegistroEntradas[[#This Row],[Data do Caixa Realizado]]))</f>
        <v>2019</v>
      </c>
    </row>
    <row r="193" spans="2:10" hidden="1" x14ac:dyDescent="0.25">
      <c r="B193" s="13">
        <v>43540</v>
      </c>
      <c r="C193" s="13">
        <v>43514</v>
      </c>
      <c r="D193" s="13">
        <v>43540</v>
      </c>
      <c r="E193" t="s">
        <v>27</v>
      </c>
      <c r="F193" t="s">
        <v>37</v>
      </c>
      <c r="G193" t="s">
        <v>249</v>
      </c>
      <c r="H193" s="16">
        <v>741</v>
      </c>
      <c r="I193">
        <f>IF(TbRegistroEntradas[[#This Row],[Data do Caixa Realizado]]="",0,MONTH(TbRegistroEntradas[[#This Row],[Data do Caixa Realizado]]))</f>
        <v>3</v>
      </c>
      <c r="J193">
        <f>IF(TbRegistroEntradas[[#This Row],[Data do Caixa Realizado]]="",0,YEAR(TbRegistroEntradas[[#This Row],[Data do Caixa Realizado]]))</f>
        <v>2019</v>
      </c>
    </row>
    <row r="194" spans="2:10" hidden="1" x14ac:dyDescent="0.25">
      <c r="B194" s="13">
        <v>43548</v>
      </c>
      <c r="C194" s="13">
        <v>43517</v>
      </c>
      <c r="D194" s="13">
        <v>43548</v>
      </c>
      <c r="E194" t="s">
        <v>27</v>
      </c>
      <c r="F194" t="s">
        <v>37</v>
      </c>
      <c r="G194" t="s">
        <v>250</v>
      </c>
      <c r="H194" s="16">
        <v>850</v>
      </c>
      <c r="I194">
        <f>IF(TbRegistroEntradas[[#This Row],[Data do Caixa Realizado]]="",0,MONTH(TbRegistroEntradas[[#This Row],[Data do Caixa Realizado]]))</f>
        <v>3</v>
      </c>
      <c r="J194">
        <f>IF(TbRegistroEntradas[[#This Row],[Data do Caixa Realizado]]="",0,YEAR(TbRegistroEntradas[[#This Row],[Data do Caixa Realizado]]))</f>
        <v>2019</v>
      </c>
    </row>
    <row r="195" spans="2:10" hidden="1" x14ac:dyDescent="0.25">
      <c r="B195" s="13">
        <v>43522</v>
      </c>
      <c r="C195" s="13">
        <v>43522</v>
      </c>
      <c r="D195" s="13">
        <v>43522</v>
      </c>
      <c r="E195" t="s">
        <v>27</v>
      </c>
      <c r="F195" t="s">
        <v>36</v>
      </c>
      <c r="G195" t="s">
        <v>251</v>
      </c>
      <c r="H195" s="16">
        <v>4741</v>
      </c>
      <c r="I195">
        <f>IF(TbRegistroEntradas[[#This Row],[Data do Caixa Realizado]]="",0,MONTH(TbRegistroEntradas[[#This Row],[Data do Caixa Realizado]]))</f>
        <v>2</v>
      </c>
      <c r="J195">
        <f>IF(TbRegistroEntradas[[#This Row],[Data do Caixa Realizado]]="",0,YEAR(TbRegistroEntradas[[#This Row],[Data do Caixa Realizado]]))</f>
        <v>2019</v>
      </c>
    </row>
    <row r="196" spans="2:10" hidden="1" x14ac:dyDescent="0.25">
      <c r="B196" s="13">
        <v>43525</v>
      </c>
      <c r="C196" s="13">
        <v>43525</v>
      </c>
      <c r="D196" s="13">
        <v>43525</v>
      </c>
      <c r="E196" t="s">
        <v>27</v>
      </c>
      <c r="F196" t="s">
        <v>34</v>
      </c>
      <c r="G196" t="s">
        <v>252</v>
      </c>
      <c r="H196" s="16">
        <v>471</v>
      </c>
      <c r="I196">
        <f>IF(TbRegistroEntradas[[#This Row],[Data do Caixa Realizado]]="",0,MONTH(TbRegistroEntradas[[#This Row],[Data do Caixa Realizado]]))</f>
        <v>3</v>
      </c>
      <c r="J196">
        <f>IF(TbRegistroEntradas[[#This Row],[Data do Caixa Realizado]]="",0,YEAR(TbRegistroEntradas[[#This Row],[Data do Caixa Realizado]]))</f>
        <v>2019</v>
      </c>
    </row>
    <row r="197" spans="2:10" hidden="1" x14ac:dyDescent="0.25">
      <c r="B197" s="13">
        <v>43527</v>
      </c>
      <c r="C197" s="13">
        <v>43527</v>
      </c>
      <c r="D197" s="13">
        <v>43527</v>
      </c>
      <c r="E197" t="s">
        <v>27</v>
      </c>
      <c r="F197" t="s">
        <v>34</v>
      </c>
      <c r="G197" t="s">
        <v>253</v>
      </c>
      <c r="H197" s="16">
        <v>517</v>
      </c>
      <c r="I197">
        <f>IF(TbRegistroEntradas[[#This Row],[Data do Caixa Realizado]]="",0,MONTH(TbRegistroEntradas[[#This Row],[Data do Caixa Realizado]]))</f>
        <v>3</v>
      </c>
      <c r="J197">
        <f>IF(TbRegistroEntradas[[#This Row],[Data do Caixa Realizado]]="",0,YEAR(TbRegistroEntradas[[#This Row],[Data do Caixa Realizado]]))</f>
        <v>2019</v>
      </c>
    </row>
    <row r="198" spans="2:10" hidden="1" x14ac:dyDescent="0.25">
      <c r="B198" s="13">
        <v>43563</v>
      </c>
      <c r="C198" s="13">
        <v>43534</v>
      </c>
      <c r="D198" s="13">
        <v>43563</v>
      </c>
      <c r="E198" t="s">
        <v>27</v>
      </c>
      <c r="F198" t="s">
        <v>34</v>
      </c>
      <c r="G198" t="s">
        <v>254</v>
      </c>
      <c r="H198" s="16">
        <v>3034</v>
      </c>
      <c r="I198">
        <f>IF(TbRegistroEntradas[[#This Row],[Data do Caixa Realizado]]="",0,MONTH(TbRegistroEntradas[[#This Row],[Data do Caixa Realizado]]))</f>
        <v>4</v>
      </c>
      <c r="J198">
        <f>IF(TbRegistroEntradas[[#This Row],[Data do Caixa Realizado]]="",0,YEAR(TbRegistroEntradas[[#This Row],[Data do Caixa Realizado]]))</f>
        <v>2019</v>
      </c>
    </row>
    <row r="199" spans="2:10" hidden="1" x14ac:dyDescent="0.25">
      <c r="B199" s="13">
        <v>43578</v>
      </c>
      <c r="C199" s="13">
        <v>43537</v>
      </c>
      <c r="D199" s="13">
        <v>43578</v>
      </c>
      <c r="E199" t="s">
        <v>27</v>
      </c>
      <c r="F199" t="s">
        <v>36</v>
      </c>
      <c r="G199" t="s">
        <v>255</v>
      </c>
      <c r="H199" s="16">
        <v>3172</v>
      </c>
      <c r="I199">
        <f>IF(TbRegistroEntradas[[#This Row],[Data do Caixa Realizado]]="",0,MONTH(TbRegistroEntradas[[#This Row],[Data do Caixa Realizado]]))</f>
        <v>4</v>
      </c>
      <c r="J199">
        <f>IF(TbRegistroEntradas[[#This Row],[Data do Caixa Realizado]]="",0,YEAR(TbRegistroEntradas[[#This Row],[Data do Caixa Realizado]]))</f>
        <v>2019</v>
      </c>
    </row>
    <row r="200" spans="2:10" hidden="1" x14ac:dyDescent="0.25">
      <c r="B200" s="13">
        <v>43543</v>
      </c>
      <c r="C200" s="13">
        <v>43543</v>
      </c>
      <c r="D200" s="13">
        <v>43543</v>
      </c>
      <c r="E200" t="s">
        <v>27</v>
      </c>
      <c r="F200" t="s">
        <v>35</v>
      </c>
      <c r="G200" t="s">
        <v>256</v>
      </c>
      <c r="H200" s="16">
        <v>2069</v>
      </c>
      <c r="I200">
        <f>IF(TbRegistroEntradas[[#This Row],[Data do Caixa Realizado]]="",0,MONTH(TbRegistroEntradas[[#This Row],[Data do Caixa Realizado]]))</f>
        <v>3</v>
      </c>
      <c r="J200">
        <f>IF(TbRegistroEntradas[[#This Row],[Data do Caixa Realizado]]="",0,YEAR(TbRegistroEntradas[[#This Row],[Data do Caixa Realizado]]))</f>
        <v>2019</v>
      </c>
    </row>
    <row r="201" spans="2:10" hidden="1" x14ac:dyDescent="0.25">
      <c r="B201" s="13">
        <v>43545</v>
      </c>
      <c r="C201" s="13">
        <v>43545</v>
      </c>
      <c r="D201" s="13">
        <v>43545</v>
      </c>
      <c r="E201" t="s">
        <v>27</v>
      </c>
      <c r="F201" t="s">
        <v>35</v>
      </c>
      <c r="G201" t="s">
        <v>257</v>
      </c>
      <c r="H201" s="16">
        <v>3849</v>
      </c>
      <c r="I201">
        <f>IF(TbRegistroEntradas[[#This Row],[Data do Caixa Realizado]]="",0,MONTH(TbRegistroEntradas[[#This Row],[Data do Caixa Realizado]]))</f>
        <v>3</v>
      </c>
      <c r="J201">
        <f>IF(TbRegistroEntradas[[#This Row],[Data do Caixa Realizado]]="",0,YEAR(TbRegistroEntradas[[#This Row],[Data do Caixa Realizado]]))</f>
        <v>2019</v>
      </c>
    </row>
    <row r="202" spans="2:10" hidden="1" x14ac:dyDescent="0.25">
      <c r="B202" s="13" t="s">
        <v>70</v>
      </c>
      <c r="C202" s="13">
        <v>43551</v>
      </c>
      <c r="D202" s="13">
        <v>43586</v>
      </c>
      <c r="E202" t="s">
        <v>27</v>
      </c>
      <c r="F202" t="s">
        <v>37</v>
      </c>
      <c r="G202" t="s">
        <v>258</v>
      </c>
      <c r="H202" s="16">
        <v>4141</v>
      </c>
      <c r="I202">
        <f>IF(TbRegistroEntradas[[#This Row],[Data do Caixa Realizado]]="",0,MONTH(TbRegistroEntradas[[#This Row],[Data do Caixa Realizado]]))</f>
        <v>0</v>
      </c>
      <c r="J202">
        <f>IF(TbRegistroEntradas[[#This Row],[Data do Caixa Realizado]]="",0,YEAR(TbRegistroEntradas[[#This Row],[Data do Caixa Realizado]]))</f>
        <v>0</v>
      </c>
    </row>
    <row r="203" spans="2:10" hidden="1" x14ac:dyDescent="0.25">
      <c r="B203" s="13">
        <v>43643</v>
      </c>
      <c r="C203" s="13">
        <v>43552</v>
      </c>
      <c r="D203" s="13">
        <v>43586</v>
      </c>
      <c r="E203" t="s">
        <v>27</v>
      </c>
      <c r="F203" t="s">
        <v>37</v>
      </c>
      <c r="G203" t="s">
        <v>259</v>
      </c>
      <c r="H203" s="16">
        <v>1348</v>
      </c>
      <c r="I203">
        <f>IF(TbRegistroEntradas[[#This Row],[Data do Caixa Realizado]]="",0,MONTH(TbRegistroEntradas[[#This Row],[Data do Caixa Realizado]]))</f>
        <v>6</v>
      </c>
      <c r="J203">
        <f>IF(TbRegistroEntradas[[#This Row],[Data do Caixa Realizado]]="",0,YEAR(TbRegistroEntradas[[#This Row],[Data do Caixa Realizado]]))</f>
        <v>2019</v>
      </c>
    </row>
    <row r="204" spans="2:10" hidden="1" x14ac:dyDescent="0.25">
      <c r="B204" s="13">
        <v>43558</v>
      </c>
      <c r="C204" s="13">
        <v>43558</v>
      </c>
      <c r="D204" s="13">
        <v>43558</v>
      </c>
      <c r="E204" t="s">
        <v>27</v>
      </c>
      <c r="F204" t="s">
        <v>36</v>
      </c>
      <c r="G204" t="s">
        <v>260</v>
      </c>
      <c r="H204" s="16">
        <v>1738</v>
      </c>
      <c r="I204">
        <f>IF(TbRegistroEntradas[[#This Row],[Data do Caixa Realizado]]="",0,MONTH(TbRegistroEntradas[[#This Row],[Data do Caixa Realizado]]))</f>
        <v>4</v>
      </c>
      <c r="J204">
        <f>IF(TbRegistroEntradas[[#This Row],[Data do Caixa Realizado]]="",0,YEAR(TbRegistroEntradas[[#This Row],[Data do Caixa Realizado]]))</f>
        <v>2019</v>
      </c>
    </row>
    <row r="205" spans="2:10" hidden="1" x14ac:dyDescent="0.25">
      <c r="B205" s="13">
        <v>43561</v>
      </c>
      <c r="C205" s="13">
        <v>43561</v>
      </c>
      <c r="D205" s="13">
        <v>43561</v>
      </c>
      <c r="E205" t="s">
        <v>27</v>
      </c>
      <c r="F205" t="s">
        <v>36</v>
      </c>
      <c r="G205" t="s">
        <v>261</v>
      </c>
      <c r="H205" s="16">
        <v>732</v>
      </c>
      <c r="I205">
        <f>IF(TbRegistroEntradas[[#This Row],[Data do Caixa Realizado]]="",0,MONTH(TbRegistroEntradas[[#This Row],[Data do Caixa Realizado]]))</f>
        <v>4</v>
      </c>
      <c r="J205">
        <f>IF(TbRegistroEntradas[[#This Row],[Data do Caixa Realizado]]="",0,YEAR(TbRegistroEntradas[[#This Row],[Data do Caixa Realizado]]))</f>
        <v>2019</v>
      </c>
    </row>
    <row r="206" spans="2:10" hidden="1" x14ac:dyDescent="0.25">
      <c r="B206" s="13">
        <v>43625</v>
      </c>
      <c r="C206" s="13">
        <v>43562</v>
      </c>
      <c r="D206" s="13">
        <v>43586</v>
      </c>
      <c r="E206" t="s">
        <v>27</v>
      </c>
      <c r="F206" t="s">
        <v>37</v>
      </c>
      <c r="G206" t="s">
        <v>262</v>
      </c>
      <c r="H206" s="16">
        <v>373</v>
      </c>
      <c r="I206">
        <f>IF(TbRegistroEntradas[[#This Row],[Data do Caixa Realizado]]="",0,MONTH(TbRegistroEntradas[[#This Row],[Data do Caixa Realizado]]))</f>
        <v>6</v>
      </c>
      <c r="J206">
        <f>IF(TbRegistroEntradas[[#This Row],[Data do Caixa Realizado]]="",0,YEAR(TbRegistroEntradas[[#This Row],[Data do Caixa Realizado]]))</f>
        <v>2019</v>
      </c>
    </row>
    <row r="207" spans="2:10" hidden="1" x14ac:dyDescent="0.25">
      <c r="B207" s="13">
        <v>43609</v>
      </c>
      <c r="C207" s="13">
        <v>43564</v>
      </c>
      <c r="D207" s="13">
        <v>43609</v>
      </c>
      <c r="E207" t="s">
        <v>27</v>
      </c>
      <c r="F207" t="s">
        <v>34</v>
      </c>
      <c r="G207" t="s">
        <v>263</v>
      </c>
      <c r="H207" s="16">
        <v>609</v>
      </c>
      <c r="I207">
        <f>IF(TbRegistroEntradas[[#This Row],[Data do Caixa Realizado]]="",0,MONTH(TbRegistroEntradas[[#This Row],[Data do Caixa Realizado]]))</f>
        <v>5</v>
      </c>
      <c r="J207">
        <f>IF(TbRegistroEntradas[[#This Row],[Data do Caixa Realizado]]="",0,YEAR(TbRegistroEntradas[[#This Row],[Data do Caixa Realizado]]))</f>
        <v>2019</v>
      </c>
    </row>
    <row r="208" spans="2:10" hidden="1" x14ac:dyDescent="0.25">
      <c r="B208" s="13">
        <v>43615</v>
      </c>
      <c r="C208" s="13">
        <v>43567</v>
      </c>
      <c r="D208" s="13">
        <v>43615</v>
      </c>
      <c r="E208" t="s">
        <v>27</v>
      </c>
      <c r="F208" t="s">
        <v>36</v>
      </c>
      <c r="G208" t="s">
        <v>264</v>
      </c>
      <c r="H208" s="16">
        <v>2883</v>
      </c>
      <c r="I208">
        <f>IF(TbRegistroEntradas[[#This Row],[Data do Caixa Realizado]]="",0,MONTH(TbRegistroEntradas[[#This Row],[Data do Caixa Realizado]]))</f>
        <v>5</v>
      </c>
      <c r="J208">
        <f>IF(TbRegistroEntradas[[#This Row],[Data do Caixa Realizado]]="",0,YEAR(TbRegistroEntradas[[#This Row],[Data do Caixa Realizado]]))</f>
        <v>2019</v>
      </c>
    </row>
    <row r="209" spans="2:10" hidden="1" x14ac:dyDescent="0.25">
      <c r="B209" s="13">
        <v>43569</v>
      </c>
      <c r="C209" s="13">
        <v>43569</v>
      </c>
      <c r="D209" s="13">
        <v>43569</v>
      </c>
      <c r="E209" t="s">
        <v>27</v>
      </c>
      <c r="F209" t="s">
        <v>34</v>
      </c>
      <c r="G209" t="s">
        <v>265</v>
      </c>
      <c r="H209" s="16">
        <v>4651</v>
      </c>
      <c r="I209">
        <f>IF(TbRegistroEntradas[[#This Row],[Data do Caixa Realizado]]="",0,MONTH(TbRegistroEntradas[[#This Row],[Data do Caixa Realizado]]))</f>
        <v>4</v>
      </c>
      <c r="J209">
        <f>IF(TbRegistroEntradas[[#This Row],[Data do Caixa Realizado]]="",0,YEAR(TbRegistroEntradas[[#This Row],[Data do Caixa Realizado]]))</f>
        <v>2019</v>
      </c>
    </row>
    <row r="210" spans="2:10" hidden="1" x14ac:dyDescent="0.25">
      <c r="B210" s="13" t="s">
        <v>70</v>
      </c>
      <c r="C210" s="13">
        <v>43573</v>
      </c>
      <c r="D210" s="13">
        <v>43579</v>
      </c>
      <c r="E210" t="s">
        <v>27</v>
      </c>
      <c r="F210" t="s">
        <v>34</v>
      </c>
      <c r="G210" t="s">
        <v>266</v>
      </c>
      <c r="H210" s="16">
        <v>4797</v>
      </c>
      <c r="I210">
        <f>IF(TbRegistroEntradas[[#This Row],[Data do Caixa Realizado]]="",0,MONTH(TbRegistroEntradas[[#This Row],[Data do Caixa Realizado]]))</f>
        <v>0</v>
      </c>
      <c r="J210">
        <f>IF(TbRegistroEntradas[[#This Row],[Data do Caixa Realizado]]="",0,YEAR(TbRegistroEntradas[[#This Row],[Data do Caixa Realizado]]))</f>
        <v>0</v>
      </c>
    </row>
    <row r="211" spans="2:10" hidden="1" x14ac:dyDescent="0.25">
      <c r="B211" s="13">
        <v>43598</v>
      </c>
      <c r="C211" s="13">
        <v>43575</v>
      </c>
      <c r="D211" s="13">
        <v>43598</v>
      </c>
      <c r="E211" t="s">
        <v>27</v>
      </c>
      <c r="F211" t="s">
        <v>35</v>
      </c>
      <c r="G211" t="s">
        <v>267</v>
      </c>
      <c r="H211" s="16">
        <v>1620</v>
      </c>
      <c r="I211">
        <f>IF(TbRegistroEntradas[[#This Row],[Data do Caixa Realizado]]="",0,MONTH(TbRegistroEntradas[[#This Row],[Data do Caixa Realizado]]))</f>
        <v>5</v>
      </c>
      <c r="J211">
        <f>IF(TbRegistroEntradas[[#This Row],[Data do Caixa Realizado]]="",0,YEAR(TbRegistroEntradas[[#This Row],[Data do Caixa Realizado]]))</f>
        <v>2019</v>
      </c>
    </row>
    <row r="212" spans="2:10" hidden="1" x14ac:dyDescent="0.25">
      <c r="B212" s="13">
        <v>43683</v>
      </c>
      <c r="C212" s="13">
        <v>43582</v>
      </c>
      <c r="D212" s="13">
        <v>43625</v>
      </c>
      <c r="E212" t="s">
        <v>27</v>
      </c>
      <c r="F212" t="s">
        <v>37</v>
      </c>
      <c r="G212" t="s">
        <v>268</v>
      </c>
      <c r="H212" s="16">
        <v>245</v>
      </c>
      <c r="I212">
        <f>IF(TbRegistroEntradas[[#This Row],[Data do Caixa Realizado]]="",0,MONTH(TbRegistroEntradas[[#This Row],[Data do Caixa Realizado]]))</f>
        <v>8</v>
      </c>
      <c r="J212">
        <f>IF(TbRegistroEntradas[[#This Row],[Data do Caixa Realizado]]="",0,YEAR(TbRegistroEntradas[[#This Row],[Data do Caixa Realizado]]))</f>
        <v>2019</v>
      </c>
    </row>
    <row r="213" spans="2:10" hidden="1" x14ac:dyDescent="0.25">
      <c r="B213" s="13">
        <v>43595</v>
      </c>
      <c r="C213" s="13">
        <v>43584</v>
      </c>
      <c r="D213" s="13">
        <v>43595</v>
      </c>
      <c r="E213" t="s">
        <v>27</v>
      </c>
      <c r="F213" t="s">
        <v>36</v>
      </c>
      <c r="G213" t="s">
        <v>269</v>
      </c>
      <c r="H213" s="16">
        <v>2091</v>
      </c>
      <c r="I213">
        <f>IF(TbRegistroEntradas[[#This Row],[Data do Caixa Realizado]]="",0,MONTH(TbRegistroEntradas[[#This Row],[Data do Caixa Realizado]]))</f>
        <v>5</v>
      </c>
      <c r="J213">
        <f>IF(TbRegistroEntradas[[#This Row],[Data do Caixa Realizado]]="",0,YEAR(TbRegistroEntradas[[#This Row],[Data do Caixa Realizado]]))</f>
        <v>2019</v>
      </c>
    </row>
    <row r="214" spans="2:10" hidden="1" x14ac:dyDescent="0.25">
      <c r="B214" s="13">
        <v>43594</v>
      </c>
      <c r="C214" s="13">
        <v>43585</v>
      </c>
      <c r="D214" s="13">
        <v>43594</v>
      </c>
      <c r="E214" t="s">
        <v>27</v>
      </c>
      <c r="F214" t="s">
        <v>36</v>
      </c>
      <c r="G214" t="s">
        <v>270</v>
      </c>
      <c r="H214" s="16">
        <v>3200</v>
      </c>
      <c r="I214">
        <f>IF(TbRegistroEntradas[[#This Row],[Data do Caixa Realizado]]="",0,MONTH(TbRegistroEntradas[[#This Row],[Data do Caixa Realizado]]))</f>
        <v>5</v>
      </c>
      <c r="J214">
        <f>IF(TbRegistroEntradas[[#This Row],[Data do Caixa Realizado]]="",0,YEAR(TbRegistroEntradas[[#This Row],[Data do Caixa Realizado]]))</f>
        <v>2019</v>
      </c>
    </row>
    <row r="215" spans="2:10" hidden="1" x14ac:dyDescent="0.25">
      <c r="B215" s="13">
        <v>43587</v>
      </c>
      <c r="C215" s="13">
        <v>43587</v>
      </c>
      <c r="D215" s="13">
        <v>43587</v>
      </c>
      <c r="E215" t="s">
        <v>27</v>
      </c>
      <c r="F215" t="s">
        <v>37</v>
      </c>
      <c r="G215" t="s">
        <v>271</v>
      </c>
      <c r="H215" s="16">
        <v>583</v>
      </c>
      <c r="I215">
        <f>IF(TbRegistroEntradas[[#This Row],[Data do Caixa Realizado]]="",0,MONTH(TbRegistroEntradas[[#This Row],[Data do Caixa Realizado]]))</f>
        <v>5</v>
      </c>
      <c r="J215">
        <f>IF(TbRegistroEntradas[[#This Row],[Data do Caixa Realizado]]="",0,YEAR(TbRegistroEntradas[[#This Row],[Data do Caixa Realizado]]))</f>
        <v>2019</v>
      </c>
    </row>
    <row r="216" spans="2:10" hidden="1" x14ac:dyDescent="0.25">
      <c r="B216" s="13">
        <v>43626</v>
      </c>
      <c r="C216" s="13">
        <v>43590</v>
      </c>
      <c r="D216" s="13">
        <v>43626</v>
      </c>
      <c r="E216" t="s">
        <v>27</v>
      </c>
      <c r="F216" t="s">
        <v>36</v>
      </c>
      <c r="G216" t="s">
        <v>272</v>
      </c>
      <c r="H216" s="16">
        <v>4505</v>
      </c>
      <c r="I216">
        <f>IF(TbRegistroEntradas[[#This Row],[Data do Caixa Realizado]]="",0,MONTH(TbRegistroEntradas[[#This Row],[Data do Caixa Realizado]]))</f>
        <v>6</v>
      </c>
      <c r="J216">
        <f>IF(TbRegistroEntradas[[#This Row],[Data do Caixa Realizado]]="",0,YEAR(TbRegistroEntradas[[#This Row],[Data do Caixa Realizado]]))</f>
        <v>2019</v>
      </c>
    </row>
    <row r="217" spans="2:10" hidden="1" x14ac:dyDescent="0.25">
      <c r="B217" s="13">
        <v>43592</v>
      </c>
      <c r="C217" s="13">
        <v>43592</v>
      </c>
      <c r="D217" s="13">
        <v>43592</v>
      </c>
      <c r="E217" t="s">
        <v>27</v>
      </c>
      <c r="F217" t="s">
        <v>36</v>
      </c>
      <c r="G217" t="s">
        <v>273</v>
      </c>
      <c r="H217" s="16">
        <v>343</v>
      </c>
      <c r="I217">
        <f>IF(TbRegistroEntradas[[#This Row],[Data do Caixa Realizado]]="",0,MONTH(TbRegistroEntradas[[#This Row],[Data do Caixa Realizado]]))</f>
        <v>5</v>
      </c>
      <c r="J217">
        <f>IF(TbRegistroEntradas[[#This Row],[Data do Caixa Realizado]]="",0,YEAR(TbRegistroEntradas[[#This Row],[Data do Caixa Realizado]]))</f>
        <v>2019</v>
      </c>
    </row>
    <row r="218" spans="2:10" hidden="1" x14ac:dyDescent="0.25">
      <c r="B218" s="13">
        <v>43603</v>
      </c>
      <c r="C218" s="13">
        <v>43593</v>
      </c>
      <c r="D218" s="13">
        <v>43603</v>
      </c>
      <c r="E218" t="s">
        <v>27</v>
      </c>
      <c r="F218" t="s">
        <v>34</v>
      </c>
      <c r="G218" t="s">
        <v>274</v>
      </c>
      <c r="H218" s="16">
        <v>4510</v>
      </c>
      <c r="I218">
        <f>IF(TbRegistroEntradas[[#This Row],[Data do Caixa Realizado]]="",0,MONTH(TbRegistroEntradas[[#This Row],[Data do Caixa Realizado]]))</f>
        <v>5</v>
      </c>
      <c r="J218">
        <f>IF(TbRegistroEntradas[[#This Row],[Data do Caixa Realizado]]="",0,YEAR(TbRegistroEntradas[[#This Row],[Data do Caixa Realizado]]))</f>
        <v>2019</v>
      </c>
    </row>
    <row r="219" spans="2:10" hidden="1" x14ac:dyDescent="0.25">
      <c r="B219" s="13">
        <v>43597</v>
      </c>
      <c r="C219" s="13">
        <v>43597</v>
      </c>
      <c r="D219" s="13">
        <v>43597</v>
      </c>
      <c r="E219" t="s">
        <v>27</v>
      </c>
      <c r="F219" t="s">
        <v>36</v>
      </c>
      <c r="G219" t="s">
        <v>275</v>
      </c>
      <c r="H219" s="16">
        <v>667</v>
      </c>
      <c r="I219">
        <f>IF(TbRegistroEntradas[[#This Row],[Data do Caixa Realizado]]="",0,MONTH(TbRegistroEntradas[[#This Row],[Data do Caixa Realizado]]))</f>
        <v>5</v>
      </c>
      <c r="J219">
        <f>IF(TbRegistroEntradas[[#This Row],[Data do Caixa Realizado]]="",0,YEAR(TbRegistroEntradas[[#This Row],[Data do Caixa Realizado]]))</f>
        <v>2019</v>
      </c>
    </row>
    <row r="220" spans="2:10" hidden="1" x14ac:dyDescent="0.25">
      <c r="B220" s="13">
        <v>43631</v>
      </c>
      <c r="C220" s="13">
        <v>43600</v>
      </c>
      <c r="D220" s="13">
        <v>43631</v>
      </c>
      <c r="E220" t="s">
        <v>27</v>
      </c>
      <c r="F220" t="s">
        <v>36</v>
      </c>
      <c r="G220" t="s">
        <v>276</v>
      </c>
      <c r="H220" s="16">
        <v>1006</v>
      </c>
      <c r="I220">
        <f>IF(TbRegistroEntradas[[#This Row],[Data do Caixa Realizado]]="",0,MONTH(TbRegistroEntradas[[#This Row],[Data do Caixa Realizado]]))</f>
        <v>6</v>
      </c>
      <c r="J220">
        <f>IF(TbRegistroEntradas[[#This Row],[Data do Caixa Realizado]]="",0,YEAR(TbRegistroEntradas[[#This Row],[Data do Caixa Realizado]]))</f>
        <v>2019</v>
      </c>
    </row>
    <row r="221" spans="2:10" hidden="1" x14ac:dyDescent="0.25">
      <c r="B221" s="13">
        <v>43635</v>
      </c>
      <c r="C221" s="13">
        <v>43604</v>
      </c>
      <c r="D221" s="13">
        <v>43635</v>
      </c>
      <c r="E221" t="s">
        <v>27</v>
      </c>
      <c r="F221" t="s">
        <v>37</v>
      </c>
      <c r="G221" t="s">
        <v>277</v>
      </c>
      <c r="H221" s="16">
        <v>1071</v>
      </c>
      <c r="I221">
        <f>IF(TbRegistroEntradas[[#This Row],[Data do Caixa Realizado]]="",0,MONTH(TbRegistroEntradas[[#This Row],[Data do Caixa Realizado]]))</f>
        <v>6</v>
      </c>
      <c r="J221">
        <f>IF(TbRegistroEntradas[[#This Row],[Data do Caixa Realizado]]="",0,YEAR(TbRegistroEntradas[[#This Row],[Data do Caixa Realizado]]))</f>
        <v>2019</v>
      </c>
    </row>
    <row r="222" spans="2:10" hidden="1" x14ac:dyDescent="0.25">
      <c r="B222" s="13">
        <v>43630</v>
      </c>
      <c r="C222" s="13">
        <v>43609</v>
      </c>
      <c r="D222" s="13">
        <v>43630</v>
      </c>
      <c r="E222" t="s">
        <v>27</v>
      </c>
      <c r="F222" t="s">
        <v>35</v>
      </c>
      <c r="G222" t="s">
        <v>278</v>
      </c>
      <c r="H222" s="16">
        <v>2194</v>
      </c>
      <c r="I222">
        <f>IF(TbRegistroEntradas[[#This Row],[Data do Caixa Realizado]]="",0,MONTH(TbRegistroEntradas[[#This Row],[Data do Caixa Realizado]]))</f>
        <v>6</v>
      </c>
      <c r="J222">
        <f>IF(TbRegistroEntradas[[#This Row],[Data do Caixa Realizado]]="",0,YEAR(TbRegistroEntradas[[#This Row],[Data do Caixa Realizado]]))</f>
        <v>2019</v>
      </c>
    </row>
    <row r="223" spans="2:10" hidden="1" x14ac:dyDescent="0.25">
      <c r="B223" s="13" t="s">
        <v>70</v>
      </c>
      <c r="C223" s="13">
        <v>43611</v>
      </c>
      <c r="D223" s="13">
        <v>43611</v>
      </c>
      <c r="E223" t="s">
        <v>27</v>
      </c>
      <c r="F223" t="s">
        <v>36</v>
      </c>
      <c r="G223" t="s">
        <v>279</v>
      </c>
      <c r="H223" s="16">
        <v>2531</v>
      </c>
      <c r="I223">
        <f>IF(TbRegistroEntradas[[#This Row],[Data do Caixa Realizado]]="",0,MONTH(TbRegistroEntradas[[#This Row],[Data do Caixa Realizado]]))</f>
        <v>0</v>
      </c>
      <c r="J223">
        <f>IF(TbRegistroEntradas[[#This Row],[Data do Caixa Realizado]]="",0,YEAR(TbRegistroEntradas[[#This Row],[Data do Caixa Realizado]]))</f>
        <v>0</v>
      </c>
    </row>
    <row r="224" spans="2:10" hidden="1" x14ac:dyDescent="0.25">
      <c r="B224" s="13">
        <v>43655</v>
      </c>
      <c r="C224" s="13">
        <v>43614</v>
      </c>
      <c r="D224" s="13">
        <v>43655</v>
      </c>
      <c r="E224" t="s">
        <v>27</v>
      </c>
      <c r="F224" t="s">
        <v>34</v>
      </c>
      <c r="G224" t="s">
        <v>280</v>
      </c>
      <c r="H224" s="16">
        <v>657</v>
      </c>
      <c r="I224">
        <f>IF(TbRegistroEntradas[[#This Row],[Data do Caixa Realizado]]="",0,MONTH(TbRegistroEntradas[[#This Row],[Data do Caixa Realizado]]))</f>
        <v>7</v>
      </c>
      <c r="J224">
        <f>IF(TbRegistroEntradas[[#This Row],[Data do Caixa Realizado]]="",0,YEAR(TbRegistroEntradas[[#This Row],[Data do Caixa Realizado]]))</f>
        <v>2019</v>
      </c>
    </row>
    <row r="225" spans="2:10" hidden="1" x14ac:dyDescent="0.25">
      <c r="B225" s="13" t="s">
        <v>70</v>
      </c>
      <c r="C225" s="13">
        <v>43615</v>
      </c>
      <c r="D225" s="13">
        <v>43648</v>
      </c>
      <c r="E225" t="s">
        <v>27</v>
      </c>
      <c r="F225" t="s">
        <v>33</v>
      </c>
      <c r="G225" t="s">
        <v>281</v>
      </c>
      <c r="H225" s="16">
        <v>4535</v>
      </c>
      <c r="I225">
        <f>IF(TbRegistroEntradas[[#This Row],[Data do Caixa Realizado]]="",0,MONTH(TbRegistroEntradas[[#This Row],[Data do Caixa Realizado]]))</f>
        <v>0</v>
      </c>
      <c r="J225">
        <f>IF(TbRegistroEntradas[[#This Row],[Data do Caixa Realizado]]="",0,YEAR(TbRegistroEntradas[[#This Row],[Data do Caixa Realizado]]))</f>
        <v>0</v>
      </c>
    </row>
    <row r="226" spans="2:10" hidden="1" x14ac:dyDescent="0.25">
      <c r="B226" s="13">
        <v>43641</v>
      </c>
      <c r="C226" s="13">
        <v>43620</v>
      </c>
      <c r="D226" s="13">
        <v>43641</v>
      </c>
      <c r="E226" t="s">
        <v>27</v>
      </c>
      <c r="F226" t="s">
        <v>36</v>
      </c>
      <c r="G226" t="s">
        <v>282</v>
      </c>
      <c r="H226" s="16">
        <v>1848</v>
      </c>
      <c r="I226">
        <f>IF(TbRegistroEntradas[[#This Row],[Data do Caixa Realizado]]="",0,MONTH(TbRegistroEntradas[[#This Row],[Data do Caixa Realizado]]))</f>
        <v>6</v>
      </c>
      <c r="J226">
        <f>IF(TbRegistroEntradas[[#This Row],[Data do Caixa Realizado]]="",0,YEAR(TbRegistroEntradas[[#This Row],[Data do Caixa Realizado]]))</f>
        <v>2019</v>
      </c>
    </row>
    <row r="227" spans="2:10" hidden="1" x14ac:dyDescent="0.25">
      <c r="B227" s="13">
        <v>43649</v>
      </c>
      <c r="C227" s="13">
        <v>43625</v>
      </c>
      <c r="D227" s="13">
        <v>43632</v>
      </c>
      <c r="E227" t="s">
        <v>27</v>
      </c>
      <c r="F227" t="s">
        <v>36</v>
      </c>
      <c r="G227" t="s">
        <v>283</v>
      </c>
      <c r="H227" s="16">
        <v>191</v>
      </c>
      <c r="I227">
        <f>IF(TbRegistroEntradas[[#This Row],[Data do Caixa Realizado]]="",0,MONTH(TbRegistroEntradas[[#This Row],[Data do Caixa Realizado]]))</f>
        <v>7</v>
      </c>
      <c r="J227">
        <f>IF(TbRegistroEntradas[[#This Row],[Data do Caixa Realizado]]="",0,YEAR(TbRegistroEntradas[[#This Row],[Data do Caixa Realizado]]))</f>
        <v>2019</v>
      </c>
    </row>
    <row r="228" spans="2:10" hidden="1" x14ac:dyDescent="0.25">
      <c r="B228" s="13">
        <v>43743</v>
      </c>
      <c r="C228" s="13">
        <v>43629</v>
      </c>
      <c r="D228" s="13">
        <v>43668</v>
      </c>
      <c r="E228" t="s">
        <v>27</v>
      </c>
      <c r="F228" t="s">
        <v>33</v>
      </c>
      <c r="G228" t="s">
        <v>284</v>
      </c>
      <c r="H228" s="16">
        <v>508</v>
      </c>
      <c r="I228">
        <f>IF(TbRegistroEntradas[[#This Row],[Data do Caixa Realizado]]="",0,MONTH(TbRegistroEntradas[[#This Row],[Data do Caixa Realizado]]))</f>
        <v>10</v>
      </c>
      <c r="J228">
        <f>IF(TbRegistroEntradas[[#This Row],[Data do Caixa Realizado]]="",0,YEAR(TbRegistroEntradas[[#This Row],[Data do Caixa Realizado]]))</f>
        <v>2019</v>
      </c>
    </row>
    <row r="229" spans="2:10" hidden="1" x14ac:dyDescent="0.25">
      <c r="B229" s="13" t="s">
        <v>70</v>
      </c>
      <c r="C229" s="13">
        <v>43631</v>
      </c>
      <c r="D229" s="13">
        <v>43631</v>
      </c>
      <c r="E229" t="s">
        <v>27</v>
      </c>
      <c r="F229" t="s">
        <v>35</v>
      </c>
      <c r="G229" t="s">
        <v>285</v>
      </c>
      <c r="H229" s="16">
        <v>1482</v>
      </c>
      <c r="I229">
        <f>IF(TbRegistroEntradas[[#This Row],[Data do Caixa Realizado]]="",0,MONTH(TbRegistroEntradas[[#This Row],[Data do Caixa Realizado]]))</f>
        <v>0</v>
      </c>
      <c r="J229">
        <f>IF(TbRegistroEntradas[[#This Row],[Data do Caixa Realizado]]="",0,YEAR(TbRegistroEntradas[[#This Row],[Data do Caixa Realizado]]))</f>
        <v>0</v>
      </c>
    </row>
    <row r="230" spans="2:10" hidden="1" x14ac:dyDescent="0.25">
      <c r="B230" s="13">
        <v>43647</v>
      </c>
      <c r="C230" s="13">
        <v>43632</v>
      </c>
      <c r="D230" s="13">
        <v>43647</v>
      </c>
      <c r="E230" t="s">
        <v>27</v>
      </c>
      <c r="F230" t="s">
        <v>37</v>
      </c>
      <c r="G230" t="s">
        <v>286</v>
      </c>
      <c r="H230" s="16">
        <v>555</v>
      </c>
      <c r="I230">
        <f>IF(TbRegistroEntradas[[#This Row],[Data do Caixa Realizado]]="",0,MONTH(TbRegistroEntradas[[#This Row],[Data do Caixa Realizado]]))</f>
        <v>7</v>
      </c>
      <c r="J230">
        <f>IF(TbRegistroEntradas[[#This Row],[Data do Caixa Realizado]]="",0,YEAR(TbRegistroEntradas[[#This Row],[Data do Caixa Realizado]]))</f>
        <v>2019</v>
      </c>
    </row>
    <row r="231" spans="2:10" hidden="1" x14ac:dyDescent="0.25">
      <c r="B231" s="13">
        <v>43687</v>
      </c>
      <c r="C231" s="13">
        <v>43636</v>
      </c>
      <c r="D231" s="13">
        <v>43687</v>
      </c>
      <c r="E231" t="s">
        <v>27</v>
      </c>
      <c r="F231" t="s">
        <v>33</v>
      </c>
      <c r="G231" t="s">
        <v>287</v>
      </c>
      <c r="H231" s="16">
        <v>1906</v>
      </c>
      <c r="I231">
        <f>IF(TbRegistroEntradas[[#This Row],[Data do Caixa Realizado]]="",0,MONTH(TbRegistroEntradas[[#This Row],[Data do Caixa Realizado]]))</f>
        <v>8</v>
      </c>
      <c r="J231">
        <f>IF(TbRegistroEntradas[[#This Row],[Data do Caixa Realizado]]="",0,YEAR(TbRegistroEntradas[[#This Row],[Data do Caixa Realizado]]))</f>
        <v>2019</v>
      </c>
    </row>
    <row r="232" spans="2:10" hidden="1" x14ac:dyDescent="0.25">
      <c r="B232" s="13">
        <v>43702</v>
      </c>
      <c r="C232" s="13">
        <v>43641</v>
      </c>
      <c r="D232" s="13">
        <v>43645</v>
      </c>
      <c r="E232" t="s">
        <v>27</v>
      </c>
      <c r="F232" t="s">
        <v>33</v>
      </c>
      <c r="G232" t="s">
        <v>288</v>
      </c>
      <c r="H232" s="16">
        <v>450</v>
      </c>
      <c r="I232">
        <f>IF(TbRegistroEntradas[[#This Row],[Data do Caixa Realizado]]="",0,MONTH(TbRegistroEntradas[[#This Row],[Data do Caixa Realizado]]))</f>
        <v>8</v>
      </c>
      <c r="J232">
        <f>IF(TbRegistroEntradas[[#This Row],[Data do Caixa Realizado]]="",0,YEAR(TbRegistroEntradas[[#This Row],[Data do Caixa Realizado]]))</f>
        <v>2019</v>
      </c>
    </row>
    <row r="233" spans="2:10" hidden="1" x14ac:dyDescent="0.25">
      <c r="B233" s="13">
        <v>43710</v>
      </c>
      <c r="C233" s="13">
        <v>43644</v>
      </c>
      <c r="D233" s="13">
        <v>43662</v>
      </c>
      <c r="E233" t="s">
        <v>27</v>
      </c>
      <c r="F233" t="s">
        <v>36</v>
      </c>
      <c r="G233" t="s">
        <v>289</v>
      </c>
      <c r="H233" s="16">
        <v>1479</v>
      </c>
      <c r="I233">
        <f>IF(TbRegistroEntradas[[#This Row],[Data do Caixa Realizado]]="",0,MONTH(TbRegistroEntradas[[#This Row],[Data do Caixa Realizado]]))</f>
        <v>9</v>
      </c>
      <c r="J233">
        <f>IF(TbRegistroEntradas[[#This Row],[Data do Caixa Realizado]]="",0,YEAR(TbRegistroEntradas[[#This Row],[Data do Caixa Realizado]]))</f>
        <v>2019</v>
      </c>
    </row>
    <row r="234" spans="2:10" hidden="1" x14ac:dyDescent="0.25">
      <c r="B234" s="13">
        <v>43647</v>
      </c>
      <c r="C234" s="13">
        <v>43645</v>
      </c>
      <c r="D234" s="13">
        <v>43647</v>
      </c>
      <c r="E234" t="s">
        <v>27</v>
      </c>
      <c r="F234" t="s">
        <v>36</v>
      </c>
      <c r="G234" t="s">
        <v>290</v>
      </c>
      <c r="H234" s="16">
        <v>3446</v>
      </c>
      <c r="I234">
        <f>IF(TbRegistroEntradas[[#This Row],[Data do Caixa Realizado]]="",0,MONTH(TbRegistroEntradas[[#This Row],[Data do Caixa Realizado]]))</f>
        <v>7</v>
      </c>
      <c r="J234">
        <f>IF(TbRegistroEntradas[[#This Row],[Data do Caixa Realizado]]="",0,YEAR(TbRegistroEntradas[[#This Row],[Data do Caixa Realizado]]))</f>
        <v>2019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A1:O232"/>
  <sheetViews>
    <sheetView showGridLines="0" zoomScale="70" zoomScaleNormal="70" workbookViewId="0">
      <pane ySplit="3" topLeftCell="A4" activePane="bottomLeft" state="frozen"/>
      <selection pane="bottomLeft" activeCell="J4" sqref="J4"/>
    </sheetView>
  </sheetViews>
  <sheetFormatPr defaultColWidth="9.140625" defaultRowHeight="15" x14ac:dyDescent="0.25"/>
  <cols>
    <col min="1" max="1" width="2" customWidth="1"/>
    <col min="2" max="2" width="19" customWidth="1"/>
    <col min="3" max="3" width="13.42578125" customWidth="1"/>
    <col min="4" max="4" width="18.42578125" customWidth="1"/>
    <col min="5" max="5" width="28.28515625" customWidth="1"/>
    <col min="6" max="6" width="42.28515625" customWidth="1"/>
    <col min="7" max="7" width="35.42578125" customWidth="1"/>
    <col min="8" max="8" width="27" customWidth="1"/>
    <col min="9" max="10" width="13.85546875" customWidth="1"/>
    <col min="11" max="15" width="9.140625" customWidth="1"/>
  </cols>
  <sheetData>
    <row r="1" spans="2:10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10" ht="39.950000000000003" customHeight="1" x14ac:dyDescent="0.25">
      <c r="B2" s="5"/>
      <c r="C2" s="5"/>
      <c r="D2" s="5"/>
      <c r="E2" s="5"/>
      <c r="F2" s="5"/>
      <c r="G2" s="5"/>
      <c r="H2" s="5"/>
    </row>
    <row r="3" spans="2:10" ht="46.5" customHeight="1" x14ac:dyDescent="0.25">
      <c r="B3" s="21" t="s">
        <v>53</v>
      </c>
      <c r="C3" s="21" t="s">
        <v>54</v>
      </c>
      <c r="D3" s="21" t="s">
        <v>55</v>
      </c>
      <c r="E3" s="22" t="s">
        <v>56</v>
      </c>
      <c r="F3" s="22" t="s">
        <v>57</v>
      </c>
      <c r="G3" s="22" t="s">
        <v>58</v>
      </c>
      <c r="H3" s="23" t="s">
        <v>59</v>
      </c>
      <c r="I3" s="22" t="s">
        <v>538</v>
      </c>
      <c r="J3" s="22" t="s">
        <v>539</v>
      </c>
    </row>
    <row r="4" spans="2:10" ht="20.100000000000001" customHeight="1" x14ac:dyDescent="0.25">
      <c r="B4" s="13">
        <v>43015</v>
      </c>
      <c r="C4" s="13">
        <v>42957</v>
      </c>
      <c r="D4" s="13">
        <v>43015</v>
      </c>
      <c r="E4" t="s">
        <v>39</v>
      </c>
      <c r="F4" t="s">
        <v>37</v>
      </c>
      <c r="G4" t="s">
        <v>291</v>
      </c>
      <c r="H4" s="16">
        <v>4021</v>
      </c>
      <c r="I4">
        <f>IF(TbRegistroSaídas[[#This Row],[Data do Caixa Realizado]]="",0,MONTH(TbRegistroSaídas[[#This Row],[Data do Caixa Realizado]]))</f>
        <v>10</v>
      </c>
      <c r="J4">
        <f>IF(TbRegistroSaídas[[#This Row],[Data do Caixa Realizado]]="",0,YEAR(TbRegistroSaídas[[#This Row],[Data do Caixa Realizado]]))</f>
        <v>2017</v>
      </c>
    </row>
    <row r="5" spans="2:10" ht="20.100000000000001" customHeight="1" x14ac:dyDescent="0.25">
      <c r="B5" s="13">
        <v>42995</v>
      </c>
      <c r="C5" s="13">
        <v>42960</v>
      </c>
      <c r="D5" s="13">
        <v>42995</v>
      </c>
      <c r="E5" t="s">
        <v>39</v>
      </c>
      <c r="F5" t="s">
        <v>46</v>
      </c>
      <c r="G5" t="s">
        <v>292</v>
      </c>
      <c r="H5" s="16">
        <v>651</v>
      </c>
      <c r="I5">
        <f>IF(TbRegistroSaídas[[#This Row],[Data do Caixa Realizado]]="",0,MONTH(TbRegistroSaídas[[#This Row],[Data do Caixa Realizado]]))</f>
        <v>9</v>
      </c>
      <c r="J5">
        <f>IF(TbRegistroSaídas[[#This Row],[Data do Caixa Realizado]]="",0,YEAR(TbRegistroSaídas[[#This Row],[Data do Caixa Realizado]]))</f>
        <v>2017</v>
      </c>
    </row>
    <row r="6" spans="2:10" ht="20.100000000000001" customHeight="1" x14ac:dyDescent="0.25">
      <c r="B6" s="13">
        <v>42983</v>
      </c>
      <c r="C6" s="13">
        <v>42965</v>
      </c>
      <c r="D6" s="13">
        <v>42983</v>
      </c>
      <c r="E6" t="s">
        <v>39</v>
      </c>
      <c r="F6" t="s">
        <v>37</v>
      </c>
      <c r="G6" t="s">
        <v>293</v>
      </c>
      <c r="H6" s="16">
        <v>131</v>
      </c>
      <c r="I6">
        <f>IF(TbRegistroSaídas[[#This Row],[Data do Caixa Realizado]]="",0,MONTH(TbRegistroSaídas[[#This Row],[Data do Caixa Realizado]]))</f>
        <v>9</v>
      </c>
      <c r="J6">
        <f>IF(TbRegistroSaídas[[#This Row],[Data do Caixa Realizado]]="",0,YEAR(TbRegistroSaídas[[#This Row],[Data do Caixa Realizado]]))</f>
        <v>2017</v>
      </c>
    </row>
    <row r="7" spans="2:10" ht="20.100000000000001" customHeight="1" x14ac:dyDescent="0.25">
      <c r="B7" s="13">
        <v>43004</v>
      </c>
      <c r="C7" s="13">
        <v>42970</v>
      </c>
      <c r="D7" s="13">
        <v>43004</v>
      </c>
      <c r="E7" t="s">
        <v>39</v>
      </c>
      <c r="F7" t="s">
        <v>37</v>
      </c>
      <c r="G7" t="s">
        <v>294</v>
      </c>
      <c r="H7" s="16">
        <v>803</v>
      </c>
      <c r="I7">
        <f>IF(TbRegistroSaídas[[#This Row],[Data do Caixa Realizado]]="",0,MONTH(TbRegistroSaídas[[#This Row],[Data do Caixa Realizado]]))</f>
        <v>9</v>
      </c>
      <c r="J7">
        <f>IF(TbRegistroSaídas[[#This Row],[Data do Caixa Realizado]]="",0,YEAR(TbRegistroSaídas[[#This Row],[Data do Caixa Realizado]]))</f>
        <v>2017</v>
      </c>
    </row>
    <row r="8" spans="2:10" ht="20.100000000000001" customHeight="1" x14ac:dyDescent="0.25">
      <c r="B8" s="13">
        <v>43002</v>
      </c>
      <c r="C8" s="13">
        <v>42971</v>
      </c>
      <c r="D8" s="13">
        <v>43002</v>
      </c>
      <c r="E8" t="s">
        <v>39</v>
      </c>
      <c r="F8" t="s">
        <v>46</v>
      </c>
      <c r="G8" t="s">
        <v>295</v>
      </c>
      <c r="H8" s="16">
        <v>4460</v>
      </c>
      <c r="I8">
        <f>IF(TbRegistroSaídas[[#This Row],[Data do Caixa Realizado]]="",0,MONTH(TbRegistroSaídas[[#This Row],[Data do Caixa Realizado]]))</f>
        <v>9</v>
      </c>
      <c r="J8">
        <f>IF(TbRegistroSaídas[[#This Row],[Data do Caixa Realizado]]="",0,YEAR(TbRegistroSaídas[[#This Row],[Data do Caixa Realizado]]))</f>
        <v>2017</v>
      </c>
    </row>
    <row r="9" spans="2:10" ht="20.100000000000001" customHeight="1" x14ac:dyDescent="0.25">
      <c r="B9" s="13">
        <v>42980</v>
      </c>
      <c r="C9" s="13">
        <v>42972</v>
      </c>
      <c r="D9" s="13">
        <v>42980</v>
      </c>
      <c r="E9" t="s">
        <v>39</v>
      </c>
      <c r="F9" t="s">
        <v>34</v>
      </c>
      <c r="G9" t="s">
        <v>296</v>
      </c>
      <c r="H9" s="16">
        <v>299</v>
      </c>
      <c r="I9">
        <f>IF(TbRegistroSaídas[[#This Row],[Data do Caixa Realizado]]="",0,MONTH(TbRegistroSaídas[[#This Row],[Data do Caixa Realizado]]))</f>
        <v>9</v>
      </c>
      <c r="J9">
        <f>IF(TbRegistroSaídas[[#This Row],[Data do Caixa Realizado]]="",0,YEAR(TbRegistroSaídas[[#This Row],[Data do Caixa Realizado]]))</f>
        <v>2017</v>
      </c>
    </row>
    <row r="10" spans="2:10" ht="20.100000000000001" customHeight="1" x14ac:dyDescent="0.25">
      <c r="B10" s="13">
        <v>43014</v>
      </c>
      <c r="C10" s="13">
        <v>42976</v>
      </c>
      <c r="D10" s="13">
        <v>43014</v>
      </c>
      <c r="E10" t="s">
        <v>39</v>
      </c>
      <c r="F10" t="s">
        <v>46</v>
      </c>
      <c r="G10" t="s">
        <v>297</v>
      </c>
      <c r="H10" s="16">
        <v>618</v>
      </c>
      <c r="I10">
        <f>IF(TbRegistroSaídas[[#This Row],[Data do Caixa Realizado]]="",0,MONTH(TbRegistroSaídas[[#This Row],[Data do Caixa Realizado]]))</f>
        <v>10</v>
      </c>
      <c r="J10">
        <f>IF(TbRegistroSaídas[[#This Row],[Data do Caixa Realizado]]="",0,YEAR(TbRegistroSaídas[[#This Row],[Data do Caixa Realizado]]))</f>
        <v>2017</v>
      </c>
    </row>
    <row r="11" spans="2:10" ht="20.100000000000001" customHeight="1" x14ac:dyDescent="0.25">
      <c r="B11" s="13">
        <v>42990</v>
      </c>
      <c r="C11" s="13">
        <v>42979</v>
      </c>
      <c r="D11" s="13">
        <v>42980</v>
      </c>
      <c r="E11" t="s">
        <v>39</v>
      </c>
      <c r="F11" t="s">
        <v>46</v>
      </c>
      <c r="G11" t="s">
        <v>117</v>
      </c>
      <c r="H11" s="16">
        <v>2505</v>
      </c>
      <c r="I11">
        <f>IF(TbRegistroSaídas[[#This Row],[Data do Caixa Realizado]]="",0,MONTH(TbRegistroSaídas[[#This Row],[Data do Caixa Realizado]]))</f>
        <v>9</v>
      </c>
      <c r="J11">
        <f>IF(TbRegistroSaídas[[#This Row],[Data do Caixa Realizado]]="",0,YEAR(TbRegistroSaídas[[#This Row],[Data do Caixa Realizado]]))</f>
        <v>2017</v>
      </c>
    </row>
    <row r="12" spans="2:10" ht="20.100000000000001" customHeight="1" x14ac:dyDescent="0.25">
      <c r="B12" s="13">
        <v>42987</v>
      </c>
      <c r="C12" s="13">
        <v>42982</v>
      </c>
      <c r="D12" s="13">
        <v>42987</v>
      </c>
      <c r="E12" t="s">
        <v>39</v>
      </c>
      <c r="F12" t="s">
        <v>37</v>
      </c>
      <c r="G12" t="s">
        <v>298</v>
      </c>
      <c r="H12" s="16">
        <v>817</v>
      </c>
      <c r="I12">
        <f>IF(TbRegistroSaídas[[#This Row],[Data do Caixa Realizado]]="",0,MONTH(TbRegistroSaídas[[#This Row],[Data do Caixa Realizado]]))</f>
        <v>9</v>
      </c>
      <c r="J12">
        <f>IF(TbRegistroSaídas[[#This Row],[Data do Caixa Realizado]]="",0,YEAR(TbRegistroSaídas[[#This Row],[Data do Caixa Realizado]]))</f>
        <v>2017</v>
      </c>
    </row>
    <row r="13" spans="2:10" ht="20.100000000000001" customHeight="1" x14ac:dyDescent="0.25">
      <c r="B13" s="13" t="s">
        <v>70</v>
      </c>
      <c r="C13" s="13">
        <v>42984</v>
      </c>
      <c r="D13" s="13">
        <v>42984</v>
      </c>
      <c r="E13" t="s">
        <v>39</v>
      </c>
      <c r="F13" t="s">
        <v>34</v>
      </c>
      <c r="G13" t="s">
        <v>299</v>
      </c>
      <c r="H13" s="16">
        <v>1565</v>
      </c>
      <c r="I13">
        <f>IF(TbRegistroSaídas[[#This Row],[Data do Caixa Realizado]]="",0,MONTH(TbRegistroSaídas[[#This Row],[Data do Caixa Realizado]]))</f>
        <v>0</v>
      </c>
      <c r="J13">
        <f>IF(TbRegistroSaídas[[#This Row],[Data do Caixa Realizado]]="",0,YEAR(TbRegistroSaídas[[#This Row],[Data do Caixa Realizado]]))</f>
        <v>0</v>
      </c>
    </row>
    <row r="14" spans="2:10" ht="20.100000000000001" customHeight="1" x14ac:dyDescent="0.25">
      <c r="B14" s="13" t="s">
        <v>70</v>
      </c>
      <c r="C14" s="13">
        <v>42990</v>
      </c>
      <c r="D14" s="13">
        <v>43020</v>
      </c>
      <c r="E14" t="s">
        <v>39</v>
      </c>
      <c r="F14" t="s">
        <v>35</v>
      </c>
      <c r="G14" t="s">
        <v>300</v>
      </c>
      <c r="H14" s="16">
        <v>1357</v>
      </c>
      <c r="I14">
        <f>IF(TbRegistroSaídas[[#This Row],[Data do Caixa Realizado]]="",0,MONTH(TbRegistroSaídas[[#This Row],[Data do Caixa Realizado]]))</f>
        <v>0</v>
      </c>
      <c r="J14">
        <f>IF(TbRegistroSaídas[[#This Row],[Data do Caixa Realizado]]="",0,YEAR(TbRegistroSaídas[[#This Row],[Data do Caixa Realizado]]))</f>
        <v>0</v>
      </c>
    </row>
    <row r="15" spans="2:10" ht="20.100000000000001" customHeight="1" x14ac:dyDescent="0.25">
      <c r="B15" s="13">
        <v>42991</v>
      </c>
      <c r="C15" s="13">
        <v>42991</v>
      </c>
      <c r="D15" s="13">
        <v>42991</v>
      </c>
      <c r="E15" t="s">
        <v>39</v>
      </c>
      <c r="F15" t="s">
        <v>35</v>
      </c>
      <c r="G15" t="s">
        <v>301</v>
      </c>
      <c r="H15" s="16">
        <v>4739</v>
      </c>
      <c r="I15">
        <f>IF(TbRegistroSaídas[[#This Row],[Data do Caixa Realizado]]="",0,MONTH(TbRegistroSaídas[[#This Row],[Data do Caixa Realizado]]))</f>
        <v>9</v>
      </c>
      <c r="J15">
        <f>IF(TbRegistroSaídas[[#This Row],[Data do Caixa Realizado]]="",0,YEAR(TbRegistroSaídas[[#This Row],[Data do Caixa Realizado]]))</f>
        <v>2017</v>
      </c>
    </row>
    <row r="16" spans="2:10" ht="20.100000000000001" customHeight="1" x14ac:dyDescent="0.25">
      <c r="B16" s="13">
        <v>42992</v>
      </c>
      <c r="C16" s="13">
        <v>42992</v>
      </c>
      <c r="D16" s="13">
        <v>42992</v>
      </c>
      <c r="E16" t="s">
        <v>39</v>
      </c>
      <c r="F16" t="s">
        <v>37</v>
      </c>
      <c r="G16" t="s">
        <v>302</v>
      </c>
      <c r="H16" s="16">
        <v>4675</v>
      </c>
      <c r="I16">
        <f>IF(TbRegistroSaídas[[#This Row],[Data do Caixa Realizado]]="",0,MONTH(TbRegistroSaídas[[#This Row],[Data do Caixa Realizado]]))</f>
        <v>9</v>
      </c>
      <c r="J16">
        <f>IF(TbRegistroSaídas[[#This Row],[Data do Caixa Realizado]]="",0,YEAR(TbRegistroSaídas[[#This Row],[Data do Caixa Realizado]]))</f>
        <v>2017</v>
      </c>
    </row>
    <row r="17" spans="2:10" ht="20.100000000000001" customHeight="1" x14ac:dyDescent="0.25">
      <c r="B17" s="13">
        <v>43004</v>
      </c>
      <c r="C17" s="13">
        <v>42997</v>
      </c>
      <c r="D17" s="13">
        <v>43004</v>
      </c>
      <c r="E17" t="s">
        <v>39</v>
      </c>
      <c r="F17" t="s">
        <v>46</v>
      </c>
      <c r="G17" t="s">
        <v>303</v>
      </c>
      <c r="H17" s="16">
        <v>1797</v>
      </c>
      <c r="I17">
        <f>IF(TbRegistroSaídas[[#This Row],[Data do Caixa Realizado]]="",0,MONTH(TbRegistroSaídas[[#This Row],[Data do Caixa Realizado]]))</f>
        <v>9</v>
      </c>
      <c r="J17">
        <f>IF(TbRegistroSaídas[[#This Row],[Data do Caixa Realizado]]="",0,YEAR(TbRegistroSaídas[[#This Row],[Data do Caixa Realizado]]))</f>
        <v>2017</v>
      </c>
    </row>
    <row r="18" spans="2:10" x14ac:dyDescent="0.25">
      <c r="B18" s="13">
        <v>43043</v>
      </c>
      <c r="C18" s="13">
        <v>43002</v>
      </c>
      <c r="D18" s="13">
        <v>43043</v>
      </c>
      <c r="E18" t="s">
        <v>39</v>
      </c>
      <c r="F18" t="s">
        <v>35</v>
      </c>
      <c r="G18" t="s">
        <v>304</v>
      </c>
      <c r="H18" s="16">
        <v>888</v>
      </c>
      <c r="I18">
        <f>IF(TbRegistroSaídas[[#This Row],[Data do Caixa Realizado]]="",0,MONTH(TbRegistroSaídas[[#This Row],[Data do Caixa Realizado]]))</f>
        <v>11</v>
      </c>
      <c r="J18">
        <f>IF(TbRegistroSaídas[[#This Row],[Data do Caixa Realizado]]="",0,YEAR(TbRegistroSaídas[[#This Row],[Data do Caixa Realizado]]))</f>
        <v>2017</v>
      </c>
    </row>
    <row r="19" spans="2:10" x14ac:dyDescent="0.25">
      <c r="B19" s="13" t="s">
        <v>70</v>
      </c>
      <c r="C19" s="13">
        <v>43003</v>
      </c>
      <c r="D19" s="13">
        <v>43015</v>
      </c>
      <c r="E19" t="s">
        <v>39</v>
      </c>
      <c r="F19" t="s">
        <v>46</v>
      </c>
      <c r="G19" t="s">
        <v>305</v>
      </c>
      <c r="H19" s="16">
        <v>2784</v>
      </c>
      <c r="I19">
        <f>IF(TbRegistroSaídas[[#This Row],[Data do Caixa Realizado]]="",0,MONTH(TbRegistroSaídas[[#This Row],[Data do Caixa Realizado]]))</f>
        <v>0</v>
      </c>
      <c r="J19">
        <f>IF(TbRegistroSaídas[[#This Row],[Data do Caixa Realizado]]="",0,YEAR(TbRegistroSaídas[[#This Row],[Data do Caixa Realizado]]))</f>
        <v>0</v>
      </c>
    </row>
    <row r="20" spans="2:10" x14ac:dyDescent="0.25">
      <c r="B20" s="13">
        <v>43010</v>
      </c>
      <c r="C20" s="13">
        <v>43003</v>
      </c>
      <c r="D20" s="13">
        <v>43010</v>
      </c>
      <c r="E20" t="s">
        <v>39</v>
      </c>
      <c r="F20" t="s">
        <v>34</v>
      </c>
      <c r="G20" t="s">
        <v>306</v>
      </c>
      <c r="H20" s="16">
        <v>707</v>
      </c>
      <c r="I20">
        <f>IF(TbRegistroSaídas[[#This Row],[Data do Caixa Realizado]]="",0,MONTH(TbRegistroSaídas[[#This Row],[Data do Caixa Realizado]]))</f>
        <v>10</v>
      </c>
      <c r="J20">
        <f>IF(TbRegistroSaídas[[#This Row],[Data do Caixa Realizado]]="",0,YEAR(TbRegistroSaídas[[#This Row],[Data do Caixa Realizado]]))</f>
        <v>2017</v>
      </c>
    </row>
    <row r="21" spans="2:10" x14ac:dyDescent="0.25">
      <c r="B21" s="13">
        <v>43042</v>
      </c>
      <c r="C21" s="13">
        <v>43006</v>
      </c>
      <c r="D21" s="13">
        <v>43042</v>
      </c>
      <c r="E21" t="s">
        <v>39</v>
      </c>
      <c r="F21" t="s">
        <v>34</v>
      </c>
      <c r="G21" t="s">
        <v>307</v>
      </c>
      <c r="H21" s="16">
        <v>229</v>
      </c>
      <c r="I21">
        <f>IF(TbRegistroSaídas[[#This Row],[Data do Caixa Realizado]]="",0,MONTH(TbRegistroSaídas[[#This Row],[Data do Caixa Realizado]]))</f>
        <v>11</v>
      </c>
      <c r="J21">
        <f>IF(TbRegistroSaídas[[#This Row],[Data do Caixa Realizado]]="",0,YEAR(TbRegistroSaídas[[#This Row],[Data do Caixa Realizado]]))</f>
        <v>2017</v>
      </c>
    </row>
    <row r="22" spans="2:10" x14ac:dyDescent="0.25">
      <c r="B22" s="13">
        <v>43009</v>
      </c>
      <c r="C22" s="13">
        <v>43009</v>
      </c>
      <c r="D22" s="13">
        <v>43009</v>
      </c>
      <c r="E22" t="s">
        <v>39</v>
      </c>
      <c r="F22" t="s">
        <v>46</v>
      </c>
      <c r="G22" t="s">
        <v>308</v>
      </c>
      <c r="H22" s="16">
        <v>2894</v>
      </c>
      <c r="I22">
        <f>IF(TbRegistroSaídas[[#This Row],[Data do Caixa Realizado]]="",0,MONTH(TbRegistroSaídas[[#This Row],[Data do Caixa Realizado]]))</f>
        <v>10</v>
      </c>
      <c r="J22">
        <f>IF(TbRegistroSaídas[[#This Row],[Data do Caixa Realizado]]="",0,YEAR(TbRegistroSaídas[[#This Row],[Data do Caixa Realizado]]))</f>
        <v>2017</v>
      </c>
    </row>
    <row r="23" spans="2:10" x14ac:dyDescent="0.25">
      <c r="B23" s="13">
        <v>43030</v>
      </c>
      <c r="C23" s="13">
        <v>43012</v>
      </c>
      <c r="D23" s="13">
        <v>43030</v>
      </c>
      <c r="E23" t="s">
        <v>39</v>
      </c>
      <c r="F23" t="s">
        <v>35</v>
      </c>
      <c r="G23" t="s">
        <v>309</v>
      </c>
      <c r="H23" s="16">
        <v>4516</v>
      </c>
      <c r="I23">
        <f>IF(TbRegistroSaídas[[#This Row],[Data do Caixa Realizado]]="",0,MONTH(TbRegistroSaídas[[#This Row],[Data do Caixa Realizado]]))</f>
        <v>10</v>
      </c>
      <c r="J23">
        <f>IF(TbRegistroSaídas[[#This Row],[Data do Caixa Realizado]]="",0,YEAR(TbRegistroSaídas[[#This Row],[Data do Caixa Realizado]]))</f>
        <v>2017</v>
      </c>
    </row>
    <row r="24" spans="2:10" x14ac:dyDescent="0.25">
      <c r="B24" s="13">
        <v>43031</v>
      </c>
      <c r="C24" s="13">
        <v>43014</v>
      </c>
      <c r="D24" s="13">
        <v>43031</v>
      </c>
      <c r="E24" t="s">
        <v>39</v>
      </c>
      <c r="F24" t="s">
        <v>35</v>
      </c>
      <c r="G24" t="s">
        <v>310</v>
      </c>
      <c r="H24" s="16">
        <v>885</v>
      </c>
      <c r="I24">
        <f>IF(TbRegistroSaídas[[#This Row],[Data do Caixa Realizado]]="",0,MONTH(TbRegistroSaídas[[#This Row],[Data do Caixa Realizado]]))</f>
        <v>10</v>
      </c>
      <c r="J24">
        <f>IF(TbRegistroSaídas[[#This Row],[Data do Caixa Realizado]]="",0,YEAR(TbRegistroSaídas[[#This Row],[Data do Caixa Realizado]]))</f>
        <v>2017</v>
      </c>
    </row>
    <row r="25" spans="2:10" x14ac:dyDescent="0.25">
      <c r="B25" s="13">
        <v>43046</v>
      </c>
      <c r="C25" s="13">
        <v>43017</v>
      </c>
      <c r="D25" s="13">
        <v>43046</v>
      </c>
      <c r="E25" t="s">
        <v>39</v>
      </c>
      <c r="F25" t="s">
        <v>33</v>
      </c>
      <c r="G25" t="s">
        <v>311</v>
      </c>
      <c r="H25" s="16">
        <v>1509</v>
      </c>
      <c r="I25">
        <f>IF(TbRegistroSaídas[[#This Row],[Data do Caixa Realizado]]="",0,MONTH(TbRegistroSaídas[[#This Row],[Data do Caixa Realizado]]))</f>
        <v>11</v>
      </c>
      <c r="J25">
        <f>IF(TbRegistroSaídas[[#This Row],[Data do Caixa Realizado]]="",0,YEAR(TbRegistroSaídas[[#This Row],[Data do Caixa Realizado]]))</f>
        <v>2017</v>
      </c>
    </row>
    <row r="26" spans="2:10" x14ac:dyDescent="0.25">
      <c r="B26" s="13">
        <v>43022</v>
      </c>
      <c r="C26" s="13">
        <v>43022</v>
      </c>
      <c r="D26" s="13">
        <v>43022</v>
      </c>
      <c r="E26" t="s">
        <v>39</v>
      </c>
      <c r="F26" t="s">
        <v>46</v>
      </c>
      <c r="G26" t="s">
        <v>312</v>
      </c>
      <c r="H26" s="16">
        <v>145</v>
      </c>
      <c r="I26">
        <f>IF(TbRegistroSaídas[[#This Row],[Data do Caixa Realizado]]="",0,MONTH(TbRegistroSaídas[[#This Row],[Data do Caixa Realizado]]))</f>
        <v>10</v>
      </c>
      <c r="J26">
        <f>IF(TbRegistroSaídas[[#This Row],[Data do Caixa Realizado]]="",0,YEAR(TbRegistroSaídas[[#This Row],[Data do Caixa Realizado]]))</f>
        <v>2017</v>
      </c>
    </row>
    <row r="27" spans="2:10" x14ac:dyDescent="0.25">
      <c r="B27" s="13">
        <v>43031</v>
      </c>
      <c r="C27" s="13">
        <v>43024</v>
      </c>
      <c r="D27" s="13">
        <v>43031</v>
      </c>
      <c r="E27" t="s">
        <v>39</v>
      </c>
      <c r="F27" t="s">
        <v>46</v>
      </c>
      <c r="G27" t="s">
        <v>313</v>
      </c>
      <c r="H27" s="16">
        <v>1311</v>
      </c>
      <c r="I27">
        <f>IF(TbRegistroSaídas[[#This Row],[Data do Caixa Realizado]]="",0,MONTH(TbRegistroSaídas[[#This Row],[Data do Caixa Realizado]]))</f>
        <v>10</v>
      </c>
      <c r="J27">
        <f>IF(TbRegistroSaídas[[#This Row],[Data do Caixa Realizado]]="",0,YEAR(TbRegistroSaídas[[#This Row],[Data do Caixa Realizado]]))</f>
        <v>2017</v>
      </c>
    </row>
    <row r="28" spans="2:10" x14ac:dyDescent="0.25">
      <c r="B28" s="13">
        <v>43026</v>
      </c>
      <c r="C28" s="13">
        <v>43026</v>
      </c>
      <c r="D28" s="13">
        <v>43026</v>
      </c>
      <c r="E28" t="s">
        <v>39</v>
      </c>
      <c r="F28" t="s">
        <v>46</v>
      </c>
      <c r="G28" t="s">
        <v>314</v>
      </c>
      <c r="H28" s="16">
        <v>4182</v>
      </c>
      <c r="I28">
        <f>IF(TbRegistroSaídas[[#This Row],[Data do Caixa Realizado]]="",0,MONTH(TbRegistroSaídas[[#This Row],[Data do Caixa Realizado]]))</f>
        <v>10</v>
      </c>
      <c r="J28">
        <f>IF(TbRegistroSaídas[[#This Row],[Data do Caixa Realizado]]="",0,YEAR(TbRegistroSaídas[[#This Row],[Data do Caixa Realizado]]))</f>
        <v>2017</v>
      </c>
    </row>
    <row r="29" spans="2:10" x14ac:dyDescent="0.25">
      <c r="B29" s="13">
        <v>43065</v>
      </c>
      <c r="C29" s="13">
        <v>43032</v>
      </c>
      <c r="D29" s="13">
        <v>43037</v>
      </c>
      <c r="E29" t="s">
        <v>39</v>
      </c>
      <c r="F29" t="s">
        <v>34</v>
      </c>
      <c r="G29" t="s">
        <v>315</v>
      </c>
      <c r="H29" s="16">
        <v>339</v>
      </c>
      <c r="I29">
        <f>IF(TbRegistroSaídas[[#This Row],[Data do Caixa Realizado]]="",0,MONTH(TbRegistroSaídas[[#This Row],[Data do Caixa Realizado]]))</f>
        <v>11</v>
      </c>
      <c r="J29">
        <f>IF(TbRegistroSaídas[[#This Row],[Data do Caixa Realizado]]="",0,YEAR(TbRegistroSaídas[[#This Row],[Data do Caixa Realizado]]))</f>
        <v>2017</v>
      </c>
    </row>
    <row r="30" spans="2:10" x14ac:dyDescent="0.25">
      <c r="B30" s="13">
        <v>43071</v>
      </c>
      <c r="C30" s="13">
        <v>43037</v>
      </c>
      <c r="D30" s="13">
        <v>43068</v>
      </c>
      <c r="E30" t="s">
        <v>39</v>
      </c>
      <c r="F30" t="s">
        <v>33</v>
      </c>
      <c r="G30" t="s">
        <v>316</v>
      </c>
      <c r="H30" s="16">
        <v>1788</v>
      </c>
      <c r="I30">
        <f>IF(TbRegistroSaídas[[#This Row],[Data do Caixa Realizado]]="",0,MONTH(TbRegistroSaídas[[#This Row],[Data do Caixa Realizado]]))</f>
        <v>12</v>
      </c>
      <c r="J30">
        <f>IF(TbRegistroSaídas[[#This Row],[Data do Caixa Realizado]]="",0,YEAR(TbRegistroSaídas[[#This Row],[Data do Caixa Realizado]]))</f>
        <v>2017</v>
      </c>
    </row>
    <row r="31" spans="2:10" x14ac:dyDescent="0.25">
      <c r="B31" s="13">
        <v>43089</v>
      </c>
      <c r="C31" s="13">
        <v>43042</v>
      </c>
      <c r="D31" s="13">
        <v>43089</v>
      </c>
      <c r="E31" t="s">
        <v>39</v>
      </c>
      <c r="F31" t="s">
        <v>35</v>
      </c>
      <c r="G31" t="s">
        <v>317</v>
      </c>
      <c r="H31" s="16">
        <v>1171</v>
      </c>
      <c r="I31">
        <f>IF(TbRegistroSaídas[[#This Row],[Data do Caixa Realizado]]="",0,MONTH(TbRegistroSaídas[[#This Row],[Data do Caixa Realizado]]))</f>
        <v>12</v>
      </c>
      <c r="J31">
        <f>IF(TbRegistroSaídas[[#This Row],[Data do Caixa Realizado]]="",0,YEAR(TbRegistroSaídas[[#This Row],[Data do Caixa Realizado]]))</f>
        <v>2017</v>
      </c>
    </row>
    <row r="32" spans="2:10" x14ac:dyDescent="0.25">
      <c r="B32" s="13">
        <v>43044</v>
      </c>
      <c r="C32" s="13">
        <v>43044</v>
      </c>
      <c r="D32" s="13">
        <v>43044</v>
      </c>
      <c r="E32" t="s">
        <v>39</v>
      </c>
      <c r="F32" t="s">
        <v>46</v>
      </c>
      <c r="G32" t="s">
        <v>318</v>
      </c>
      <c r="H32" s="16">
        <v>4059</v>
      </c>
      <c r="I32">
        <f>IF(TbRegistroSaídas[[#This Row],[Data do Caixa Realizado]]="",0,MONTH(TbRegistroSaídas[[#This Row],[Data do Caixa Realizado]]))</f>
        <v>11</v>
      </c>
      <c r="J32">
        <f>IF(TbRegistroSaídas[[#This Row],[Data do Caixa Realizado]]="",0,YEAR(TbRegistroSaídas[[#This Row],[Data do Caixa Realizado]]))</f>
        <v>2017</v>
      </c>
    </row>
    <row r="33" spans="2:10" x14ac:dyDescent="0.25">
      <c r="B33" s="13">
        <v>43047</v>
      </c>
      <c r="C33" s="13">
        <v>43047</v>
      </c>
      <c r="D33" s="13">
        <v>43047</v>
      </c>
      <c r="E33" t="s">
        <v>39</v>
      </c>
      <c r="F33" t="s">
        <v>37</v>
      </c>
      <c r="G33" t="s">
        <v>319</v>
      </c>
      <c r="H33" s="16">
        <v>4919</v>
      </c>
      <c r="I33">
        <f>IF(TbRegistroSaídas[[#This Row],[Data do Caixa Realizado]]="",0,MONTH(TbRegistroSaídas[[#This Row],[Data do Caixa Realizado]]))</f>
        <v>11</v>
      </c>
      <c r="J33">
        <f>IF(TbRegistroSaídas[[#This Row],[Data do Caixa Realizado]]="",0,YEAR(TbRegistroSaídas[[#This Row],[Data do Caixa Realizado]]))</f>
        <v>2017</v>
      </c>
    </row>
    <row r="34" spans="2:10" x14ac:dyDescent="0.25">
      <c r="B34" s="13">
        <v>43087</v>
      </c>
      <c r="C34" s="13">
        <v>43051</v>
      </c>
      <c r="D34" s="13">
        <v>43087</v>
      </c>
      <c r="E34" t="s">
        <v>39</v>
      </c>
      <c r="F34" t="s">
        <v>46</v>
      </c>
      <c r="G34" t="s">
        <v>320</v>
      </c>
      <c r="H34" s="16">
        <v>3224</v>
      </c>
      <c r="I34">
        <f>IF(TbRegistroSaídas[[#This Row],[Data do Caixa Realizado]]="",0,MONTH(TbRegistroSaídas[[#This Row],[Data do Caixa Realizado]]))</f>
        <v>12</v>
      </c>
      <c r="J34">
        <f>IF(TbRegistroSaídas[[#This Row],[Data do Caixa Realizado]]="",0,YEAR(TbRegistroSaídas[[#This Row],[Data do Caixa Realizado]]))</f>
        <v>2017</v>
      </c>
    </row>
    <row r="35" spans="2:10" x14ac:dyDescent="0.25">
      <c r="B35" s="13">
        <v>43095</v>
      </c>
      <c r="C35" s="13">
        <v>43054</v>
      </c>
      <c r="D35" s="13">
        <v>43095</v>
      </c>
      <c r="E35" t="s">
        <v>39</v>
      </c>
      <c r="F35" t="s">
        <v>35</v>
      </c>
      <c r="G35" t="s">
        <v>321</v>
      </c>
      <c r="H35" s="16">
        <v>3725</v>
      </c>
      <c r="I35">
        <f>IF(TbRegistroSaídas[[#This Row],[Data do Caixa Realizado]]="",0,MONTH(TbRegistroSaídas[[#This Row],[Data do Caixa Realizado]]))</f>
        <v>12</v>
      </c>
      <c r="J35">
        <f>IF(TbRegistroSaídas[[#This Row],[Data do Caixa Realizado]]="",0,YEAR(TbRegistroSaídas[[#This Row],[Data do Caixa Realizado]]))</f>
        <v>2017</v>
      </c>
    </row>
    <row r="36" spans="2:10" x14ac:dyDescent="0.25">
      <c r="B36" s="13">
        <v>43056</v>
      </c>
      <c r="C36" s="13">
        <v>43056</v>
      </c>
      <c r="D36" s="13">
        <v>43056</v>
      </c>
      <c r="E36" t="s">
        <v>39</v>
      </c>
      <c r="F36" t="s">
        <v>35</v>
      </c>
      <c r="G36" t="s">
        <v>322</v>
      </c>
      <c r="H36" s="16">
        <v>312</v>
      </c>
      <c r="I36">
        <f>IF(TbRegistroSaídas[[#This Row],[Data do Caixa Realizado]]="",0,MONTH(TbRegistroSaídas[[#This Row],[Data do Caixa Realizado]]))</f>
        <v>11</v>
      </c>
      <c r="J36">
        <f>IF(TbRegistroSaídas[[#This Row],[Data do Caixa Realizado]]="",0,YEAR(TbRegistroSaídas[[#This Row],[Data do Caixa Realizado]]))</f>
        <v>2017</v>
      </c>
    </row>
    <row r="37" spans="2:10" x14ac:dyDescent="0.25">
      <c r="B37" s="13">
        <v>43112</v>
      </c>
      <c r="C37" s="13">
        <v>43057</v>
      </c>
      <c r="D37" s="13">
        <v>43112</v>
      </c>
      <c r="E37" t="s">
        <v>39</v>
      </c>
      <c r="F37" t="s">
        <v>46</v>
      </c>
      <c r="G37" t="s">
        <v>323</v>
      </c>
      <c r="H37" s="16">
        <v>4773</v>
      </c>
      <c r="I37">
        <f>IF(TbRegistroSaídas[[#This Row],[Data do Caixa Realizado]]="",0,MONTH(TbRegistroSaídas[[#This Row],[Data do Caixa Realizado]]))</f>
        <v>1</v>
      </c>
      <c r="J37">
        <f>IF(TbRegistroSaídas[[#This Row],[Data do Caixa Realizado]]="",0,YEAR(TbRegistroSaídas[[#This Row],[Data do Caixa Realizado]]))</f>
        <v>2018</v>
      </c>
    </row>
    <row r="38" spans="2:10" x14ac:dyDescent="0.25">
      <c r="B38" s="13">
        <v>43101</v>
      </c>
      <c r="C38" s="13">
        <v>43058</v>
      </c>
      <c r="D38" s="13">
        <v>43058</v>
      </c>
      <c r="E38" t="s">
        <v>39</v>
      </c>
      <c r="F38" t="s">
        <v>37</v>
      </c>
      <c r="G38" t="s">
        <v>324</v>
      </c>
      <c r="H38" s="16">
        <v>228</v>
      </c>
      <c r="I38">
        <f>IF(TbRegistroSaídas[[#This Row],[Data do Caixa Realizado]]="",0,MONTH(TbRegistroSaídas[[#This Row],[Data do Caixa Realizado]]))</f>
        <v>1</v>
      </c>
      <c r="J38">
        <f>IF(TbRegistroSaídas[[#This Row],[Data do Caixa Realizado]]="",0,YEAR(TbRegistroSaídas[[#This Row],[Data do Caixa Realizado]]))</f>
        <v>2018</v>
      </c>
    </row>
    <row r="39" spans="2:10" x14ac:dyDescent="0.25">
      <c r="B39" s="13">
        <v>43061</v>
      </c>
      <c r="C39" s="13">
        <v>43061</v>
      </c>
      <c r="D39" s="13">
        <v>43061</v>
      </c>
      <c r="E39" t="s">
        <v>39</v>
      </c>
      <c r="F39" t="s">
        <v>46</v>
      </c>
      <c r="G39" t="s">
        <v>325</v>
      </c>
      <c r="H39" s="16">
        <v>450</v>
      </c>
      <c r="I39">
        <f>IF(TbRegistroSaídas[[#This Row],[Data do Caixa Realizado]]="",0,MONTH(TbRegistroSaídas[[#This Row],[Data do Caixa Realizado]]))</f>
        <v>11</v>
      </c>
      <c r="J39">
        <f>IF(TbRegistroSaídas[[#This Row],[Data do Caixa Realizado]]="",0,YEAR(TbRegistroSaídas[[#This Row],[Data do Caixa Realizado]]))</f>
        <v>2017</v>
      </c>
    </row>
    <row r="40" spans="2:10" x14ac:dyDescent="0.25">
      <c r="B40" s="13">
        <v>43103</v>
      </c>
      <c r="C40" s="13">
        <v>43062</v>
      </c>
      <c r="D40" s="13">
        <v>43103</v>
      </c>
      <c r="E40" t="s">
        <v>39</v>
      </c>
      <c r="F40" t="s">
        <v>46</v>
      </c>
      <c r="G40" t="s">
        <v>326</v>
      </c>
      <c r="H40" s="16">
        <v>1155</v>
      </c>
      <c r="I40">
        <f>IF(TbRegistroSaídas[[#This Row],[Data do Caixa Realizado]]="",0,MONTH(TbRegistroSaídas[[#This Row],[Data do Caixa Realizado]]))</f>
        <v>1</v>
      </c>
      <c r="J40">
        <f>IF(TbRegistroSaídas[[#This Row],[Data do Caixa Realizado]]="",0,YEAR(TbRegistroSaídas[[#This Row],[Data do Caixa Realizado]]))</f>
        <v>2018</v>
      </c>
    </row>
    <row r="41" spans="2:10" x14ac:dyDescent="0.25">
      <c r="B41" s="13">
        <v>43070</v>
      </c>
      <c r="C41" s="13">
        <v>43069</v>
      </c>
      <c r="D41" s="13">
        <v>43070</v>
      </c>
      <c r="E41" t="s">
        <v>39</v>
      </c>
      <c r="F41" t="s">
        <v>46</v>
      </c>
      <c r="G41" t="s">
        <v>295</v>
      </c>
      <c r="H41" s="16">
        <v>1967</v>
      </c>
      <c r="I41">
        <f>IF(TbRegistroSaídas[[#This Row],[Data do Caixa Realizado]]="",0,MONTH(TbRegistroSaídas[[#This Row],[Data do Caixa Realizado]]))</f>
        <v>12</v>
      </c>
      <c r="J41">
        <f>IF(TbRegistroSaídas[[#This Row],[Data do Caixa Realizado]]="",0,YEAR(TbRegistroSaídas[[#This Row],[Data do Caixa Realizado]]))</f>
        <v>2017</v>
      </c>
    </row>
    <row r="42" spans="2:10" x14ac:dyDescent="0.25">
      <c r="B42" s="13">
        <v>43096</v>
      </c>
      <c r="C42" s="13">
        <v>43070</v>
      </c>
      <c r="D42" s="13">
        <v>43096</v>
      </c>
      <c r="E42" t="s">
        <v>39</v>
      </c>
      <c r="F42" t="s">
        <v>33</v>
      </c>
      <c r="G42" t="s">
        <v>327</v>
      </c>
      <c r="H42" s="16">
        <v>2741</v>
      </c>
      <c r="I42">
        <f>IF(TbRegistroSaídas[[#This Row],[Data do Caixa Realizado]]="",0,MONTH(TbRegistroSaídas[[#This Row],[Data do Caixa Realizado]]))</f>
        <v>12</v>
      </c>
      <c r="J42">
        <f>IF(TbRegistroSaídas[[#This Row],[Data do Caixa Realizado]]="",0,YEAR(TbRegistroSaídas[[#This Row],[Data do Caixa Realizado]]))</f>
        <v>2017</v>
      </c>
    </row>
    <row r="43" spans="2:10" x14ac:dyDescent="0.25">
      <c r="B43" s="13">
        <v>43125</v>
      </c>
      <c r="C43" s="13">
        <v>43071</v>
      </c>
      <c r="D43" s="13">
        <v>43125</v>
      </c>
      <c r="E43" t="s">
        <v>39</v>
      </c>
      <c r="F43" t="s">
        <v>34</v>
      </c>
      <c r="G43" t="s">
        <v>328</v>
      </c>
      <c r="H43" s="16">
        <v>1130</v>
      </c>
      <c r="I43">
        <f>IF(TbRegistroSaídas[[#This Row],[Data do Caixa Realizado]]="",0,MONTH(TbRegistroSaídas[[#This Row],[Data do Caixa Realizado]]))</f>
        <v>1</v>
      </c>
      <c r="J43">
        <f>IF(TbRegistroSaídas[[#This Row],[Data do Caixa Realizado]]="",0,YEAR(TbRegistroSaídas[[#This Row],[Data do Caixa Realizado]]))</f>
        <v>2018</v>
      </c>
    </row>
    <row r="44" spans="2:10" x14ac:dyDescent="0.25">
      <c r="B44" s="13">
        <v>43075</v>
      </c>
      <c r="C44" s="13">
        <v>43075</v>
      </c>
      <c r="D44" s="13">
        <v>43075</v>
      </c>
      <c r="E44" t="s">
        <v>39</v>
      </c>
      <c r="F44" t="s">
        <v>35</v>
      </c>
      <c r="G44" t="s">
        <v>329</v>
      </c>
      <c r="H44" s="16">
        <v>4835</v>
      </c>
      <c r="I44">
        <f>IF(TbRegistroSaídas[[#This Row],[Data do Caixa Realizado]]="",0,MONTH(TbRegistroSaídas[[#This Row],[Data do Caixa Realizado]]))</f>
        <v>12</v>
      </c>
      <c r="J44">
        <f>IF(TbRegistroSaídas[[#This Row],[Data do Caixa Realizado]]="",0,YEAR(TbRegistroSaídas[[#This Row],[Data do Caixa Realizado]]))</f>
        <v>2017</v>
      </c>
    </row>
    <row r="45" spans="2:10" x14ac:dyDescent="0.25">
      <c r="B45" s="13">
        <v>43077</v>
      </c>
      <c r="C45" s="13">
        <v>43077</v>
      </c>
      <c r="D45" s="13">
        <v>43077</v>
      </c>
      <c r="E45" t="s">
        <v>39</v>
      </c>
      <c r="F45" t="s">
        <v>33</v>
      </c>
      <c r="G45" t="s">
        <v>291</v>
      </c>
      <c r="H45" s="16">
        <v>1411</v>
      </c>
      <c r="I45">
        <f>IF(TbRegistroSaídas[[#This Row],[Data do Caixa Realizado]]="",0,MONTH(TbRegistroSaídas[[#This Row],[Data do Caixa Realizado]]))</f>
        <v>12</v>
      </c>
      <c r="J45">
        <f>IF(TbRegistroSaídas[[#This Row],[Data do Caixa Realizado]]="",0,YEAR(TbRegistroSaídas[[#This Row],[Data do Caixa Realizado]]))</f>
        <v>2017</v>
      </c>
    </row>
    <row r="46" spans="2:10" x14ac:dyDescent="0.25">
      <c r="B46" s="13">
        <v>43099</v>
      </c>
      <c r="C46" s="13">
        <v>43079</v>
      </c>
      <c r="D46" s="13">
        <v>43099</v>
      </c>
      <c r="E46" t="s">
        <v>39</v>
      </c>
      <c r="F46" t="s">
        <v>46</v>
      </c>
      <c r="G46" t="s">
        <v>330</v>
      </c>
      <c r="H46" s="16">
        <v>457</v>
      </c>
      <c r="I46">
        <f>IF(TbRegistroSaídas[[#This Row],[Data do Caixa Realizado]]="",0,MONTH(TbRegistroSaídas[[#This Row],[Data do Caixa Realizado]]))</f>
        <v>12</v>
      </c>
      <c r="J46">
        <f>IF(TbRegistroSaídas[[#This Row],[Data do Caixa Realizado]]="",0,YEAR(TbRegistroSaídas[[#This Row],[Data do Caixa Realizado]]))</f>
        <v>2017</v>
      </c>
    </row>
    <row r="47" spans="2:10" x14ac:dyDescent="0.25">
      <c r="B47" s="13" t="s">
        <v>70</v>
      </c>
      <c r="C47" s="13">
        <v>43084</v>
      </c>
      <c r="D47" s="13">
        <v>43142</v>
      </c>
      <c r="E47" t="s">
        <v>39</v>
      </c>
      <c r="F47" t="s">
        <v>34</v>
      </c>
      <c r="G47" t="s">
        <v>331</v>
      </c>
      <c r="H47" s="16">
        <v>2623</v>
      </c>
      <c r="I47">
        <f>IF(TbRegistroSaídas[[#This Row],[Data do Caixa Realizado]]="",0,MONTH(TbRegistroSaídas[[#This Row],[Data do Caixa Realizado]]))</f>
        <v>0</v>
      </c>
      <c r="J47">
        <f>IF(TbRegistroSaídas[[#This Row],[Data do Caixa Realizado]]="",0,YEAR(TbRegistroSaídas[[#This Row],[Data do Caixa Realizado]]))</f>
        <v>0</v>
      </c>
    </row>
    <row r="48" spans="2:10" x14ac:dyDescent="0.25">
      <c r="B48" s="13">
        <v>43098</v>
      </c>
      <c r="C48" s="13">
        <v>43086</v>
      </c>
      <c r="D48" s="13">
        <v>43098</v>
      </c>
      <c r="E48" t="s">
        <v>39</v>
      </c>
      <c r="F48" t="s">
        <v>33</v>
      </c>
      <c r="G48" t="s">
        <v>332</v>
      </c>
      <c r="H48" s="16">
        <v>3440</v>
      </c>
      <c r="I48">
        <f>IF(TbRegistroSaídas[[#This Row],[Data do Caixa Realizado]]="",0,MONTH(TbRegistroSaídas[[#This Row],[Data do Caixa Realizado]]))</f>
        <v>12</v>
      </c>
      <c r="J48">
        <f>IF(TbRegistroSaídas[[#This Row],[Data do Caixa Realizado]]="",0,YEAR(TbRegistroSaídas[[#This Row],[Data do Caixa Realizado]]))</f>
        <v>2017</v>
      </c>
    </row>
    <row r="49" spans="2:10" x14ac:dyDescent="0.25">
      <c r="B49" s="13">
        <v>43111</v>
      </c>
      <c r="C49" s="13">
        <v>43089</v>
      </c>
      <c r="D49" s="13">
        <v>43111</v>
      </c>
      <c r="E49" t="s">
        <v>39</v>
      </c>
      <c r="F49" t="s">
        <v>46</v>
      </c>
      <c r="G49" t="s">
        <v>333</v>
      </c>
      <c r="H49" s="16">
        <v>3993</v>
      </c>
      <c r="I49">
        <f>IF(TbRegistroSaídas[[#This Row],[Data do Caixa Realizado]]="",0,MONTH(TbRegistroSaídas[[#This Row],[Data do Caixa Realizado]]))</f>
        <v>1</v>
      </c>
      <c r="J49">
        <f>IF(TbRegistroSaídas[[#This Row],[Data do Caixa Realizado]]="",0,YEAR(TbRegistroSaídas[[#This Row],[Data do Caixa Realizado]]))</f>
        <v>2018</v>
      </c>
    </row>
    <row r="50" spans="2:10" x14ac:dyDescent="0.25">
      <c r="B50" s="13">
        <v>43151</v>
      </c>
      <c r="C50" s="13">
        <v>43090</v>
      </c>
      <c r="D50" s="13">
        <v>43148</v>
      </c>
      <c r="E50" t="s">
        <v>39</v>
      </c>
      <c r="F50" t="s">
        <v>46</v>
      </c>
      <c r="G50" t="s">
        <v>334</v>
      </c>
      <c r="H50" s="16">
        <v>3273</v>
      </c>
      <c r="I50">
        <f>IF(TbRegistroSaídas[[#This Row],[Data do Caixa Realizado]]="",0,MONTH(TbRegistroSaídas[[#This Row],[Data do Caixa Realizado]]))</f>
        <v>2</v>
      </c>
      <c r="J50">
        <f>IF(TbRegistroSaídas[[#This Row],[Data do Caixa Realizado]]="",0,YEAR(TbRegistroSaídas[[#This Row],[Data do Caixa Realizado]]))</f>
        <v>2018</v>
      </c>
    </row>
    <row r="51" spans="2:10" x14ac:dyDescent="0.25">
      <c r="B51" s="13">
        <v>43094</v>
      </c>
      <c r="C51" s="13">
        <v>43094</v>
      </c>
      <c r="D51" s="13">
        <v>43094</v>
      </c>
      <c r="E51" t="s">
        <v>39</v>
      </c>
      <c r="F51" t="s">
        <v>33</v>
      </c>
      <c r="G51" t="s">
        <v>335</v>
      </c>
      <c r="H51" s="16">
        <v>4494</v>
      </c>
      <c r="I51">
        <f>IF(TbRegistroSaídas[[#This Row],[Data do Caixa Realizado]]="",0,MONTH(TbRegistroSaídas[[#This Row],[Data do Caixa Realizado]]))</f>
        <v>12</v>
      </c>
      <c r="J51">
        <f>IF(TbRegistroSaídas[[#This Row],[Data do Caixa Realizado]]="",0,YEAR(TbRegistroSaídas[[#This Row],[Data do Caixa Realizado]]))</f>
        <v>2017</v>
      </c>
    </row>
    <row r="52" spans="2:10" x14ac:dyDescent="0.25">
      <c r="B52" s="13">
        <v>43124</v>
      </c>
      <c r="C52" s="13">
        <v>43096</v>
      </c>
      <c r="D52" s="13">
        <v>43124</v>
      </c>
      <c r="E52" t="s">
        <v>39</v>
      </c>
      <c r="F52" t="s">
        <v>37</v>
      </c>
      <c r="G52" t="s">
        <v>336</v>
      </c>
      <c r="H52" s="16">
        <v>2511</v>
      </c>
      <c r="I52">
        <f>IF(TbRegistroSaídas[[#This Row],[Data do Caixa Realizado]]="",0,MONTH(TbRegistroSaídas[[#This Row],[Data do Caixa Realizado]]))</f>
        <v>1</v>
      </c>
      <c r="J52">
        <f>IF(TbRegistroSaídas[[#This Row],[Data do Caixa Realizado]]="",0,YEAR(TbRegistroSaídas[[#This Row],[Data do Caixa Realizado]]))</f>
        <v>2018</v>
      </c>
    </row>
    <row r="53" spans="2:10" x14ac:dyDescent="0.25">
      <c r="B53" s="13">
        <v>43098</v>
      </c>
      <c r="C53" s="13">
        <v>43098</v>
      </c>
      <c r="D53" s="13">
        <v>43098</v>
      </c>
      <c r="E53" t="s">
        <v>39</v>
      </c>
      <c r="F53" t="s">
        <v>34</v>
      </c>
      <c r="G53" t="s">
        <v>337</v>
      </c>
      <c r="H53" s="16">
        <v>2015</v>
      </c>
      <c r="I53">
        <f>IF(TbRegistroSaídas[[#This Row],[Data do Caixa Realizado]]="",0,MONTH(TbRegistroSaídas[[#This Row],[Data do Caixa Realizado]]))</f>
        <v>12</v>
      </c>
      <c r="J53">
        <f>IF(TbRegistroSaídas[[#This Row],[Data do Caixa Realizado]]="",0,YEAR(TbRegistroSaídas[[#This Row],[Data do Caixa Realizado]]))</f>
        <v>2017</v>
      </c>
    </row>
    <row r="54" spans="2:10" x14ac:dyDescent="0.25">
      <c r="B54" s="13" t="s">
        <v>70</v>
      </c>
      <c r="C54" s="13">
        <v>43100</v>
      </c>
      <c r="D54" s="13">
        <v>43151</v>
      </c>
      <c r="E54" t="s">
        <v>39</v>
      </c>
      <c r="F54" t="s">
        <v>35</v>
      </c>
      <c r="G54" t="s">
        <v>338</v>
      </c>
      <c r="H54" s="16">
        <v>3413</v>
      </c>
      <c r="I54">
        <f>IF(TbRegistroSaídas[[#This Row],[Data do Caixa Realizado]]="",0,MONTH(TbRegistroSaídas[[#This Row],[Data do Caixa Realizado]]))</f>
        <v>0</v>
      </c>
      <c r="J54">
        <f>IF(TbRegistroSaídas[[#This Row],[Data do Caixa Realizado]]="",0,YEAR(TbRegistroSaídas[[#This Row],[Data do Caixa Realizado]]))</f>
        <v>0</v>
      </c>
    </row>
    <row r="55" spans="2:10" x14ac:dyDescent="0.25">
      <c r="B55" s="13">
        <v>43108</v>
      </c>
      <c r="C55" s="13">
        <v>43103</v>
      </c>
      <c r="D55" s="13">
        <v>43108</v>
      </c>
      <c r="E55" t="s">
        <v>39</v>
      </c>
      <c r="F55" t="s">
        <v>37</v>
      </c>
      <c r="G55" t="s">
        <v>339</v>
      </c>
      <c r="H55" s="16">
        <v>4087</v>
      </c>
      <c r="I55">
        <f>IF(TbRegistroSaídas[[#This Row],[Data do Caixa Realizado]]="",0,MONTH(TbRegistroSaídas[[#This Row],[Data do Caixa Realizado]]))</f>
        <v>1</v>
      </c>
      <c r="J55">
        <f>IF(TbRegistroSaídas[[#This Row],[Data do Caixa Realizado]]="",0,YEAR(TbRegistroSaídas[[#This Row],[Data do Caixa Realizado]]))</f>
        <v>2018</v>
      </c>
    </row>
    <row r="56" spans="2:10" x14ac:dyDescent="0.25">
      <c r="B56" s="13">
        <v>43117</v>
      </c>
      <c r="C56" s="13">
        <v>43106</v>
      </c>
      <c r="D56" s="13">
        <v>43117</v>
      </c>
      <c r="E56" t="s">
        <v>39</v>
      </c>
      <c r="F56" t="s">
        <v>46</v>
      </c>
      <c r="G56" t="s">
        <v>340</v>
      </c>
      <c r="H56" s="16">
        <v>2441</v>
      </c>
      <c r="I56">
        <f>IF(TbRegistroSaídas[[#This Row],[Data do Caixa Realizado]]="",0,MONTH(TbRegistroSaídas[[#This Row],[Data do Caixa Realizado]]))</f>
        <v>1</v>
      </c>
      <c r="J56">
        <f>IF(TbRegistroSaídas[[#This Row],[Data do Caixa Realizado]]="",0,YEAR(TbRegistroSaídas[[#This Row],[Data do Caixa Realizado]]))</f>
        <v>2018</v>
      </c>
    </row>
    <row r="57" spans="2:10" x14ac:dyDescent="0.25">
      <c r="B57" s="13" t="s">
        <v>70</v>
      </c>
      <c r="C57" s="13">
        <v>43109</v>
      </c>
      <c r="D57" s="13">
        <v>43109</v>
      </c>
      <c r="E57" t="s">
        <v>39</v>
      </c>
      <c r="F57" t="s">
        <v>34</v>
      </c>
      <c r="G57" t="s">
        <v>341</v>
      </c>
      <c r="H57" s="16">
        <v>3598</v>
      </c>
      <c r="I57">
        <f>IF(TbRegistroSaídas[[#This Row],[Data do Caixa Realizado]]="",0,MONTH(TbRegistroSaídas[[#This Row],[Data do Caixa Realizado]]))</f>
        <v>0</v>
      </c>
      <c r="J57">
        <f>IF(TbRegistroSaídas[[#This Row],[Data do Caixa Realizado]]="",0,YEAR(TbRegistroSaídas[[#This Row],[Data do Caixa Realizado]]))</f>
        <v>0</v>
      </c>
    </row>
    <row r="58" spans="2:10" x14ac:dyDescent="0.25">
      <c r="B58" s="13">
        <v>43110</v>
      </c>
      <c r="C58" s="13">
        <v>43110</v>
      </c>
      <c r="D58" s="13">
        <v>43110</v>
      </c>
      <c r="E58" t="s">
        <v>39</v>
      </c>
      <c r="F58" t="s">
        <v>46</v>
      </c>
      <c r="G58" t="s">
        <v>342</v>
      </c>
      <c r="H58" s="16">
        <v>4895</v>
      </c>
      <c r="I58">
        <f>IF(TbRegistroSaídas[[#This Row],[Data do Caixa Realizado]]="",0,MONTH(TbRegistroSaídas[[#This Row],[Data do Caixa Realizado]]))</f>
        <v>1</v>
      </c>
      <c r="J58">
        <f>IF(TbRegistroSaídas[[#This Row],[Data do Caixa Realizado]]="",0,YEAR(TbRegistroSaídas[[#This Row],[Data do Caixa Realizado]]))</f>
        <v>2018</v>
      </c>
    </row>
    <row r="59" spans="2:10" x14ac:dyDescent="0.25">
      <c r="B59" s="13" t="s">
        <v>70</v>
      </c>
      <c r="C59" s="13">
        <v>43112</v>
      </c>
      <c r="D59" s="13">
        <v>43112</v>
      </c>
      <c r="E59" t="s">
        <v>39</v>
      </c>
      <c r="F59" t="s">
        <v>46</v>
      </c>
      <c r="G59" t="s">
        <v>343</v>
      </c>
      <c r="H59" s="16">
        <v>971</v>
      </c>
      <c r="I59">
        <f>IF(TbRegistroSaídas[[#This Row],[Data do Caixa Realizado]]="",0,MONTH(TbRegistroSaídas[[#This Row],[Data do Caixa Realizado]]))</f>
        <v>0</v>
      </c>
      <c r="J59">
        <f>IF(TbRegistroSaídas[[#This Row],[Data do Caixa Realizado]]="",0,YEAR(TbRegistroSaídas[[#This Row],[Data do Caixa Realizado]]))</f>
        <v>0</v>
      </c>
    </row>
    <row r="60" spans="2:10" x14ac:dyDescent="0.25">
      <c r="B60" s="13">
        <v>43137</v>
      </c>
      <c r="C60" s="13">
        <v>43113</v>
      </c>
      <c r="D60" s="13">
        <v>43137</v>
      </c>
      <c r="E60" t="s">
        <v>39</v>
      </c>
      <c r="F60" t="s">
        <v>37</v>
      </c>
      <c r="G60" t="s">
        <v>344</v>
      </c>
      <c r="H60" s="16">
        <v>556</v>
      </c>
      <c r="I60">
        <f>IF(TbRegistroSaídas[[#This Row],[Data do Caixa Realizado]]="",0,MONTH(TbRegistroSaídas[[#This Row],[Data do Caixa Realizado]]))</f>
        <v>2</v>
      </c>
      <c r="J60">
        <f>IF(TbRegistroSaídas[[#This Row],[Data do Caixa Realizado]]="",0,YEAR(TbRegistroSaídas[[#This Row],[Data do Caixa Realizado]]))</f>
        <v>2018</v>
      </c>
    </row>
    <row r="61" spans="2:10" x14ac:dyDescent="0.25">
      <c r="B61" s="13">
        <v>43144</v>
      </c>
      <c r="C61" s="13">
        <v>43114</v>
      </c>
      <c r="D61" s="13">
        <v>43144</v>
      </c>
      <c r="E61" t="s">
        <v>39</v>
      </c>
      <c r="F61" t="s">
        <v>37</v>
      </c>
      <c r="G61" t="s">
        <v>345</v>
      </c>
      <c r="H61" s="16">
        <v>1977</v>
      </c>
      <c r="I61">
        <f>IF(TbRegistroSaídas[[#This Row],[Data do Caixa Realizado]]="",0,MONTH(TbRegistroSaídas[[#This Row],[Data do Caixa Realizado]]))</f>
        <v>2</v>
      </c>
      <c r="J61">
        <f>IF(TbRegistroSaídas[[#This Row],[Data do Caixa Realizado]]="",0,YEAR(TbRegistroSaídas[[#This Row],[Data do Caixa Realizado]]))</f>
        <v>2018</v>
      </c>
    </row>
    <row r="62" spans="2:10" x14ac:dyDescent="0.25">
      <c r="B62" s="13">
        <v>43116</v>
      </c>
      <c r="C62" s="13">
        <v>43116</v>
      </c>
      <c r="D62" s="13">
        <v>43116</v>
      </c>
      <c r="E62" t="s">
        <v>39</v>
      </c>
      <c r="F62" t="s">
        <v>46</v>
      </c>
      <c r="G62" t="s">
        <v>298</v>
      </c>
      <c r="H62" s="16">
        <v>2951</v>
      </c>
      <c r="I62">
        <f>IF(TbRegistroSaídas[[#This Row],[Data do Caixa Realizado]]="",0,MONTH(TbRegistroSaídas[[#This Row],[Data do Caixa Realizado]]))</f>
        <v>1</v>
      </c>
      <c r="J62">
        <f>IF(TbRegistroSaídas[[#This Row],[Data do Caixa Realizado]]="",0,YEAR(TbRegistroSaídas[[#This Row],[Data do Caixa Realizado]]))</f>
        <v>2018</v>
      </c>
    </row>
    <row r="63" spans="2:10" x14ac:dyDescent="0.25">
      <c r="B63" s="13">
        <v>43133</v>
      </c>
      <c r="C63" s="13">
        <v>43120</v>
      </c>
      <c r="D63" s="13">
        <v>43120</v>
      </c>
      <c r="E63" t="s">
        <v>39</v>
      </c>
      <c r="F63" t="s">
        <v>46</v>
      </c>
      <c r="G63" t="s">
        <v>346</v>
      </c>
      <c r="H63" s="16">
        <v>2535</v>
      </c>
      <c r="I63">
        <f>IF(TbRegistroSaídas[[#This Row],[Data do Caixa Realizado]]="",0,MONTH(TbRegistroSaídas[[#This Row],[Data do Caixa Realizado]]))</f>
        <v>2</v>
      </c>
      <c r="J63">
        <f>IF(TbRegistroSaídas[[#This Row],[Data do Caixa Realizado]]="",0,YEAR(TbRegistroSaídas[[#This Row],[Data do Caixa Realizado]]))</f>
        <v>2018</v>
      </c>
    </row>
    <row r="64" spans="2:10" x14ac:dyDescent="0.25">
      <c r="B64" s="13">
        <v>43141</v>
      </c>
      <c r="C64" s="13">
        <v>43121</v>
      </c>
      <c r="D64" s="13">
        <v>43141</v>
      </c>
      <c r="E64" t="s">
        <v>39</v>
      </c>
      <c r="F64" t="s">
        <v>33</v>
      </c>
      <c r="G64" t="s">
        <v>347</v>
      </c>
      <c r="H64" s="16">
        <v>3057</v>
      </c>
      <c r="I64">
        <f>IF(TbRegistroSaídas[[#This Row],[Data do Caixa Realizado]]="",0,MONTH(TbRegistroSaídas[[#This Row],[Data do Caixa Realizado]]))</f>
        <v>2</v>
      </c>
      <c r="J64">
        <f>IF(TbRegistroSaídas[[#This Row],[Data do Caixa Realizado]]="",0,YEAR(TbRegistroSaídas[[#This Row],[Data do Caixa Realizado]]))</f>
        <v>2018</v>
      </c>
    </row>
    <row r="65" spans="2:10" x14ac:dyDescent="0.25">
      <c r="B65" s="13">
        <v>43140</v>
      </c>
      <c r="C65" s="13">
        <v>43123</v>
      </c>
      <c r="D65" s="13">
        <v>43140</v>
      </c>
      <c r="E65" t="s">
        <v>39</v>
      </c>
      <c r="F65" t="s">
        <v>37</v>
      </c>
      <c r="G65" t="s">
        <v>348</v>
      </c>
      <c r="H65" s="16">
        <v>3152</v>
      </c>
      <c r="I65">
        <f>IF(TbRegistroSaídas[[#This Row],[Data do Caixa Realizado]]="",0,MONTH(TbRegistroSaídas[[#This Row],[Data do Caixa Realizado]]))</f>
        <v>2</v>
      </c>
      <c r="J65">
        <f>IF(TbRegistroSaídas[[#This Row],[Data do Caixa Realizado]]="",0,YEAR(TbRegistroSaídas[[#This Row],[Data do Caixa Realizado]]))</f>
        <v>2018</v>
      </c>
    </row>
    <row r="66" spans="2:10" x14ac:dyDescent="0.25">
      <c r="B66" s="13" t="s">
        <v>70</v>
      </c>
      <c r="C66" s="13">
        <v>43125</v>
      </c>
      <c r="D66" s="13">
        <v>43125</v>
      </c>
      <c r="E66" t="s">
        <v>39</v>
      </c>
      <c r="F66" t="s">
        <v>35</v>
      </c>
      <c r="G66" t="s">
        <v>349</v>
      </c>
      <c r="H66" s="16">
        <v>2247</v>
      </c>
      <c r="I66">
        <f>IF(TbRegistroSaídas[[#This Row],[Data do Caixa Realizado]]="",0,MONTH(TbRegistroSaídas[[#This Row],[Data do Caixa Realizado]]))</f>
        <v>0</v>
      </c>
      <c r="J66">
        <f>IF(TbRegistroSaídas[[#This Row],[Data do Caixa Realizado]]="",0,YEAR(TbRegistroSaídas[[#This Row],[Data do Caixa Realizado]]))</f>
        <v>0</v>
      </c>
    </row>
    <row r="67" spans="2:10" x14ac:dyDescent="0.25">
      <c r="B67" s="13">
        <v>43178</v>
      </c>
      <c r="C67" s="13">
        <v>43127</v>
      </c>
      <c r="D67" s="13">
        <v>43127</v>
      </c>
      <c r="E67" t="s">
        <v>39</v>
      </c>
      <c r="F67" t="s">
        <v>34</v>
      </c>
      <c r="G67" t="s">
        <v>350</v>
      </c>
      <c r="H67" s="16">
        <v>2456</v>
      </c>
      <c r="I67">
        <f>IF(TbRegistroSaídas[[#This Row],[Data do Caixa Realizado]]="",0,MONTH(TbRegistroSaídas[[#This Row],[Data do Caixa Realizado]]))</f>
        <v>3</v>
      </c>
      <c r="J67">
        <f>IF(TbRegistroSaídas[[#This Row],[Data do Caixa Realizado]]="",0,YEAR(TbRegistroSaídas[[#This Row],[Data do Caixa Realizado]]))</f>
        <v>2018</v>
      </c>
    </row>
    <row r="68" spans="2:10" x14ac:dyDescent="0.25">
      <c r="B68" s="13">
        <v>43215</v>
      </c>
      <c r="C68" s="13">
        <v>43129</v>
      </c>
      <c r="D68" s="13">
        <v>43129</v>
      </c>
      <c r="E68" t="s">
        <v>39</v>
      </c>
      <c r="F68" t="s">
        <v>46</v>
      </c>
      <c r="G68" t="s">
        <v>351</v>
      </c>
      <c r="H68" s="16">
        <v>3801</v>
      </c>
      <c r="I68">
        <f>IF(TbRegistroSaídas[[#This Row],[Data do Caixa Realizado]]="",0,MONTH(TbRegistroSaídas[[#This Row],[Data do Caixa Realizado]]))</f>
        <v>4</v>
      </c>
      <c r="J68">
        <f>IF(TbRegistroSaídas[[#This Row],[Data do Caixa Realizado]]="",0,YEAR(TbRegistroSaídas[[#This Row],[Data do Caixa Realizado]]))</f>
        <v>2018</v>
      </c>
    </row>
    <row r="69" spans="2:10" x14ac:dyDescent="0.25">
      <c r="B69" s="13">
        <v>43131</v>
      </c>
      <c r="C69" s="13">
        <v>43131</v>
      </c>
      <c r="D69" s="13">
        <v>43131</v>
      </c>
      <c r="E69" t="s">
        <v>39</v>
      </c>
      <c r="F69" t="s">
        <v>37</v>
      </c>
      <c r="G69" t="s">
        <v>352</v>
      </c>
      <c r="H69" s="16">
        <v>3049</v>
      </c>
      <c r="I69">
        <f>IF(TbRegistroSaídas[[#This Row],[Data do Caixa Realizado]]="",0,MONTH(TbRegistroSaídas[[#This Row],[Data do Caixa Realizado]]))</f>
        <v>1</v>
      </c>
      <c r="J69">
        <f>IF(TbRegistroSaídas[[#This Row],[Data do Caixa Realizado]]="",0,YEAR(TbRegistroSaídas[[#This Row],[Data do Caixa Realizado]]))</f>
        <v>2018</v>
      </c>
    </row>
    <row r="70" spans="2:10" x14ac:dyDescent="0.25">
      <c r="B70" s="13" t="s">
        <v>70</v>
      </c>
      <c r="C70" s="13">
        <v>43135</v>
      </c>
      <c r="D70" s="13">
        <v>43135</v>
      </c>
      <c r="E70" t="s">
        <v>39</v>
      </c>
      <c r="F70" t="s">
        <v>33</v>
      </c>
      <c r="G70" t="s">
        <v>353</v>
      </c>
      <c r="H70" s="16">
        <v>3255</v>
      </c>
      <c r="I70">
        <f>IF(TbRegistroSaídas[[#This Row],[Data do Caixa Realizado]]="",0,MONTH(TbRegistroSaídas[[#This Row],[Data do Caixa Realizado]]))</f>
        <v>0</v>
      </c>
      <c r="J70">
        <f>IF(TbRegistroSaídas[[#This Row],[Data do Caixa Realizado]]="",0,YEAR(TbRegistroSaídas[[#This Row],[Data do Caixa Realizado]]))</f>
        <v>0</v>
      </c>
    </row>
    <row r="71" spans="2:10" x14ac:dyDescent="0.25">
      <c r="B71" s="13">
        <v>43136</v>
      </c>
      <c r="C71" s="13">
        <v>43136</v>
      </c>
      <c r="D71" s="13">
        <v>43136</v>
      </c>
      <c r="E71" t="s">
        <v>39</v>
      </c>
      <c r="F71" t="s">
        <v>46</v>
      </c>
      <c r="G71" t="s">
        <v>354</v>
      </c>
      <c r="H71" s="16">
        <v>2074</v>
      </c>
      <c r="I71">
        <f>IF(TbRegistroSaídas[[#This Row],[Data do Caixa Realizado]]="",0,MONTH(TbRegistroSaídas[[#This Row],[Data do Caixa Realizado]]))</f>
        <v>2</v>
      </c>
      <c r="J71">
        <f>IF(TbRegistroSaídas[[#This Row],[Data do Caixa Realizado]]="",0,YEAR(TbRegistroSaídas[[#This Row],[Data do Caixa Realizado]]))</f>
        <v>2018</v>
      </c>
    </row>
    <row r="72" spans="2:10" x14ac:dyDescent="0.25">
      <c r="B72" s="13">
        <v>43137</v>
      </c>
      <c r="C72" s="13">
        <v>43137</v>
      </c>
      <c r="D72" s="13">
        <v>43137</v>
      </c>
      <c r="E72" t="s">
        <v>39</v>
      </c>
      <c r="F72" t="s">
        <v>46</v>
      </c>
      <c r="G72" t="s">
        <v>355</v>
      </c>
      <c r="H72" s="16">
        <v>3606</v>
      </c>
      <c r="I72">
        <f>IF(TbRegistroSaídas[[#This Row],[Data do Caixa Realizado]]="",0,MONTH(TbRegistroSaídas[[#This Row],[Data do Caixa Realizado]]))</f>
        <v>2</v>
      </c>
      <c r="J72">
        <f>IF(TbRegistroSaídas[[#This Row],[Data do Caixa Realizado]]="",0,YEAR(TbRegistroSaídas[[#This Row],[Data do Caixa Realizado]]))</f>
        <v>2018</v>
      </c>
    </row>
    <row r="73" spans="2:10" x14ac:dyDescent="0.25">
      <c r="B73" s="13">
        <v>43177</v>
      </c>
      <c r="C73" s="13">
        <v>43138</v>
      </c>
      <c r="D73" s="13">
        <v>43177</v>
      </c>
      <c r="E73" t="s">
        <v>39</v>
      </c>
      <c r="F73" t="s">
        <v>34</v>
      </c>
      <c r="G73" t="s">
        <v>356</v>
      </c>
      <c r="H73" s="16">
        <v>4867</v>
      </c>
      <c r="I73">
        <f>IF(TbRegistroSaídas[[#This Row],[Data do Caixa Realizado]]="",0,MONTH(TbRegistroSaídas[[#This Row],[Data do Caixa Realizado]]))</f>
        <v>3</v>
      </c>
      <c r="J73">
        <f>IF(TbRegistroSaídas[[#This Row],[Data do Caixa Realizado]]="",0,YEAR(TbRegistroSaídas[[#This Row],[Data do Caixa Realizado]]))</f>
        <v>2018</v>
      </c>
    </row>
    <row r="74" spans="2:10" x14ac:dyDescent="0.25">
      <c r="B74" s="13">
        <v>43175</v>
      </c>
      <c r="C74" s="13">
        <v>43140</v>
      </c>
      <c r="D74" s="13">
        <v>43175</v>
      </c>
      <c r="E74" t="s">
        <v>39</v>
      </c>
      <c r="F74" t="s">
        <v>35</v>
      </c>
      <c r="G74" t="s">
        <v>357</v>
      </c>
      <c r="H74" s="16">
        <v>702</v>
      </c>
      <c r="I74">
        <f>IF(TbRegistroSaídas[[#This Row],[Data do Caixa Realizado]]="",0,MONTH(TbRegistroSaídas[[#This Row],[Data do Caixa Realizado]]))</f>
        <v>3</v>
      </c>
      <c r="J74">
        <f>IF(TbRegistroSaídas[[#This Row],[Data do Caixa Realizado]]="",0,YEAR(TbRegistroSaídas[[#This Row],[Data do Caixa Realizado]]))</f>
        <v>2018</v>
      </c>
    </row>
    <row r="75" spans="2:10" x14ac:dyDescent="0.25">
      <c r="B75" s="13">
        <v>43150</v>
      </c>
      <c r="C75" s="13">
        <v>43145</v>
      </c>
      <c r="D75" s="13">
        <v>43150</v>
      </c>
      <c r="E75" t="s">
        <v>39</v>
      </c>
      <c r="F75" t="s">
        <v>35</v>
      </c>
      <c r="G75" t="s">
        <v>358</v>
      </c>
      <c r="H75" s="16">
        <v>2801</v>
      </c>
      <c r="I75">
        <f>IF(TbRegistroSaídas[[#This Row],[Data do Caixa Realizado]]="",0,MONTH(TbRegistroSaídas[[#This Row],[Data do Caixa Realizado]]))</f>
        <v>2</v>
      </c>
      <c r="J75">
        <f>IF(TbRegistroSaídas[[#This Row],[Data do Caixa Realizado]]="",0,YEAR(TbRegistroSaídas[[#This Row],[Data do Caixa Realizado]]))</f>
        <v>2018</v>
      </c>
    </row>
    <row r="76" spans="2:10" x14ac:dyDescent="0.25">
      <c r="B76" s="13">
        <v>43219</v>
      </c>
      <c r="C76" s="13">
        <v>43146</v>
      </c>
      <c r="D76" s="13">
        <v>43169</v>
      </c>
      <c r="E76" t="s">
        <v>39</v>
      </c>
      <c r="F76" t="s">
        <v>46</v>
      </c>
      <c r="G76" t="s">
        <v>359</v>
      </c>
      <c r="H76" s="16">
        <v>4438</v>
      </c>
      <c r="I76">
        <f>IF(TbRegistroSaídas[[#This Row],[Data do Caixa Realizado]]="",0,MONTH(TbRegistroSaídas[[#This Row],[Data do Caixa Realizado]]))</f>
        <v>4</v>
      </c>
      <c r="J76">
        <f>IF(TbRegistroSaídas[[#This Row],[Data do Caixa Realizado]]="",0,YEAR(TbRegistroSaídas[[#This Row],[Data do Caixa Realizado]]))</f>
        <v>2018</v>
      </c>
    </row>
    <row r="77" spans="2:10" x14ac:dyDescent="0.25">
      <c r="B77" s="13">
        <v>43198</v>
      </c>
      <c r="C77" s="13">
        <v>43151</v>
      </c>
      <c r="D77" s="13">
        <v>43198</v>
      </c>
      <c r="E77" t="s">
        <v>39</v>
      </c>
      <c r="F77" t="s">
        <v>34</v>
      </c>
      <c r="G77" t="s">
        <v>360</v>
      </c>
      <c r="H77" s="16">
        <v>3835</v>
      </c>
      <c r="I77">
        <f>IF(TbRegistroSaídas[[#This Row],[Data do Caixa Realizado]]="",0,MONTH(TbRegistroSaídas[[#This Row],[Data do Caixa Realizado]]))</f>
        <v>4</v>
      </c>
      <c r="J77">
        <f>IF(TbRegistroSaídas[[#This Row],[Data do Caixa Realizado]]="",0,YEAR(TbRegistroSaídas[[#This Row],[Data do Caixa Realizado]]))</f>
        <v>2018</v>
      </c>
    </row>
    <row r="78" spans="2:10" x14ac:dyDescent="0.25">
      <c r="B78" s="13">
        <v>43160</v>
      </c>
      <c r="C78" s="13">
        <v>43160</v>
      </c>
      <c r="D78" s="13">
        <v>43160</v>
      </c>
      <c r="E78" t="s">
        <v>39</v>
      </c>
      <c r="F78" t="s">
        <v>46</v>
      </c>
      <c r="G78" t="s">
        <v>361</v>
      </c>
      <c r="H78" s="16">
        <v>3893</v>
      </c>
      <c r="I78">
        <f>IF(TbRegistroSaídas[[#This Row],[Data do Caixa Realizado]]="",0,MONTH(TbRegistroSaídas[[#This Row],[Data do Caixa Realizado]]))</f>
        <v>3</v>
      </c>
      <c r="J78">
        <f>IF(TbRegistroSaídas[[#This Row],[Data do Caixa Realizado]]="",0,YEAR(TbRegistroSaídas[[#This Row],[Data do Caixa Realizado]]))</f>
        <v>2018</v>
      </c>
    </row>
    <row r="79" spans="2:10" x14ac:dyDescent="0.25">
      <c r="B79" s="13">
        <v>43163</v>
      </c>
      <c r="C79" s="13">
        <v>43163</v>
      </c>
      <c r="D79" s="13">
        <v>43163</v>
      </c>
      <c r="E79" t="s">
        <v>39</v>
      </c>
      <c r="F79" t="s">
        <v>46</v>
      </c>
      <c r="G79" t="s">
        <v>225</v>
      </c>
      <c r="H79" s="16">
        <v>1970</v>
      </c>
      <c r="I79">
        <f>IF(TbRegistroSaídas[[#This Row],[Data do Caixa Realizado]]="",0,MONTH(TbRegistroSaídas[[#This Row],[Data do Caixa Realizado]]))</f>
        <v>3</v>
      </c>
      <c r="J79">
        <f>IF(TbRegistroSaídas[[#This Row],[Data do Caixa Realizado]]="",0,YEAR(TbRegistroSaídas[[#This Row],[Data do Caixa Realizado]]))</f>
        <v>2018</v>
      </c>
    </row>
    <row r="80" spans="2:10" x14ac:dyDescent="0.25">
      <c r="B80" s="13">
        <v>43219</v>
      </c>
      <c r="C80" s="13">
        <v>43164</v>
      </c>
      <c r="D80" s="13">
        <v>43219</v>
      </c>
      <c r="E80" t="s">
        <v>39</v>
      </c>
      <c r="F80" t="s">
        <v>35</v>
      </c>
      <c r="G80" t="s">
        <v>362</v>
      </c>
      <c r="H80" s="16">
        <v>729</v>
      </c>
      <c r="I80">
        <f>IF(TbRegistroSaídas[[#This Row],[Data do Caixa Realizado]]="",0,MONTH(TbRegistroSaídas[[#This Row],[Data do Caixa Realizado]]))</f>
        <v>4</v>
      </c>
      <c r="J80">
        <f>IF(TbRegistroSaídas[[#This Row],[Data do Caixa Realizado]]="",0,YEAR(TbRegistroSaídas[[#This Row],[Data do Caixa Realizado]]))</f>
        <v>2018</v>
      </c>
    </row>
    <row r="81" spans="2:10" x14ac:dyDescent="0.25">
      <c r="B81" s="13">
        <v>43188</v>
      </c>
      <c r="C81" s="13">
        <v>43166</v>
      </c>
      <c r="D81" s="13">
        <v>43188</v>
      </c>
      <c r="E81" t="s">
        <v>39</v>
      </c>
      <c r="F81" t="s">
        <v>34</v>
      </c>
      <c r="G81" t="s">
        <v>363</v>
      </c>
      <c r="H81" s="16">
        <v>474</v>
      </c>
      <c r="I81">
        <f>IF(TbRegistroSaídas[[#This Row],[Data do Caixa Realizado]]="",0,MONTH(TbRegistroSaídas[[#This Row],[Data do Caixa Realizado]]))</f>
        <v>3</v>
      </c>
      <c r="J81">
        <f>IF(TbRegistroSaídas[[#This Row],[Data do Caixa Realizado]]="",0,YEAR(TbRegistroSaídas[[#This Row],[Data do Caixa Realizado]]))</f>
        <v>2018</v>
      </c>
    </row>
    <row r="82" spans="2:10" x14ac:dyDescent="0.25">
      <c r="B82" s="13">
        <v>43168</v>
      </c>
      <c r="C82" s="13">
        <v>43168</v>
      </c>
      <c r="D82" s="13">
        <v>43168</v>
      </c>
      <c r="E82" t="s">
        <v>39</v>
      </c>
      <c r="F82" t="s">
        <v>35</v>
      </c>
      <c r="G82" t="s">
        <v>364</v>
      </c>
      <c r="H82" s="16">
        <v>3164</v>
      </c>
      <c r="I82">
        <f>IF(TbRegistroSaídas[[#This Row],[Data do Caixa Realizado]]="",0,MONTH(TbRegistroSaídas[[#This Row],[Data do Caixa Realizado]]))</f>
        <v>3</v>
      </c>
      <c r="J82">
        <f>IF(TbRegistroSaídas[[#This Row],[Data do Caixa Realizado]]="",0,YEAR(TbRegistroSaídas[[#This Row],[Data do Caixa Realizado]]))</f>
        <v>2018</v>
      </c>
    </row>
    <row r="83" spans="2:10" x14ac:dyDescent="0.25">
      <c r="B83" s="13">
        <v>43173</v>
      </c>
      <c r="C83" s="13">
        <v>43173</v>
      </c>
      <c r="D83" s="13">
        <v>43173</v>
      </c>
      <c r="E83" t="s">
        <v>39</v>
      </c>
      <c r="F83" t="s">
        <v>46</v>
      </c>
      <c r="G83" t="s">
        <v>365</v>
      </c>
      <c r="H83" s="16">
        <v>3113</v>
      </c>
      <c r="I83">
        <f>IF(TbRegistroSaídas[[#This Row],[Data do Caixa Realizado]]="",0,MONTH(TbRegistroSaídas[[#This Row],[Data do Caixa Realizado]]))</f>
        <v>3</v>
      </c>
      <c r="J83">
        <f>IF(TbRegistroSaídas[[#This Row],[Data do Caixa Realizado]]="",0,YEAR(TbRegistroSaídas[[#This Row],[Data do Caixa Realizado]]))</f>
        <v>2018</v>
      </c>
    </row>
    <row r="84" spans="2:10" x14ac:dyDescent="0.25">
      <c r="B84" s="13">
        <v>43201</v>
      </c>
      <c r="C84" s="13">
        <v>43176</v>
      </c>
      <c r="D84" s="13">
        <v>43201</v>
      </c>
      <c r="E84" t="s">
        <v>39</v>
      </c>
      <c r="F84" t="s">
        <v>33</v>
      </c>
      <c r="G84" t="s">
        <v>366</v>
      </c>
      <c r="H84" s="16">
        <v>789</v>
      </c>
      <c r="I84">
        <f>IF(TbRegistroSaídas[[#This Row],[Data do Caixa Realizado]]="",0,MONTH(TbRegistroSaídas[[#This Row],[Data do Caixa Realizado]]))</f>
        <v>4</v>
      </c>
      <c r="J84">
        <f>IF(TbRegistroSaídas[[#This Row],[Data do Caixa Realizado]]="",0,YEAR(TbRegistroSaídas[[#This Row],[Data do Caixa Realizado]]))</f>
        <v>2018</v>
      </c>
    </row>
    <row r="85" spans="2:10" x14ac:dyDescent="0.25">
      <c r="B85" s="13">
        <v>43272</v>
      </c>
      <c r="C85" s="13">
        <v>43180</v>
      </c>
      <c r="D85" s="13">
        <v>43191</v>
      </c>
      <c r="E85" t="s">
        <v>39</v>
      </c>
      <c r="F85" t="s">
        <v>33</v>
      </c>
      <c r="G85" t="s">
        <v>367</v>
      </c>
      <c r="H85" s="16">
        <v>3521</v>
      </c>
      <c r="I85">
        <f>IF(TbRegistroSaídas[[#This Row],[Data do Caixa Realizado]]="",0,MONTH(TbRegistroSaídas[[#This Row],[Data do Caixa Realizado]]))</f>
        <v>6</v>
      </c>
      <c r="J85">
        <f>IF(TbRegistroSaídas[[#This Row],[Data do Caixa Realizado]]="",0,YEAR(TbRegistroSaídas[[#This Row],[Data do Caixa Realizado]]))</f>
        <v>2018</v>
      </c>
    </row>
    <row r="86" spans="2:10" x14ac:dyDescent="0.25">
      <c r="B86" s="13">
        <v>43187</v>
      </c>
      <c r="C86" s="13">
        <v>43183</v>
      </c>
      <c r="D86" s="13">
        <v>43187</v>
      </c>
      <c r="E86" t="s">
        <v>39</v>
      </c>
      <c r="F86" t="s">
        <v>46</v>
      </c>
      <c r="G86" t="s">
        <v>368</v>
      </c>
      <c r="H86" s="16">
        <v>4947</v>
      </c>
      <c r="I86">
        <f>IF(TbRegistroSaídas[[#This Row],[Data do Caixa Realizado]]="",0,MONTH(TbRegistroSaídas[[#This Row],[Data do Caixa Realizado]]))</f>
        <v>3</v>
      </c>
      <c r="J86">
        <f>IF(TbRegistroSaídas[[#This Row],[Data do Caixa Realizado]]="",0,YEAR(TbRegistroSaídas[[#This Row],[Data do Caixa Realizado]]))</f>
        <v>2018</v>
      </c>
    </row>
    <row r="87" spans="2:10" x14ac:dyDescent="0.25">
      <c r="B87" s="13">
        <v>43184</v>
      </c>
      <c r="C87" s="13">
        <v>43184</v>
      </c>
      <c r="D87" s="13">
        <v>43184</v>
      </c>
      <c r="E87" t="s">
        <v>39</v>
      </c>
      <c r="F87" t="s">
        <v>33</v>
      </c>
      <c r="G87" t="s">
        <v>369</v>
      </c>
      <c r="H87" s="16">
        <v>1527</v>
      </c>
      <c r="I87">
        <f>IF(TbRegistroSaídas[[#This Row],[Data do Caixa Realizado]]="",0,MONTH(TbRegistroSaídas[[#This Row],[Data do Caixa Realizado]]))</f>
        <v>3</v>
      </c>
      <c r="J87">
        <f>IF(TbRegistroSaídas[[#This Row],[Data do Caixa Realizado]]="",0,YEAR(TbRegistroSaídas[[#This Row],[Data do Caixa Realizado]]))</f>
        <v>2018</v>
      </c>
    </row>
    <row r="88" spans="2:10" x14ac:dyDescent="0.25">
      <c r="B88" s="13">
        <v>43234</v>
      </c>
      <c r="C88" s="13">
        <v>43191</v>
      </c>
      <c r="D88" s="13">
        <v>43234</v>
      </c>
      <c r="E88" t="s">
        <v>39</v>
      </c>
      <c r="F88" t="s">
        <v>33</v>
      </c>
      <c r="G88" t="s">
        <v>370</v>
      </c>
      <c r="H88" s="16">
        <v>764</v>
      </c>
      <c r="I88">
        <f>IF(TbRegistroSaídas[[#This Row],[Data do Caixa Realizado]]="",0,MONTH(TbRegistroSaídas[[#This Row],[Data do Caixa Realizado]]))</f>
        <v>5</v>
      </c>
      <c r="J88">
        <f>IF(TbRegistroSaídas[[#This Row],[Data do Caixa Realizado]]="",0,YEAR(TbRegistroSaídas[[#This Row],[Data do Caixa Realizado]]))</f>
        <v>2018</v>
      </c>
    </row>
    <row r="89" spans="2:10" x14ac:dyDescent="0.25">
      <c r="B89" s="13">
        <v>43202</v>
      </c>
      <c r="C89" s="13">
        <v>43193</v>
      </c>
      <c r="D89" s="13">
        <v>43202</v>
      </c>
      <c r="E89" t="s">
        <v>39</v>
      </c>
      <c r="F89" t="s">
        <v>34</v>
      </c>
      <c r="G89" t="s">
        <v>371</v>
      </c>
      <c r="H89" s="16">
        <v>2463</v>
      </c>
      <c r="I89">
        <f>IF(TbRegistroSaídas[[#This Row],[Data do Caixa Realizado]]="",0,MONTH(TbRegistroSaídas[[#This Row],[Data do Caixa Realizado]]))</f>
        <v>4</v>
      </c>
      <c r="J89">
        <f>IF(TbRegistroSaídas[[#This Row],[Data do Caixa Realizado]]="",0,YEAR(TbRegistroSaídas[[#This Row],[Data do Caixa Realizado]]))</f>
        <v>2018</v>
      </c>
    </row>
    <row r="90" spans="2:10" x14ac:dyDescent="0.25">
      <c r="B90" s="13">
        <v>43195</v>
      </c>
      <c r="C90" s="13">
        <v>43195</v>
      </c>
      <c r="D90" s="13">
        <v>43195</v>
      </c>
      <c r="E90" t="s">
        <v>39</v>
      </c>
      <c r="F90" t="s">
        <v>35</v>
      </c>
      <c r="G90" t="s">
        <v>372</v>
      </c>
      <c r="H90" s="16">
        <v>2111</v>
      </c>
      <c r="I90">
        <f>IF(TbRegistroSaídas[[#This Row],[Data do Caixa Realizado]]="",0,MONTH(TbRegistroSaídas[[#This Row],[Data do Caixa Realizado]]))</f>
        <v>4</v>
      </c>
      <c r="J90">
        <f>IF(TbRegistroSaídas[[#This Row],[Data do Caixa Realizado]]="",0,YEAR(TbRegistroSaídas[[#This Row],[Data do Caixa Realizado]]))</f>
        <v>2018</v>
      </c>
    </row>
    <row r="91" spans="2:10" x14ac:dyDescent="0.25">
      <c r="B91" s="13">
        <v>43196</v>
      </c>
      <c r="C91" s="13">
        <v>43196</v>
      </c>
      <c r="D91" s="13">
        <v>43196</v>
      </c>
      <c r="E91" t="s">
        <v>39</v>
      </c>
      <c r="F91" t="s">
        <v>46</v>
      </c>
      <c r="G91" t="s">
        <v>373</v>
      </c>
      <c r="H91" s="16">
        <v>1144</v>
      </c>
      <c r="I91">
        <f>IF(TbRegistroSaídas[[#This Row],[Data do Caixa Realizado]]="",0,MONTH(TbRegistroSaídas[[#This Row],[Data do Caixa Realizado]]))</f>
        <v>4</v>
      </c>
      <c r="J91">
        <f>IF(TbRegistroSaídas[[#This Row],[Data do Caixa Realizado]]="",0,YEAR(TbRegistroSaídas[[#This Row],[Data do Caixa Realizado]]))</f>
        <v>2018</v>
      </c>
    </row>
    <row r="92" spans="2:10" x14ac:dyDescent="0.25">
      <c r="B92" s="13">
        <v>43240</v>
      </c>
      <c r="C92" s="13">
        <v>43200</v>
      </c>
      <c r="D92" s="13">
        <v>43240</v>
      </c>
      <c r="E92" t="s">
        <v>39</v>
      </c>
      <c r="F92" t="s">
        <v>35</v>
      </c>
      <c r="G92" t="s">
        <v>374</v>
      </c>
      <c r="H92" s="16">
        <v>597</v>
      </c>
      <c r="I92">
        <f>IF(TbRegistroSaídas[[#This Row],[Data do Caixa Realizado]]="",0,MONTH(TbRegistroSaídas[[#This Row],[Data do Caixa Realizado]]))</f>
        <v>5</v>
      </c>
      <c r="J92">
        <f>IF(TbRegistroSaídas[[#This Row],[Data do Caixa Realizado]]="",0,YEAR(TbRegistroSaídas[[#This Row],[Data do Caixa Realizado]]))</f>
        <v>2018</v>
      </c>
    </row>
    <row r="93" spans="2:10" x14ac:dyDescent="0.25">
      <c r="B93" s="13">
        <v>43206</v>
      </c>
      <c r="C93" s="13">
        <v>43206</v>
      </c>
      <c r="D93" s="13">
        <v>43206</v>
      </c>
      <c r="E93" t="s">
        <v>39</v>
      </c>
      <c r="F93" t="s">
        <v>46</v>
      </c>
      <c r="G93" t="s">
        <v>375</v>
      </c>
      <c r="H93" s="16">
        <v>3445</v>
      </c>
      <c r="I93">
        <f>IF(TbRegistroSaídas[[#This Row],[Data do Caixa Realizado]]="",0,MONTH(TbRegistroSaídas[[#This Row],[Data do Caixa Realizado]]))</f>
        <v>4</v>
      </c>
      <c r="J93">
        <f>IF(TbRegistroSaídas[[#This Row],[Data do Caixa Realizado]]="",0,YEAR(TbRegistroSaídas[[#This Row],[Data do Caixa Realizado]]))</f>
        <v>2018</v>
      </c>
    </row>
    <row r="94" spans="2:10" x14ac:dyDescent="0.25">
      <c r="B94" s="13" t="s">
        <v>70</v>
      </c>
      <c r="C94" s="13">
        <v>43212</v>
      </c>
      <c r="D94" s="13">
        <v>43222</v>
      </c>
      <c r="E94" t="s">
        <v>39</v>
      </c>
      <c r="F94" t="s">
        <v>33</v>
      </c>
      <c r="G94" t="s">
        <v>376</v>
      </c>
      <c r="H94" s="16">
        <v>1996</v>
      </c>
      <c r="I94">
        <f>IF(TbRegistroSaídas[[#This Row],[Data do Caixa Realizado]]="",0,MONTH(TbRegistroSaídas[[#This Row],[Data do Caixa Realizado]]))</f>
        <v>0</v>
      </c>
      <c r="J94">
        <f>IF(TbRegistroSaídas[[#This Row],[Data do Caixa Realizado]]="",0,YEAR(TbRegistroSaídas[[#This Row],[Data do Caixa Realizado]]))</f>
        <v>0</v>
      </c>
    </row>
    <row r="95" spans="2:10" x14ac:dyDescent="0.25">
      <c r="B95" s="13">
        <v>43218</v>
      </c>
      <c r="C95" s="13">
        <v>43218</v>
      </c>
      <c r="D95" s="13">
        <v>43218</v>
      </c>
      <c r="E95" t="s">
        <v>39</v>
      </c>
      <c r="F95" t="s">
        <v>35</v>
      </c>
      <c r="G95" t="s">
        <v>377</v>
      </c>
      <c r="H95" s="16">
        <v>1254</v>
      </c>
      <c r="I95">
        <f>IF(TbRegistroSaídas[[#This Row],[Data do Caixa Realizado]]="",0,MONTH(TbRegistroSaídas[[#This Row],[Data do Caixa Realizado]]))</f>
        <v>4</v>
      </c>
      <c r="J95">
        <f>IF(TbRegistroSaídas[[#This Row],[Data do Caixa Realizado]]="",0,YEAR(TbRegistroSaídas[[#This Row],[Data do Caixa Realizado]]))</f>
        <v>2018</v>
      </c>
    </row>
    <row r="96" spans="2:10" x14ac:dyDescent="0.25">
      <c r="B96" s="13">
        <v>43223</v>
      </c>
      <c r="C96" s="13">
        <v>43219</v>
      </c>
      <c r="D96" s="13">
        <v>43223</v>
      </c>
      <c r="E96" t="s">
        <v>39</v>
      </c>
      <c r="F96" t="s">
        <v>35</v>
      </c>
      <c r="G96" t="s">
        <v>378</v>
      </c>
      <c r="H96" s="16">
        <v>905</v>
      </c>
      <c r="I96">
        <f>IF(TbRegistroSaídas[[#This Row],[Data do Caixa Realizado]]="",0,MONTH(TbRegistroSaídas[[#This Row],[Data do Caixa Realizado]]))</f>
        <v>5</v>
      </c>
      <c r="J96">
        <f>IF(TbRegistroSaídas[[#This Row],[Data do Caixa Realizado]]="",0,YEAR(TbRegistroSaídas[[#This Row],[Data do Caixa Realizado]]))</f>
        <v>2018</v>
      </c>
    </row>
    <row r="97" spans="2:10" x14ac:dyDescent="0.25">
      <c r="B97" s="13" t="s">
        <v>70</v>
      </c>
      <c r="C97" s="13">
        <v>43222</v>
      </c>
      <c r="D97" s="13">
        <v>43251</v>
      </c>
      <c r="E97" t="s">
        <v>39</v>
      </c>
      <c r="F97" t="s">
        <v>34</v>
      </c>
      <c r="G97" t="s">
        <v>379</v>
      </c>
      <c r="H97" s="16">
        <v>2975</v>
      </c>
      <c r="I97">
        <f>IF(TbRegistroSaídas[[#This Row],[Data do Caixa Realizado]]="",0,MONTH(TbRegistroSaídas[[#This Row],[Data do Caixa Realizado]]))</f>
        <v>0</v>
      </c>
      <c r="J97">
        <f>IF(TbRegistroSaídas[[#This Row],[Data do Caixa Realizado]]="",0,YEAR(TbRegistroSaídas[[#This Row],[Data do Caixa Realizado]]))</f>
        <v>0</v>
      </c>
    </row>
    <row r="98" spans="2:10" x14ac:dyDescent="0.25">
      <c r="B98" s="13" t="s">
        <v>70</v>
      </c>
      <c r="C98" s="13">
        <v>43223</v>
      </c>
      <c r="D98" s="13">
        <v>43228</v>
      </c>
      <c r="E98" t="s">
        <v>39</v>
      </c>
      <c r="F98" t="s">
        <v>46</v>
      </c>
      <c r="G98" t="s">
        <v>380</v>
      </c>
      <c r="H98" s="16">
        <v>4807</v>
      </c>
      <c r="I98">
        <f>IF(TbRegistroSaídas[[#This Row],[Data do Caixa Realizado]]="",0,MONTH(TbRegistroSaídas[[#This Row],[Data do Caixa Realizado]]))</f>
        <v>0</v>
      </c>
      <c r="J98">
        <f>IF(TbRegistroSaídas[[#This Row],[Data do Caixa Realizado]]="",0,YEAR(TbRegistroSaídas[[#This Row],[Data do Caixa Realizado]]))</f>
        <v>0</v>
      </c>
    </row>
    <row r="99" spans="2:10" x14ac:dyDescent="0.25">
      <c r="B99" s="13">
        <v>43264</v>
      </c>
      <c r="C99" s="13">
        <v>43230</v>
      </c>
      <c r="D99" s="13">
        <v>43264</v>
      </c>
      <c r="E99" t="s">
        <v>39</v>
      </c>
      <c r="F99" t="s">
        <v>33</v>
      </c>
      <c r="G99" t="s">
        <v>381</v>
      </c>
      <c r="H99" s="16">
        <v>1882</v>
      </c>
      <c r="I99">
        <f>IF(TbRegistroSaídas[[#This Row],[Data do Caixa Realizado]]="",0,MONTH(TbRegistroSaídas[[#This Row],[Data do Caixa Realizado]]))</f>
        <v>6</v>
      </c>
      <c r="J99">
        <f>IF(TbRegistroSaídas[[#This Row],[Data do Caixa Realizado]]="",0,YEAR(TbRegistroSaídas[[#This Row],[Data do Caixa Realizado]]))</f>
        <v>2018</v>
      </c>
    </row>
    <row r="100" spans="2:10" x14ac:dyDescent="0.25">
      <c r="B100" s="13">
        <v>43278</v>
      </c>
      <c r="C100" s="13">
        <v>43235</v>
      </c>
      <c r="D100" s="13">
        <v>43278</v>
      </c>
      <c r="E100" t="s">
        <v>39</v>
      </c>
      <c r="F100" t="s">
        <v>37</v>
      </c>
      <c r="G100" t="s">
        <v>382</v>
      </c>
      <c r="H100" s="16">
        <v>3932</v>
      </c>
      <c r="I100">
        <f>IF(TbRegistroSaídas[[#This Row],[Data do Caixa Realizado]]="",0,MONTH(TbRegistroSaídas[[#This Row],[Data do Caixa Realizado]]))</f>
        <v>6</v>
      </c>
      <c r="J100">
        <f>IF(TbRegistroSaídas[[#This Row],[Data do Caixa Realizado]]="",0,YEAR(TbRegistroSaídas[[#This Row],[Data do Caixa Realizado]]))</f>
        <v>2018</v>
      </c>
    </row>
    <row r="101" spans="2:10" x14ac:dyDescent="0.25">
      <c r="B101" s="13">
        <v>43238</v>
      </c>
      <c r="C101" s="13">
        <v>43238</v>
      </c>
      <c r="D101" s="13">
        <v>43238</v>
      </c>
      <c r="E101" t="s">
        <v>39</v>
      </c>
      <c r="F101" t="s">
        <v>46</v>
      </c>
      <c r="G101" t="s">
        <v>383</v>
      </c>
      <c r="H101" s="16">
        <v>701</v>
      </c>
      <c r="I101">
        <f>IF(TbRegistroSaídas[[#This Row],[Data do Caixa Realizado]]="",0,MONTH(TbRegistroSaídas[[#This Row],[Data do Caixa Realizado]]))</f>
        <v>5</v>
      </c>
      <c r="J101">
        <f>IF(TbRegistroSaídas[[#This Row],[Data do Caixa Realizado]]="",0,YEAR(TbRegistroSaídas[[#This Row],[Data do Caixa Realizado]]))</f>
        <v>2018</v>
      </c>
    </row>
    <row r="102" spans="2:10" x14ac:dyDescent="0.25">
      <c r="B102" s="13" t="s">
        <v>70</v>
      </c>
      <c r="C102" s="13">
        <v>43239</v>
      </c>
      <c r="D102" s="13">
        <v>43278</v>
      </c>
      <c r="E102" t="s">
        <v>39</v>
      </c>
      <c r="F102" t="s">
        <v>46</v>
      </c>
      <c r="G102" t="s">
        <v>384</v>
      </c>
      <c r="H102" s="16">
        <v>2651</v>
      </c>
      <c r="I102">
        <f>IF(TbRegistroSaídas[[#This Row],[Data do Caixa Realizado]]="",0,MONTH(TbRegistroSaídas[[#This Row],[Data do Caixa Realizado]]))</f>
        <v>0</v>
      </c>
      <c r="J102">
        <f>IF(TbRegistroSaídas[[#This Row],[Data do Caixa Realizado]]="",0,YEAR(TbRegistroSaídas[[#This Row],[Data do Caixa Realizado]]))</f>
        <v>0</v>
      </c>
    </row>
    <row r="103" spans="2:10" x14ac:dyDescent="0.25">
      <c r="B103" s="13">
        <v>43282</v>
      </c>
      <c r="C103" s="13">
        <v>43246</v>
      </c>
      <c r="D103" s="13">
        <v>43282</v>
      </c>
      <c r="E103" t="s">
        <v>39</v>
      </c>
      <c r="F103" t="s">
        <v>46</v>
      </c>
      <c r="G103" t="s">
        <v>385</v>
      </c>
      <c r="H103" s="16">
        <v>3792</v>
      </c>
      <c r="I103">
        <f>IF(TbRegistroSaídas[[#This Row],[Data do Caixa Realizado]]="",0,MONTH(TbRegistroSaídas[[#This Row],[Data do Caixa Realizado]]))</f>
        <v>7</v>
      </c>
      <c r="J103">
        <f>IF(TbRegistroSaídas[[#This Row],[Data do Caixa Realizado]]="",0,YEAR(TbRegistroSaídas[[#This Row],[Data do Caixa Realizado]]))</f>
        <v>2018</v>
      </c>
    </row>
    <row r="104" spans="2:10" x14ac:dyDescent="0.25">
      <c r="B104" s="13">
        <v>43306</v>
      </c>
      <c r="C104" s="13">
        <v>43248</v>
      </c>
      <c r="D104" s="13">
        <v>43306</v>
      </c>
      <c r="E104" t="s">
        <v>39</v>
      </c>
      <c r="F104" t="s">
        <v>37</v>
      </c>
      <c r="G104" t="s">
        <v>386</v>
      </c>
      <c r="H104" s="16">
        <v>611</v>
      </c>
      <c r="I104">
        <f>IF(TbRegistroSaídas[[#This Row],[Data do Caixa Realizado]]="",0,MONTH(TbRegistroSaídas[[#This Row],[Data do Caixa Realizado]]))</f>
        <v>7</v>
      </c>
      <c r="J104">
        <f>IF(TbRegistroSaídas[[#This Row],[Data do Caixa Realizado]]="",0,YEAR(TbRegistroSaídas[[#This Row],[Data do Caixa Realizado]]))</f>
        <v>2018</v>
      </c>
    </row>
    <row r="105" spans="2:10" x14ac:dyDescent="0.25">
      <c r="B105" s="13">
        <v>43292</v>
      </c>
      <c r="C105" s="13">
        <v>43251</v>
      </c>
      <c r="D105" s="13">
        <v>43292</v>
      </c>
      <c r="E105" t="s">
        <v>39</v>
      </c>
      <c r="F105" t="s">
        <v>34</v>
      </c>
      <c r="G105" t="s">
        <v>387</v>
      </c>
      <c r="H105" s="16">
        <v>3431</v>
      </c>
      <c r="I105">
        <f>IF(TbRegistroSaídas[[#This Row],[Data do Caixa Realizado]]="",0,MONTH(TbRegistroSaídas[[#This Row],[Data do Caixa Realizado]]))</f>
        <v>7</v>
      </c>
      <c r="J105">
        <f>IF(TbRegistroSaídas[[#This Row],[Data do Caixa Realizado]]="",0,YEAR(TbRegistroSaídas[[#This Row],[Data do Caixa Realizado]]))</f>
        <v>2018</v>
      </c>
    </row>
    <row r="106" spans="2:10" x14ac:dyDescent="0.25">
      <c r="B106" s="13" t="s">
        <v>70</v>
      </c>
      <c r="C106" s="13">
        <v>43253</v>
      </c>
      <c r="D106" s="13">
        <v>43253</v>
      </c>
      <c r="E106" t="s">
        <v>39</v>
      </c>
      <c r="F106" t="s">
        <v>46</v>
      </c>
      <c r="G106" t="s">
        <v>388</v>
      </c>
      <c r="H106" s="16">
        <v>3670</v>
      </c>
      <c r="I106">
        <f>IF(TbRegistroSaídas[[#This Row],[Data do Caixa Realizado]]="",0,MONTH(TbRegistroSaídas[[#This Row],[Data do Caixa Realizado]]))</f>
        <v>0</v>
      </c>
      <c r="J106">
        <f>IF(TbRegistroSaídas[[#This Row],[Data do Caixa Realizado]]="",0,YEAR(TbRegistroSaídas[[#This Row],[Data do Caixa Realizado]]))</f>
        <v>0</v>
      </c>
    </row>
    <row r="107" spans="2:10" x14ac:dyDescent="0.25">
      <c r="B107" s="13">
        <v>43259</v>
      </c>
      <c r="C107" s="13">
        <v>43255</v>
      </c>
      <c r="D107" s="13">
        <v>43259</v>
      </c>
      <c r="E107" t="s">
        <v>39</v>
      </c>
      <c r="F107" t="s">
        <v>46</v>
      </c>
      <c r="G107" t="s">
        <v>389</v>
      </c>
      <c r="H107" s="16">
        <v>4320</v>
      </c>
      <c r="I107">
        <f>IF(TbRegistroSaídas[[#This Row],[Data do Caixa Realizado]]="",0,MONTH(TbRegistroSaídas[[#This Row],[Data do Caixa Realizado]]))</f>
        <v>6</v>
      </c>
      <c r="J107">
        <f>IF(TbRegistroSaídas[[#This Row],[Data do Caixa Realizado]]="",0,YEAR(TbRegistroSaídas[[#This Row],[Data do Caixa Realizado]]))</f>
        <v>2018</v>
      </c>
    </row>
    <row r="108" spans="2:10" x14ac:dyDescent="0.25">
      <c r="B108" s="13">
        <v>43256</v>
      </c>
      <c r="C108" s="13">
        <v>43256</v>
      </c>
      <c r="D108" s="13">
        <v>43256</v>
      </c>
      <c r="E108" t="s">
        <v>39</v>
      </c>
      <c r="F108" t="s">
        <v>34</v>
      </c>
      <c r="G108" t="s">
        <v>390</v>
      </c>
      <c r="H108" s="16">
        <v>1809</v>
      </c>
      <c r="I108">
        <f>IF(TbRegistroSaídas[[#This Row],[Data do Caixa Realizado]]="",0,MONTH(TbRegistroSaídas[[#This Row],[Data do Caixa Realizado]]))</f>
        <v>6</v>
      </c>
      <c r="J108">
        <f>IF(TbRegistroSaídas[[#This Row],[Data do Caixa Realizado]]="",0,YEAR(TbRegistroSaídas[[#This Row],[Data do Caixa Realizado]]))</f>
        <v>2018</v>
      </c>
    </row>
    <row r="109" spans="2:10" x14ac:dyDescent="0.25">
      <c r="B109" s="13">
        <v>43306</v>
      </c>
      <c r="C109" s="13">
        <v>43258</v>
      </c>
      <c r="D109" s="13">
        <v>43306</v>
      </c>
      <c r="E109" t="s">
        <v>39</v>
      </c>
      <c r="F109" t="s">
        <v>46</v>
      </c>
      <c r="G109" t="s">
        <v>391</v>
      </c>
      <c r="H109" s="16">
        <v>667</v>
      </c>
      <c r="I109">
        <f>IF(TbRegistroSaídas[[#This Row],[Data do Caixa Realizado]]="",0,MONTH(TbRegistroSaídas[[#This Row],[Data do Caixa Realizado]]))</f>
        <v>7</v>
      </c>
      <c r="J109">
        <f>IF(TbRegistroSaídas[[#This Row],[Data do Caixa Realizado]]="",0,YEAR(TbRegistroSaídas[[#This Row],[Data do Caixa Realizado]]))</f>
        <v>2018</v>
      </c>
    </row>
    <row r="110" spans="2:10" x14ac:dyDescent="0.25">
      <c r="B110" s="13">
        <v>43262</v>
      </c>
      <c r="C110" s="13">
        <v>43262</v>
      </c>
      <c r="D110" s="13">
        <v>43262</v>
      </c>
      <c r="E110" t="s">
        <v>39</v>
      </c>
      <c r="F110" t="s">
        <v>33</v>
      </c>
      <c r="G110" t="s">
        <v>392</v>
      </c>
      <c r="H110" s="16">
        <v>1613</v>
      </c>
      <c r="I110">
        <f>IF(TbRegistroSaídas[[#This Row],[Data do Caixa Realizado]]="",0,MONTH(TbRegistroSaídas[[#This Row],[Data do Caixa Realizado]]))</f>
        <v>6</v>
      </c>
      <c r="J110">
        <f>IF(TbRegistroSaídas[[#This Row],[Data do Caixa Realizado]]="",0,YEAR(TbRegistroSaídas[[#This Row],[Data do Caixa Realizado]]))</f>
        <v>2018</v>
      </c>
    </row>
    <row r="111" spans="2:10" x14ac:dyDescent="0.25">
      <c r="B111" s="13">
        <v>43309</v>
      </c>
      <c r="C111" s="13">
        <v>43268</v>
      </c>
      <c r="D111" s="13">
        <v>43309</v>
      </c>
      <c r="E111" t="s">
        <v>39</v>
      </c>
      <c r="F111" t="s">
        <v>37</v>
      </c>
      <c r="G111" t="s">
        <v>393</v>
      </c>
      <c r="H111" s="16">
        <v>3756</v>
      </c>
      <c r="I111">
        <f>IF(TbRegistroSaídas[[#This Row],[Data do Caixa Realizado]]="",0,MONTH(TbRegistroSaídas[[#This Row],[Data do Caixa Realizado]]))</f>
        <v>7</v>
      </c>
      <c r="J111">
        <f>IF(TbRegistroSaídas[[#This Row],[Data do Caixa Realizado]]="",0,YEAR(TbRegistroSaídas[[#This Row],[Data do Caixa Realizado]]))</f>
        <v>2018</v>
      </c>
    </row>
    <row r="112" spans="2:10" x14ac:dyDescent="0.25">
      <c r="B112" s="13">
        <v>43271</v>
      </c>
      <c r="C112" s="13">
        <v>43271</v>
      </c>
      <c r="D112" s="13">
        <v>43271</v>
      </c>
      <c r="E112" t="s">
        <v>39</v>
      </c>
      <c r="F112" t="s">
        <v>34</v>
      </c>
      <c r="G112" t="s">
        <v>394</v>
      </c>
      <c r="H112" s="16">
        <v>3672</v>
      </c>
      <c r="I112">
        <f>IF(TbRegistroSaídas[[#This Row],[Data do Caixa Realizado]]="",0,MONTH(TbRegistroSaídas[[#This Row],[Data do Caixa Realizado]]))</f>
        <v>6</v>
      </c>
      <c r="J112">
        <f>IF(TbRegistroSaídas[[#This Row],[Data do Caixa Realizado]]="",0,YEAR(TbRegistroSaídas[[#This Row],[Data do Caixa Realizado]]))</f>
        <v>2018</v>
      </c>
    </row>
    <row r="113" spans="2:10" x14ac:dyDescent="0.25">
      <c r="B113" s="13" t="s">
        <v>70</v>
      </c>
      <c r="C113" s="13">
        <v>43277</v>
      </c>
      <c r="D113" s="13">
        <v>43288</v>
      </c>
      <c r="E113" t="s">
        <v>39</v>
      </c>
      <c r="F113" t="s">
        <v>46</v>
      </c>
      <c r="G113" t="s">
        <v>395</v>
      </c>
      <c r="H113" s="16">
        <v>658</v>
      </c>
      <c r="I113">
        <f>IF(TbRegistroSaídas[[#This Row],[Data do Caixa Realizado]]="",0,MONTH(TbRegistroSaídas[[#This Row],[Data do Caixa Realizado]]))</f>
        <v>0</v>
      </c>
      <c r="J113">
        <f>IF(TbRegistroSaídas[[#This Row],[Data do Caixa Realizado]]="",0,YEAR(TbRegistroSaídas[[#This Row],[Data do Caixa Realizado]]))</f>
        <v>0</v>
      </c>
    </row>
    <row r="114" spans="2:10" x14ac:dyDescent="0.25">
      <c r="B114" s="13">
        <v>43336</v>
      </c>
      <c r="C114" s="13">
        <v>43280</v>
      </c>
      <c r="D114" s="13">
        <v>43336</v>
      </c>
      <c r="E114" t="s">
        <v>39</v>
      </c>
      <c r="F114" t="s">
        <v>34</v>
      </c>
      <c r="G114" t="s">
        <v>396</v>
      </c>
      <c r="H114" s="16">
        <v>4762</v>
      </c>
      <c r="I114">
        <f>IF(TbRegistroSaídas[[#This Row],[Data do Caixa Realizado]]="",0,MONTH(TbRegistroSaídas[[#This Row],[Data do Caixa Realizado]]))</f>
        <v>8</v>
      </c>
      <c r="J114">
        <f>IF(TbRegistroSaídas[[#This Row],[Data do Caixa Realizado]]="",0,YEAR(TbRegistroSaídas[[#This Row],[Data do Caixa Realizado]]))</f>
        <v>2018</v>
      </c>
    </row>
    <row r="115" spans="2:10" x14ac:dyDescent="0.25">
      <c r="B115" s="13">
        <v>43290</v>
      </c>
      <c r="C115" s="13">
        <v>43283</v>
      </c>
      <c r="D115" s="13">
        <v>43290</v>
      </c>
      <c r="E115" t="s">
        <v>39</v>
      </c>
      <c r="F115" t="s">
        <v>37</v>
      </c>
      <c r="G115" t="s">
        <v>397</v>
      </c>
      <c r="H115" s="16">
        <v>2186</v>
      </c>
      <c r="I115">
        <f>IF(TbRegistroSaídas[[#This Row],[Data do Caixa Realizado]]="",0,MONTH(TbRegistroSaídas[[#This Row],[Data do Caixa Realizado]]))</f>
        <v>7</v>
      </c>
      <c r="J115">
        <f>IF(TbRegistroSaídas[[#This Row],[Data do Caixa Realizado]]="",0,YEAR(TbRegistroSaídas[[#This Row],[Data do Caixa Realizado]]))</f>
        <v>2018</v>
      </c>
    </row>
    <row r="116" spans="2:10" x14ac:dyDescent="0.25">
      <c r="B116" s="13" t="s">
        <v>70</v>
      </c>
      <c r="C116" s="13">
        <v>43284</v>
      </c>
      <c r="D116" s="13">
        <v>43305</v>
      </c>
      <c r="E116" t="s">
        <v>39</v>
      </c>
      <c r="F116" t="s">
        <v>34</v>
      </c>
      <c r="G116" t="s">
        <v>398</v>
      </c>
      <c r="H116" s="16">
        <v>3411</v>
      </c>
      <c r="I116">
        <f>IF(TbRegistroSaídas[[#This Row],[Data do Caixa Realizado]]="",0,MONTH(TbRegistroSaídas[[#This Row],[Data do Caixa Realizado]]))</f>
        <v>0</v>
      </c>
      <c r="J116">
        <f>IF(TbRegistroSaídas[[#This Row],[Data do Caixa Realizado]]="",0,YEAR(TbRegistroSaídas[[#This Row],[Data do Caixa Realizado]]))</f>
        <v>0</v>
      </c>
    </row>
    <row r="117" spans="2:10" x14ac:dyDescent="0.25">
      <c r="B117" s="13">
        <v>43305</v>
      </c>
      <c r="C117" s="13">
        <v>43289</v>
      </c>
      <c r="D117" s="13">
        <v>43305</v>
      </c>
      <c r="E117" t="s">
        <v>39</v>
      </c>
      <c r="F117" t="s">
        <v>34</v>
      </c>
      <c r="G117" t="s">
        <v>399</v>
      </c>
      <c r="H117" s="16">
        <v>2524</v>
      </c>
      <c r="I117">
        <f>IF(TbRegistroSaídas[[#This Row],[Data do Caixa Realizado]]="",0,MONTH(TbRegistroSaídas[[#This Row],[Data do Caixa Realizado]]))</f>
        <v>7</v>
      </c>
      <c r="J117">
        <f>IF(TbRegistroSaídas[[#This Row],[Data do Caixa Realizado]]="",0,YEAR(TbRegistroSaídas[[#This Row],[Data do Caixa Realizado]]))</f>
        <v>2018</v>
      </c>
    </row>
    <row r="118" spans="2:10" x14ac:dyDescent="0.25">
      <c r="B118" s="13">
        <v>43313</v>
      </c>
      <c r="C118" s="13">
        <v>43291</v>
      </c>
      <c r="D118" s="13">
        <v>43313</v>
      </c>
      <c r="E118" t="s">
        <v>39</v>
      </c>
      <c r="F118" t="s">
        <v>37</v>
      </c>
      <c r="G118" t="s">
        <v>400</v>
      </c>
      <c r="H118" s="16">
        <v>1709</v>
      </c>
      <c r="I118">
        <f>IF(TbRegistroSaídas[[#This Row],[Data do Caixa Realizado]]="",0,MONTH(TbRegistroSaídas[[#This Row],[Data do Caixa Realizado]]))</f>
        <v>8</v>
      </c>
      <c r="J118">
        <f>IF(TbRegistroSaídas[[#This Row],[Data do Caixa Realizado]]="",0,YEAR(TbRegistroSaídas[[#This Row],[Data do Caixa Realizado]]))</f>
        <v>2018</v>
      </c>
    </row>
    <row r="119" spans="2:10" x14ac:dyDescent="0.25">
      <c r="B119" s="13">
        <v>43296</v>
      </c>
      <c r="C119" s="13">
        <v>43296</v>
      </c>
      <c r="D119" s="13">
        <v>43296</v>
      </c>
      <c r="E119" t="s">
        <v>39</v>
      </c>
      <c r="F119" t="s">
        <v>46</v>
      </c>
      <c r="G119" t="s">
        <v>401</v>
      </c>
      <c r="H119" s="16">
        <v>3181</v>
      </c>
      <c r="I119">
        <f>IF(TbRegistroSaídas[[#This Row],[Data do Caixa Realizado]]="",0,MONTH(TbRegistroSaídas[[#This Row],[Data do Caixa Realizado]]))</f>
        <v>7</v>
      </c>
      <c r="J119">
        <f>IF(TbRegistroSaídas[[#This Row],[Data do Caixa Realizado]]="",0,YEAR(TbRegistroSaídas[[#This Row],[Data do Caixa Realizado]]))</f>
        <v>2018</v>
      </c>
    </row>
    <row r="120" spans="2:10" x14ac:dyDescent="0.25">
      <c r="B120" s="13">
        <v>43350</v>
      </c>
      <c r="C120" s="13">
        <v>43297</v>
      </c>
      <c r="D120" s="13">
        <v>43297</v>
      </c>
      <c r="E120" t="s">
        <v>39</v>
      </c>
      <c r="F120" t="s">
        <v>35</v>
      </c>
      <c r="G120" t="s">
        <v>402</v>
      </c>
      <c r="H120" s="16">
        <v>1108</v>
      </c>
      <c r="I120">
        <f>IF(TbRegistroSaídas[[#This Row],[Data do Caixa Realizado]]="",0,MONTH(TbRegistroSaídas[[#This Row],[Data do Caixa Realizado]]))</f>
        <v>9</v>
      </c>
      <c r="J120">
        <f>IF(TbRegistroSaídas[[#This Row],[Data do Caixa Realizado]]="",0,YEAR(TbRegistroSaídas[[#This Row],[Data do Caixa Realizado]]))</f>
        <v>2018</v>
      </c>
    </row>
    <row r="121" spans="2:10" x14ac:dyDescent="0.25">
      <c r="B121" s="13" t="s">
        <v>70</v>
      </c>
      <c r="C121" s="13">
        <v>43298</v>
      </c>
      <c r="D121" s="13">
        <v>43298</v>
      </c>
      <c r="E121" t="s">
        <v>39</v>
      </c>
      <c r="F121" t="s">
        <v>46</v>
      </c>
      <c r="G121" t="s">
        <v>403</v>
      </c>
      <c r="H121" s="16">
        <v>2777</v>
      </c>
      <c r="I121">
        <f>IF(TbRegistroSaídas[[#This Row],[Data do Caixa Realizado]]="",0,MONTH(TbRegistroSaídas[[#This Row],[Data do Caixa Realizado]]))</f>
        <v>0</v>
      </c>
      <c r="J121">
        <f>IF(TbRegistroSaídas[[#This Row],[Data do Caixa Realizado]]="",0,YEAR(TbRegistroSaídas[[#This Row],[Data do Caixa Realizado]]))</f>
        <v>0</v>
      </c>
    </row>
    <row r="122" spans="2:10" x14ac:dyDescent="0.25">
      <c r="B122" s="13">
        <v>43357</v>
      </c>
      <c r="C122" s="13">
        <v>43300</v>
      </c>
      <c r="D122" s="13">
        <v>43357</v>
      </c>
      <c r="E122" t="s">
        <v>39</v>
      </c>
      <c r="F122" t="s">
        <v>37</v>
      </c>
      <c r="G122" t="s">
        <v>404</v>
      </c>
      <c r="H122" s="16">
        <v>3793</v>
      </c>
      <c r="I122">
        <f>IF(TbRegistroSaídas[[#This Row],[Data do Caixa Realizado]]="",0,MONTH(TbRegistroSaídas[[#This Row],[Data do Caixa Realizado]]))</f>
        <v>9</v>
      </c>
      <c r="J122">
        <f>IF(TbRegistroSaídas[[#This Row],[Data do Caixa Realizado]]="",0,YEAR(TbRegistroSaídas[[#This Row],[Data do Caixa Realizado]]))</f>
        <v>2018</v>
      </c>
    </row>
    <row r="123" spans="2:10" x14ac:dyDescent="0.25">
      <c r="B123" s="13">
        <v>43324</v>
      </c>
      <c r="C123" s="13">
        <v>43302</v>
      </c>
      <c r="D123" s="13">
        <v>43324</v>
      </c>
      <c r="E123" t="s">
        <v>39</v>
      </c>
      <c r="F123" t="s">
        <v>34</v>
      </c>
      <c r="G123" t="s">
        <v>405</v>
      </c>
      <c r="H123" s="16">
        <v>4217</v>
      </c>
      <c r="I123">
        <f>IF(TbRegistroSaídas[[#This Row],[Data do Caixa Realizado]]="",0,MONTH(TbRegistroSaídas[[#This Row],[Data do Caixa Realizado]]))</f>
        <v>8</v>
      </c>
      <c r="J123">
        <f>IF(TbRegistroSaídas[[#This Row],[Data do Caixa Realizado]]="",0,YEAR(TbRegistroSaídas[[#This Row],[Data do Caixa Realizado]]))</f>
        <v>2018</v>
      </c>
    </row>
    <row r="124" spans="2:10" x14ac:dyDescent="0.25">
      <c r="B124" s="13">
        <v>43309</v>
      </c>
      <c r="C124" s="13">
        <v>43309</v>
      </c>
      <c r="D124" s="13">
        <v>43309</v>
      </c>
      <c r="E124" t="s">
        <v>39</v>
      </c>
      <c r="F124" t="s">
        <v>46</v>
      </c>
      <c r="G124" t="s">
        <v>406</v>
      </c>
      <c r="H124" s="16">
        <v>4850</v>
      </c>
      <c r="I124">
        <f>IF(TbRegistroSaídas[[#This Row],[Data do Caixa Realizado]]="",0,MONTH(TbRegistroSaídas[[#This Row],[Data do Caixa Realizado]]))</f>
        <v>7</v>
      </c>
      <c r="J124">
        <f>IF(TbRegistroSaídas[[#This Row],[Data do Caixa Realizado]]="",0,YEAR(TbRegistroSaídas[[#This Row],[Data do Caixa Realizado]]))</f>
        <v>2018</v>
      </c>
    </row>
    <row r="125" spans="2:10" x14ac:dyDescent="0.25">
      <c r="B125" s="13">
        <v>43311</v>
      </c>
      <c r="C125" s="13">
        <v>43311</v>
      </c>
      <c r="D125" s="13">
        <v>43311</v>
      </c>
      <c r="E125" t="s">
        <v>39</v>
      </c>
      <c r="F125" t="s">
        <v>34</v>
      </c>
      <c r="G125" t="s">
        <v>407</v>
      </c>
      <c r="H125" s="16">
        <v>4309</v>
      </c>
      <c r="I125">
        <f>IF(TbRegistroSaídas[[#This Row],[Data do Caixa Realizado]]="",0,MONTH(TbRegistroSaídas[[#This Row],[Data do Caixa Realizado]]))</f>
        <v>7</v>
      </c>
      <c r="J125">
        <f>IF(TbRegistroSaídas[[#This Row],[Data do Caixa Realizado]]="",0,YEAR(TbRegistroSaídas[[#This Row],[Data do Caixa Realizado]]))</f>
        <v>2018</v>
      </c>
    </row>
    <row r="126" spans="2:10" x14ac:dyDescent="0.25">
      <c r="B126" s="13">
        <v>43314</v>
      </c>
      <c r="C126" s="13">
        <v>43313</v>
      </c>
      <c r="D126" s="13">
        <v>43314</v>
      </c>
      <c r="E126" t="s">
        <v>39</v>
      </c>
      <c r="F126" t="s">
        <v>35</v>
      </c>
      <c r="G126" t="s">
        <v>408</v>
      </c>
      <c r="H126" s="16">
        <v>4462</v>
      </c>
      <c r="I126">
        <f>IF(TbRegistroSaídas[[#This Row],[Data do Caixa Realizado]]="",0,MONTH(TbRegistroSaídas[[#This Row],[Data do Caixa Realizado]]))</f>
        <v>8</v>
      </c>
      <c r="J126">
        <f>IF(TbRegistroSaídas[[#This Row],[Data do Caixa Realizado]]="",0,YEAR(TbRegistroSaídas[[#This Row],[Data do Caixa Realizado]]))</f>
        <v>2018</v>
      </c>
    </row>
    <row r="127" spans="2:10" x14ac:dyDescent="0.25">
      <c r="B127" s="13">
        <v>43375</v>
      </c>
      <c r="C127" s="13">
        <v>43319</v>
      </c>
      <c r="D127" s="13">
        <v>43375</v>
      </c>
      <c r="E127" t="s">
        <v>39</v>
      </c>
      <c r="F127" t="s">
        <v>33</v>
      </c>
      <c r="G127" t="s">
        <v>409</v>
      </c>
      <c r="H127" s="16">
        <v>4947</v>
      </c>
      <c r="I127">
        <f>IF(TbRegistroSaídas[[#This Row],[Data do Caixa Realizado]]="",0,MONTH(TbRegistroSaídas[[#This Row],[Data do Caixa Realizado]]))</f>
        <v>10</v>
      </c>
      <c r="J127">
        <f>IF(TbRegistroSaídas[[#This Row],[Data do Caixa Realizado]]="",0,YEAR(TbRegistroSaídas[[#This Row],[Data do Caixa Realizado]]))</f>
        <v>2018</v>
      </c>
    </row>
    <row r="128" spans="2:10" x14ac:dyDescent="0.25">
      <c r="B128" s="13">
        <v>43368</v>
      </c>
      <c r="C128" s="13">
        <v>43322</v>
      </c>
      <c r="D128" s="13">
        <v>43368</v>
      </c>
      <c r="E128" t="s">
        <v>39</v>
      </c>
      <c r="F128" t="s">
        <v>37</v>
      </c>
      <c r="G128" t="s">
        <v>410</v>
      </c>
      <c r="H128" s="16">
        <v>902</v>
      </c>
      <c r="I128">
        <f>IF(TbRegistroSaídas[[#This Row],[Data do Caixa Realizado]]="",0,MONTH(TbRegistroSaídas[[#This Row],[Data do Caixa Realizado]]))</f>
        <v>9</v>
      </c>
      <c r="J128">
        <f>IF(TbRegistroSaídas[[#This Row],[Data do Caixa Realizado]]="",0,YEAR(TbRegistroSaídas[[#This Row],[Data do Caixa Realizado]]))</f>
        <v>2018</v>
      </c>
    </row>
    <row r="129" spans="2:10" x14ac:dyDescent="0.25">
      <c r="B129" s="13">
        <v>43366</v>
      </c>
      <c r="C129" s="13">
        <v>43324</v>
      </c>
      <c r="D129" s="13">
        <v>43366</v>
      </c>
      <c r="E129" t="s">
        <v>39</v>
      </c>
      <c r="F129" t="s">
        <v>33</v>
      </c>
      <c r="G129" t="s">
        <v>411</v>
      </c>
      <c r="H129" s="16">
        <v>432</v>
      </c>
      <c r="I129">
        <f>IF(TbRegistroSaídas[[#This Row],[Data do Caixa Realizado]]="",0,MONTH(TbRegistroSaídas[[#This Row],[Data do Caixa Realizado]]))</f>
        <v>9</v>
      </c>
      <c r="J129">
        <f>IF(TbRegistroSaídas[[#This Row],[Data do Caixa Realizado]]="",0,YEAR(TbRegistroSaídas[[#This Row],[Data do Caixa Realizado]]))</f>
        <v>2018</v>
      </c>
    </row>
    <row r="130" spans="2:10" x14ac:dyDescent="0.25">
      <c r="B130" s="13">
        <v>43356</v>
      </c>
      <c r="C130" s="13">
        <v>43327</v>
      </c>
      <c r="D130" s="13">
        <v>43356</v>
      </c>
      <c r="E130" t="s">
        <v>39</v>
      </c>
      <c r="F130" t="s">
        <v>34</v>
      </c>
      <c r="G130" t="s">
        <v>412</v>
      </c>
      <c r="H130" s="16">
        <v>4084</v>
      </c>
      <c r="I130">
        <f>IF(TbRegistroSaídas[[#This Row],[Data do Caixa Realizado]]="",0,MONTH(TbRegistroSaídas[[#This Row],[Data do Caixa Realizado]]))</f>
        <v>9</v>
      </c>
      <c r="J130">
        <f>IF(TbRegistroSaídas[[#This Row],[Data do Caixa Realizado]]="",0,YEAR(TbRegistroSaídas[[#This Row],[Data do Caixa Realizado]]))</f>
        <v>2018</v>
      </c>
    </row>
    <row r="131" spans="2:10" x14ac:dyDescent="0.25">
      <c r="B131" s="13">
        <v>43359</v>
      </c>
      <c r="C131" s="13">
        <v>43334</v>
      </c>
      <c r="D131" s="13">
        <v>43359</v>
      </c>
      <c r="E131" t="s">
        <v>39</v>
      </c>
      <c r="F131" t="s">
        <v>46</v>
      </c>
      <c r="G131" t="s">
        <v>413</v>
      </c>
      <c r="H131" s="16">
        <v>1054</v>
      </c>
      <c r="I131">
        <f>IF(TbRegistroSaídas[[#This Row],[Data do Caixa Realizado]]="",0,MONTH(TbRegistroSaídas[[#This Row],[Data do Caixa Realizado]]))</f>
        <v>9</v>
      </c>
      <c r="J131">
        <f>IF(TbRegistroSaídas[[#This Row],[Data do Caixa Realizado]]="",0,YEAR(TbRegistroSaídas[[#This Row],[Data do Caixa Realizado]]))</f>
        <v>2018</v>
      </c>
    </row>
    <row r="132" spans="2:10" x14ac:dyDescent="0.25">
      <c r="B132" s="13">
        <v>43352</v>
      </c>
      <c r="C132" s="13">
        <v>43335</v>
      </c>
      <c r="D132" s="13">
        <v>43352</v>
      </c>
      <c r="E132" t="s">
        <v>39</v>
      </c>
      <c r="F132" t="s">
        <v>33</v>
      </c>
      <c r="G132" t="s">
        <v>414</v>
      </c>
      <c r="H132" s="16">
        <v>4608</v>
      </c>
      <c r="I132">
        <f>IF(TbRegistroSaídas[[#This Row],[Data do Caixa Realizado]]="",0,MONTH(TbRegistroSaídas[[#This Row],[Data do Caixa Realizado]]))</f>
        <v>9</v>
      </c>
      <c r="J132">
        <f>IF(TbRegistroSaídas[[#This Row],[Data do Caixa Realizado]]="",0,YEAR(TbRegistroSaídas[[#This Row],[Data do Caixa Realizado]]))</f>
        <v>2018</v>
      </c>
    </row>
    <row r="133" spans="2:10" x14ac:dyDescent="0.25">
      <c r="B133" s="13">
        <v>43340</v>
      </c>
      <c r="C133" s="13">
        <v>43340</v>
      </c>
      <c r="D133" s="13">
        <v>43340</v>
      </c>
      <c r="E133" t="s">
        <v>39</v>
      </c>
      <c r="F133" t="s">
        <v>37</v>
      </c>
      <c r="G133" t="s">
        <v>415</v>
      </c>
      <c r="H133" s="16">
        <v>1238</v>
      </c>
      <c r="I133">
        <f>IF(TbRegistroSaídas[[#This Row],[Data do Caixa Realizado]]="",0,MONTH(TbRegistroSaídas[[#This Row],[Data do Caixa Realizado]]))</f>
        <v>8</v>
      </c>
      <c r="J133">
        <f>IF(TbRegistroSaídas[[#This Row],[Data do Caixa Realizado]]="",0,YEAR(TbRegistroSaídas[[#This Row],[Data do Caixa Realizado]]))</f>
        <v>2018</v>
      </c>
    </row>
    <row r="134" spans="2:10" x14ac:dyDescent="0.25">
      <c r="B134" s="13">
        <v>43370</v>
      </c>
      <c r="C134" s="13">
        <v>43346</v>
      </c>
      <c r="D134" s="13">
        <v>43370</v>
      </c>
      <c r="E134" t="s">
        <v>39</v>
      </c>
      <c r="F134" t="s">
        <v>46</v>
      </c>
      <c r="G134" t="s">
        <v>416</v>
      </c>
      <c r="H134" s="16">
        <v>1342</v>
      </c>
      <c r="I134">
        <f>IF(TbRegistroSaídas[[#This Row],[Data do Caixa Realizado]]="",0,MONTH(TbRegistroSaídas[[#This Row],[Data do Caixa Realizado]]))</f>
        <v>9</v>
      </c>
      <c r="J134">
        <f>IF(TbRegistroSaídas[[#This Row],[Data do Caixa Realizado]]="",0,YEAR(TbRegistroSaídas[[#This Row],[Data do Caixa Realizado]]))</f>
        <v>2018</v>
      </c>
    </row>
    <row r="135" spans="2:10" x14ac:dyDescent="0.25">
      <c r="B135" s="13">
        <v>43402</v>
      </c>
      <c r="C135" s="13">
        <v>43350</v>
      </c>
      <c r="D135" s="13">
        <v>43402</v>
      </c>
      <c r="E135" t="s">
        <v>39</v>
      </c>
      <c r="F135" t="s">
        <v>33</v>
      </c>
      <c r="G135" t="s">
        <v>417</v>
      </c>
      <c r="H135" s="16">
        <v>2936</v>
      </c>
      <c r="I135">
        <f>IF(TbRegistroSaídas[[#This Row],[Data do Caixa Realizado]]="",0,MONTH(TbRegistroSaídas[[#This Row],[Data do Caixa Realizado]]))</f>
        <v>10</v>
      </c>
      <c r="J135">
        <f>IF(TbRegistroSaídas[[#This Row],[Data do Caixa Realizado]]="",0,YEAR(TbRegistroSaídas[[#This Row],[Data do Caixa Realizado]]))</f>
        <v>2018</v>
      </c>
    </row>
    <row r="136" spans="2:10" x14ac:dyDescent="0.25">
      <c r="B136" s="13">
        <v>43381</v>
      </c>
      <c r="C136" s="13">
        <v>43351</v>
      </c>
      <c r="D136" s="13">
        <v>43381</v>
      </c>
      <c r="E136" t="s">
        <v>39</v>
      </c>
      <c r="F136" t="s">
        <v>46</v>
      </c>
      <c r="G136" t="s">
        <v>418</v>
      </c>
      <c r="H136" s="16">
        <v>875</v>
      </c>
      <c r="I136">
        <f>IF(TbRegistroSaídas[[#This Row],[Data do Caixa Realizado]]="",0,MONTH(TbRegistroSaídas[[#This Row],[Data do Caixa Realizado]]))</f>
        <v>10</v>
      </c>
      <c r="J136">
        <f>IF(TbRegistroSaídas[[#This Row],[Data do Caixa Realizado]]="",0,YEAR(TbRegistroSaídas[[#This Row],[Data do Caixa Realizado]]))</f>
        <v>2018</v>
      </c>
    </row>
    <row r="137" spans="2:10" x14ac:dyDescent="0.25">
      <c r="B137" s="13" t="s">
        <v>70</v>
      </c>
      <c r="C137" s="13">
        <v>43353</v>
      </c>
      <c r="D137" s="13">
        <v>43353</v>
      </c>
      <c r="E137" t="s">
        <v>39</v>
      </c>
      <c r="F137" t="s">
        <v>35</v>
      </c>
      <c r="G137" t="s">
        <v>419</v>
      </c>
      <c r="H137" s="16">
        <v>159</v>
      </c>
      <c r="I137">
        <f>IF(TbRegistroSaídas[[#This Row],[Data do Caixa Realizado]]="",0,MONTH(TbRegistroSaídas[[#This Row],[Data do Caixa Realizado]]))</f>
        <v>0</v>
      </c>
      <c r="J137">
        <f>IF(TbRegistroSaídas[[#This Row],[Data do Caixa Realizado]]="",0,YEAR(TbRegistroSaídas[[#This Row],[Data do Caixa Realizado]]))</f>
        <v>0</v>
      </c>
    </row>
    <row r="138" spans="2:10" x14ac:dyDescent="0.25">
      <c r="B138" s="13" t="s">
        <v>70</v>
      </c>
      <c r="C138" s="13">
        <v>43358</v>
      </c>
      <c r="D138" s="13">
        <v>43358</v>
      </c>
      <c r="E138" t="s">
        <v>39</v>
      </c>
      <c r="F138" t="s">
        <v>46</v>
      </c>
      <c r="G138" t="s">
        <v>420</v>
      </c>
      <c r="H138" s="16">
        <v>2933</v>
      </c>
      <c r="I138">
        <f>IF(TbRegistroSaídas[[#This Row],[Data do Caixa Realizado]]="",0,MONTH(TbRegistroSaídas[[#This Row],[Data do Caixa Realizado]]))</f>
        <v>0</v>
      </c>
      <c r="J138">
        <f>IF(TbRegistroSaídas[[#This Row],[Data do Caixa Realizado]]="",0,YEAR(TbRegistroSaídas[[#This Row],[Data do Caixa Realizado]]))</f>
        <v>0</v>
      </c>
    </row>
    <row r="139" spans="2:10" x14ac:dyDescent="0.25">
      <c r="B139" s="13">
        <v>43405</v>
      </c>
      <c r="C139" s="13">
        <v>43358</v>
      </c>
      <c r="D139" s="13">
        <v>43405</v>
      </c>
      <c r="E139" t="s">
        <v>39</v>
      </c>
      <c r="F139" t="s">
        <v>46</v>
      </c>
      <c r="G139" t="s">
        <v>421</v>
      </c>
      <c r="H139" s="16">
        <v>4944</v>
      </c>
      <c r="I139">
        <f>IF(TbRegistroSaídas[[#This Row],[Data do Caixa Realizado]]="",0,MONTH(TbRegistroSaídas[[#This Row],[Data do Caixa Realizado]]))</f>
        <v>11</v>
      </c>
      <c r="J139">
        <f>IF(TbRegistroSaídas[[#This Row],[Data do Caixa Realizado]]="",0,YEAR(TbRegistroSaídas[[#This Row],[Data do Caixa Realizado]]))</f>
        <v>2018</v>
      </c>
    </row>
    <row r="140" spans="2:10" x14ac:dyDescent="0.25">
      <c r="B140" s="13">
        <v>43377</v>
      </c>
      <c r="C140" s="13">
        <v>43362</v>
      </c>
      <c r="D140" s="13">
        <v>43377</v>
      </c>
      <c r="E140" t="s">
        <v>39</v>
      </c>
      <c r="F140" t="s">
        <v>37</v>
      </c>
      <c r="G140" t="s">
        <v>422</v>
      </c>
      <c r="H140" s="16">
        <v>4173</v>
      </c>
      <c r="I140">
        <f>IF(TbRegistroSaídas[[#This Row],[Data do Caixa Realizado]]="",0,MONTH(TbRegistroSaídas[[#This Row],[Data do Caixa Realizado]]))</f>
        <v>10</v>
      </c>
      <c r="J140">
        <f>IF(TbRegistroSaídas[[#This Row],[Data do Caixa Realizado]]="",0,YEAR(TbRegistroSaídas[[#This Row],[Data do Caixa Realizado]]))</f>
        <v>2018</v>
      </c>
    </row>
    <row r="141" spans="2:10" x14ac:dyDescent="0.25">
      <c r="B141" s="13">
        <v>43375</v>
      </c>
      <c r="C141" s="13">
        <v>43367</v>
      </c>
      <c r="D141" s="13">
        <v>43375</v>
      </c>
      <c r="E141" t="s">
        <v>39</v>
      </c>
      <c r="F141" t="s">
        <v>33</v>
      </c>
      <c r="G141" t="s">
        <v>423</v>
      </c>
      <c r="H141" s="16">
        <v>2065</v>
      </c>
      <c r="I141">
        <f>IF(TbRegistroSaídas[[#This Row],[Data do Caixa Realizado]]="",0,MONTH(TbRegistroSaídas[[#This Row],[Data do Caixa Realizado]]))</f>
        <v>10</v>
      </c>
      <c r="J141">
        <f>IF(TbRegistroSaídas[[#This Row],[Data do Caixa Realizado]]="",0,YEAR(TbRegistroSaídas[[#This Row],[Data do Caixa Realizado]]))</f>
        <v>2018</v>
      </c>
    </row>
    <row r="142" spans="2:10" x14ac:dyDescent="0.25">
      <c r="B142" s="13">
        <v>43422</v>
      </c>
      <c r="C142" s="13">
        <v>43371</v>
      </c>
      <c r="D142" s="13">
        <v>43422</v>
      </c>
      <c r="E142" t="s">
        <v>39</v>
      </c>
      <c r="F142" t="s">
        <v>34</v>
      </c>
      <c r="G142" t="s">
        <v>424</v>
      </c>
      <c r="H142" s="16">
        <v>521</v>
      </c>
      <c r="I142">
        <f>IF(TbRegistroSaídas[[#This Row],[Data do Caixa Realizado]]="",0,MONTH(TbRegistroSaídas[[#This Row],[Data do Caixa Realizado]]))</f>
        <v>11</v>
      </c>
      <c r="J142">
        <f>IF(TbRegistroSaídas[[#This Row],[Data do Caixa Realizado]]="",0,YEAR(TbRegistroSaídas[[#This Row],[Data do Caixa Realizado]]))</f>
        <v>2018</v>
      </c>
    </row>
    <row r="143" spans="2:10" x14ac:dyDescent="0.25">
      <c r="B143" s="13" t="s">
        <v>70</v>
      </c>
      <c r="C143" s="13">
        <v>43374</v>
      </c>
      <c r="D143" s="13">
        <v>43417</v>
      </c>
      <c r="E143" t="s">
        <v>39</v>
      </c>
      <c r="F143" t="s">
        <v>34</v>
      </c>
      <c r="G143" t="s">
        <v>425</v>
      </c>
      <c r="H143" s="16">
        <v>819</v>
      </c>
      <c r="I143">
        <f>IF(TbRegistroSaídas[[#This Row],[Data do Caixa Realizado]]="",0,MONTH(TbRegistroSaídas[[#This Row],[Data do Caixa Realizado]]))</f>
        <v>0</v>
      </c>
      <c r="J143">
        <f>IF(TbRegistroSaídas[[#This Row],[Data do Caixa Realizado]]="",0,YEAR(TbRegistroSaídas[[#This Row],[Data do Caixa Realizado]]))</f>
        <v>0</v>
      </c>
    </row>
    <row r="144" spans="2:10" x14ac:dyDescent="0.25">
      <c r="B144" s="13">
        <v>43377</v>
      </c>
      <c r="C144" s="13">
        <v>43377</v>
      </c>
      <c r="D144" s="13">
        <v>43377</v>
      </c>
      <c r="E144" t="s">
        <v>39</v>
      </c>
      <c r="F144" t="s">
        <v>37</v>
      </c>
      <c r="G144" t="s">
        <v>426</v>
      </c>
      <c r="H144" s="16">
        <v>1260</v>
      </c>
      <c r="I144">
        <f>IF(TbRegistroSaídas[[#This Row],[Data do Caixa Realizado]]="",0,MONTH(TbRegistroSaídas[[#This Row],[Data do Caixa Realizado]]))</f>
        <v>10</v>
      </c>
      <c r="J144">
        <f>IF(TbRegistroSaídas[[#This Row],[Data do Caixa Realizado]]="",0,YEAR(TbRegistroSaídas[[#This Row],[Data do Caixa Realizado]]))</f>
        <v>2018</v>
      </c>
    </row>
    <row r="145" spans="2:10" x14ac:dyDescent="0.25">
      <c r="B145" s="13">
        <v>43389</v>
      </c>
      <c r="C145" s="13">
        <v>43383</v>
      </c>
      <c r="D145" s="13">
        <v>43389</v>
      </c>
      <c r="E145" t="s">
        <v>39</v>
      </c>
      <c r="F145" t="s">
        <v>33</v>
      </c>
      <c r="G145" t="s">
        <v>427</v>
      </c>
      <c r="H145" s="16">
        <v>2998</v>
      </c>
      <c r="I145">
        <f>IF(TbRegistroSaídas[[#This Row],[Data do Caixa Realizado]]="",0,MONTH(TbRegistroSaídas[[#This Row],[Data do Caixa Realizado]]))</f>
        <v>10</v>
      </c>
      <c r="J145">
        <f>IF(TbRegistroSaídas[[#This Row],[Data do Caixa Realizado]]="",0,YEAR(TbRegistroSaídas[[#This Row],[Data do Caixa Realizado]]))</f>
        <v>2018</v>
      </c>
    </row>
    <row r="146" spans="2:10" x14ac:dyDescent="0.25">
      <c r="B146" s="13">
        <v>43468</v>
      </c>
      <c r="C146" s="13">
        <v>43385</v>
      </c>
      <c r="D146" s="13">
        <v>43404</v>
      </c>
      <c r="E146" t="s">
        <v>39</v>
      </c>
      <c r="F146" t="s">
        <v>33</v>
      </c>
      <c r="G146" t="s">
        <v>428</v>
      </c>
      <c r="H146" s="16">
        <v>4287</v>
      </c>
      <c r="I146">
        <f>IF(TbRegistroSaídas[[#This Row],[Data do Caixa Realizado]]="",0,MONTH(TbRegistroSaídas[[#This Row],[Data do Caixa Realizado]]))</f>
        <v>1</v>
      </c>
      <c r="J146">
        <f>IF(TbRegistroSaídas[[#This Row],[Data do Caixa Realizado]]="",0,YEAR(TbRegistroSaídas[[#This Row],[Data do Caixa Realizado]]))</f>
        <v>2019</v>
      </c>
    </row>
    <row r="147" spans="2:10" x14ac:dyDescent="0.25">
      <c r="B147" s="13">
        <v>43448</v>
      </c>
      <c r="C147" s="13">
        <v>43387</v>
      </c>
      <c r="D147" s="13">
        <v>43387</v>
      </c>
      <c r="E147" t="s">
        <v>39</v>
      </c>
      <c r="F147" t="s">
        <v>35</v>
      </c>
      <c r="G147" t="s">
        <v>429</v>
      </c>
      <c r="H147" s="16">
        <v>2015</v>
      </c>
      <c r="I147">
        <f>IF(TbRegistroSaídas[[#This Row],[Data do Caixa Realizado]]="",0,MONTH(TbRegistroSaídas[[#This Row],[Data do Caixa Realizado]]))</f>
        <v>12</v>
      </c>
      <c r="J147">
        <f>IF(TbRegistroSaídas[[#This Row],[Data do Caixa Realizado]]="",0,YEAR(TbRegistroSaídas[[#This Row],[Data do Caixa Realizado]]))</f>
        <v>2018</v>
      </c>
    </row>
    <row r="148" spans="2:10" x14ac:dyDescent="0.25">
      <c r="B148" s="13">
        <v>43449</v>
      </c>
      <c r="C148" s="13">
        <v>43393</v>
      </c>
      <c r="D148" s="13">
        <v>43449</v>
      </c>
      <c r="E148" t="s">
        <v>39</v>
      </c>
      <c r="F148" t="s">
        <v>35</v>
      </c>
      <c r="G148" t="s">
        <v>430</v>
      </c>
      <c r="H148" s="16">
        <v>3369</v>
      </c>
      <c r="I148">
        <f>IF(TbRegistroSaídas[[#This Row],[Data do Caixa Realizado]]="",0,MONTH(TbRegistroSaídas[[#This Row],[Data do Caixa Realizado]]))</f>
        <v>12</v>
      </c>
      <c r="J148">
        <f>IF(TbRegistroSaídas[[#This Row],[Data do Caixa Realizado]]="",0,YEAR(TbRegistroSaídas[[#This Row],[Data do Caixa Realizado]]))</f>
        <v>2018</v>
      </c>
    </row>
    <row r="149" spans="2:10" x14ac:dyDescent="0.25">
      <c r="B149" s="13">
        <v>43394</v>
      </c>
      <c r="C149" s="13">
        <v>43394</v>
      </c>
      <c r="D149" s="13">
        <v>43394</v>
      </c>
      <c r="E149" t="s">
        <v>39</v>
      </c>
      <c r="F149" t="s">
        <v>46</v>
      </c>
      <c r="G149" t="s">
        <v>431</v>
      </c>
      <c r="H149" s="16">
        <v>4851</v>
      </c>
      <c r="I149">
        <f>IF(TbRegistroSaídas[[#This Row],[Data do Caixa Realizado]]="",0,MONTH(TbRegistroSaídas[[#This Row],[Data do Caixa Realizado]]))</f>
        <v>10</v>
      </c>
      <c r="J149">
        <f>IF(TbRegistroSaídas[[#This Row],[Data do Caixa Realizado]]="",0,YEAR(TbRegistroSaídas[[#This Row],[Data do Caixa Realizado]]))</f>
        <v>2018</v>
      </c>
    </row>
    <row r="150" spans="2:10" x14ac:dyDescent="0.25">
      <c r="B150" s="13">
        <v>43449</v>
      </c>
      <c r="C150" s="13">
        <v>43398</v>
      </c>
      <c r="D150" s="13">
        <v>43449</v>
      </c>
      <c r="E150" t="s">
        <v>39</v>
      </c>
      <c r="F150" t="s">
        <v>46</v>
      </c>
      <c r="G150" t="s">
        <v>432</v>
      </c>
      <c r="H150" s="16">
        <v>2178</v>
      </c>
      <c r="I150">
        <f>IF(TbRegistroSaídas[[#This Row],[Data do Caixa Realizado]]="",0,MONTH(TbRegistroSaídas[[#This Row],[Data do Caixa Realizado]]))</f>
        <v>12</v>
      </c>
      <c r="J150">
        <f>IF(TbRegistroSaídas[[#This Row],[Data do Caixa Realizado]]="",0,YEAR(TbRegistroSaídas[[#This Row],[Data do Caixa Realizado]]))</f>
        <v>2018</v>
      </c>
    </row>
    <row r="151" spans="2:10" x14ac:dyDescent="0.25">
      <c r="B151" s="13">
        <v>43424</v>
      </c>
      <c r="C151" s="13">
        <v>43400</v>
      </c>
      <c r="D151" s="13">
        <v>43424</v>
      </c>
      <c r="E151" t="s">
        <v>39</v>
      </c>
      <c r="F151" t="s">
        <v>35</v>
      </c>
      <c r="G151" t="s">
        <v>433</v>
      </c>
      <c r="H151" s="16">
        <v>4052</v>
      </c>
      <c r="I151">
        <f>IF(TbRegistroSaídas[[#This Row],[Data do Caixa Realizado]]="",0,MONTH(TbRegistroSaídas[[#This Row],[Data do Caixa Realizado]]))</f>
        <v>11</v>
      </c>
      <c r="J151">
        <f>IF(TbRegistroSaídas[[#This Row],[Data do Caixa Realizado]]="",0,YEAR(TbRegistroSaídas[[#This Row],[Data do Caixa Realizado]]))</f>
        <v>2018</v>
      </c>
    </row>
    <row r="152" spans="2:10" x14ac:dyDescent="0.25">
      <c r="B152" s="13">
        <v>43403</v>
      </c>
      <c r="C152" s="13">
        <v>43403</v>
      </c>
      <c r="D152" s="13">
        <v>43403</v>
      </c>
      <c r="E152" t="s">
        <v>39</v>
      </c>
      <c r="F152" t="s">
        <v>33</v>
      </c>
      <c r="G152" t="s">
        <v>434</v>
      </c>
      <c r="H152" s="16">
        <v>2864</v>
      </c>
      <c r="I152">
        <f>IF(TbRegistroSaídas[[#This Row],[Data do Caixa Realizado]]="",0,MONTH(TbRegistroSaídas[[#This Row],[Data do Caixa Realizado]]))</f>
        <v>10</v>
      </c>
      <c r="J152">
        <f>IF(TbRegistroSaídas[[#This Row],[Data do Caixa Realizado]]="",0,YEAR(TbRegistroSaídas[[#This Row],[Data do Caixa Realizado]]))</f>
        <v>2018</v>
      </c>
    </row>
    <row r="153" spans="2:10" x14ac:dyDescent="0.25">
      <c r="B153" s="13">
        <v>43461</v>
      </c>
      <c r="C153" s="13">
        <v>43405</v>
      </c>
      <c r="D153" s="13">
        <v>43461</v>
      </c>
      <c r="E153" t="s">
        <v>39</v>
      </c>
      <c r="F153" t="s">
        <v>46</v>
      </c>
      <c r="G153" t="s">
        <v>435</v>
      </c>
      <c r="H153" s="16">
        <v>2425</v>
      </c>
      <c r="I153">
        <f>IF(TbRegistroSaídas[[#This Row],[Data do Caixa Realizado]]="",0,MONTH(TbRegistroSaídas[[#This Row],[Data do Caixa Realizado]]))</f>
        <v>12</v>
      </c>
      <c r="J153">
        <f>IF(TbRegistroSaídas[[#This Row],[Data do Caixa Realizado]]="",0,YEAR(TbRegistroSaídas[[#This Row],[Data do Caixa Realizado]]))</f>
        <v>2018</v>
      </c>
    </row>
    <row r="154" spans="2:10" x14ac:dyDescent="0.25">
      <c r="B154" s="13">
        <v>43466</v>
      </c>
      <c r="C154" s="13">
        <v>43407</v>
      </c>
      <c r="D154" s="13">
        <v>43466</v>
      </c>
      <c r="E154" t="s">
        <v>39</v>
      </c>
      <c r="F154" t="s">
        <v>33</v>
      </c>
      <c r="G154" t="s">
        <v>353</v>
      </c>
      <c r="H154" s="16">
        <v>1542</v>
      </c>
      <c r="I154">
        <f>IF(TbRegistroSaídas[[#This Row],[Data do Caixa Realizado]]="",0,MONTH(TbRegistroSaídas[[#This Row],[Data do Caixa Realizado]]))</f>
        <v>1</v>
      </c>
      <c r="J154">
        <f>IF(TbRegistroSaídas[[#This Row],[Data do Caixa Realizado]]="",0,YEAR(TbRegistroSaídas[[#This Row],[Data do Caixa Realizado]]))</f>
        <v>2019</v>
      </c>
    </row>
    <row r="155" spans="2:10" x14ac:dyDescent="0.25">
      <c r="B155" s="13">
        <v>43446</v>
      </c>
      <c r="C155" s="13">
        <v>43412</v>
      </c>
      <c r="D155" s="13">
        <v>43446</v>
      </c>
      <c r="E155" t="s">
        <v>39</v>
      </c>
      <c r="F155" t="s">
        <v>46</v>
      </c>
      <c r="G155" t="s">
        <v>436</v>
      </c>
      <c r="H155" s="16">
        <v>1736</v>
      </c>
      <c r="I155">
        <f>IF(TbRegistroSaídas[[#This Row],[Data do Caixa Realizado]]="",0,MONTH(TbRegistroSaídas[[#This Row],[Data do Caixa Realizado]]))</f>
        <v>12</v>
      </c>
      <c r="J155">
        <f>IF(TbRegistroSaídas[[#This Row],[Data do Caixa Realizado]]="",0,YEAR(TbRegistroSaídas[[#This Row],[Data do Caixa Realizado]]))</f>
        <v>2018</v>
      </c>
    </row>
    <row r="156" spans="2:10" x14ac:dyDescent="0.25">
      <c r="B156" s="13">
        <v>43485</v>
      </c>
      <c r="C156" s="13">
        <v>43415</v>
      </c>
      <c r="D156" s="13">
        <v>43474</v>
      </c>
      <c r="E156" t="s">
        <v>39</v>
      </c>
      <c r="F156" t="s">
        <v>34</v>
      </c>
      <c r="G156" t="s">
        <v>437</v>
      </c>
      <c r="H156" s="16">
        <v>1628</v>
      </c>
      <c r="I156">
        <f>IF(TbRegistroSaídas[[#This Row],[Data do Caixa Realizado]]="",0,MONTH(TbRegistroSaídas[[#This Row],[Data do Caixa Realizado]]))</f>
        <v>1</v>
      </c>
      <c r="J156">
        <f>IF(TbRegistroSaídas[[#This Row],[Data do Caixa Realizado]]="",0,YEAR(TbRegistroSaídas[[#This Row],[Data do Caixa Realizado]]))</f>
        <v>2019</v>
      </c>
    </row>
    <row r="157" spans="2:10" x14ac:dyDescent="0.25">
      <c r="B157" s="13" t="s">
        <v>70</v>
      </c>
      <c r="C157" s="13">
        <v>43417</v>
      </c>
      <c r="D157" s="13">
        <v>43417</v>
      </c>
      <c r="E157" t="s">
        <v>39</v>
      </c>
      <c r="F157" t="s">
        <v>46</v>
      </c>
      <c r="G157" t="s">
        <v>438</v>
      </c>
      <c r="H157" s="16">
        <v>3853</v>
      </c>
      <c r="I157">
        <f>IF(TbRegistroSaídas[[#This Row],[Data do Caixa Realizado]]="",0,MONTH(TbRegistroSaídas[[#This Row],[Data do Caixa Realizado]]))</f>
        <v>0</v>
      </c>
      <c r="J157">
        <f>IF(TbRegistroSaídas[[#This Row],[Data do Caixa Realizado]]="",0,YEAR(TbRegistroSaídas[[#This Row],[Data do Caixa Realizado]]))</f>
        <v>0</v>
      </c>
    </row>
    <row r="158" spans="2:10" x14ac:dyDescent="0.25">
      <c r="B158" s="13">
        <v>43451</v>
      </c>
      <c r="C158" s="13">
        <v>43421</v>
      </c>
      <c r="D158" s="13">
        <v>43451</v>
      </c>
      <c r="E158" t="s">
        <v>39</v>
      </c>
      <c r="F158" t="s">
        <v>34</v>
      </c>
      <c r="G158" t="s">
        <v>439</v>
      </c>
      <c r="H158" s="16">
        <v>883</v>
      </c>
      <c r="I158">
        <f>IF(TbRegistroSaídas[[#This Row],[Data do Caixa Realizado]]="",0,MONTH(TbRegistroSaídas[[#This Row],[Data do Caixa Realizado]]))</f>
        <v>12</v>
      </c>
      <c r="J158">
        <f>IF(TbRegistroSaídas[[#This Row],[Data do Caixa Realizado]]="",0,YEAR(TbRegistroSaídas[[#This Row],[Data do Caixa Realizado]]))</f>
        <v>2018</v>
      </c>
    </row>
    <row r="159" spans="2:10" x14ac:dyDescent="0.25">
      <c r="B159" s="13">
        <v>43431</v>
      </c>
      <c r="C159" s="13">
        <v>43421</v>
      </c>
      <c r="D159" s="13">
        <v>43421</v>
      </c>
      <c r="E159" t="s">
        <v>39</v>
      </c>
      <c r="F159" t="s">
        <v>46</v>
      </c>
      <c r="G159" t="s">
        <v>440</v>
      </c>
      <c r="H159" s="16">
        <v>976</v>
      </c>
      <c r="I159">
        <f>IF(TbRegistroSaídas[[#This Row],[Data do Caixa Realizado]]="",0,MONTH(TbRegistroSaídas[[#This Row],[Data do Caixa Realizado]]))</f>
        <v>11</v>
      </c>
      <c r="J159">
        <f>IF(TbRegistroSaídas[[#This Row],[Data do Caixa Realizado]]="",0,YEAR(TbRegistroSaídas[[#This Row],[Data do Caixa Realizado]]))</f>
        <v>2018</v>
      </c>
    </row>
    <row r="160" spans="2:10" x14ac:dyDescent="0.25">
      <c r="B160" s="13">
        <v>43424</v>
      </c>
      <c r="C160" s="13">
        <v>43424</v>
      </c>
      <c r="D160" s="13">
        <v>43424</v>
      </c>
      <c r="E160" t="s">
        <v>39</v>
      </c>
      <c r="F160" t="s">
        <v>34</v>
      </c>
      <c r="G160" t="s">
        <v>441</v>
      </c>
      <c r="H160" s="16">
        <v>2663</v>
      </c>
      <c r="I160">
        <f>IF(TbRegistroSaídas[[#This Row],[Data do Caixa Realizado]]="",0,MONTH(TbRegistroSaídas[[#This Row],[Data do Caixa Realizado]]))</f>
        <v>11</v>
      </c>
      <c r="J160">
        <f>IF(TbRegistroSaídas[[#This Row],[Data do Caixa Realizado]]="",0,YEAR(TbRegistroSaídas[[#This Row],[Data do Caixa Realizado]]))</f>
        <v>2018</v>
      </c>
    </row>
    <row r="161" spans="2:10" x14ac:dyDescent="0.25">
      <c r="B161" s="13">
        <v>43430</v>
      </c>
      <c r="C161" s="13">
        <v>43430</v>
      </c>
      <c r="D161" s="13">
        <v>43430</v>
      </c>
      <c r="E161" t="s">
        <v>39</v>
      </c>
      <c r="F161" t="s">
        <v>46</v>
      </c>
      <c r="G161" t="s">
        <v>442</v>
      </c>
      <c r="H161" s="16">
        <v>4888</v>
      </c>
      <c r="I161">
        <f>IF(TbRegistroSaídas[[#This Row],[Data do Caixa Realizado]]="",0,MONTH(TbRegistroSaídas[[#This Row],[Data do Caixa Realizado]]))</f>
        <v>11</v>
      </c>
      <c r="J161">
        <f>IF(TbRegistroSaídas[[#This Row],[Data do Caixa Realizado]]="",0,YEAR(TbRegistroSaídas[[#This Row],[Data do Caixa Realizado]]))</f>
        <v>2018</v>
      </c>
    </row>
    <row r="162" spans="2:10" x14ac:dyDescent="0.25">
      <c r="B162" s="13">
        <v>43433</v>
      </c>
      <c r="C162" s="13">
        <v>43433</v>
      </c>
      <c r="D162" s="13">
        <v>43433</v>
      </c>
      <c r="E162" t="s">
        <v>39</v>
      </c>
      <c r="F162" t="s">
        <v>34</v>
      </c>
      <c r="G162" t="s">
        <v>443</v>
      </c>
      <c r="H162" s="16">
        <v>2030</v>
      </c>
      <c r="I162">
        <f>IF(TbRegistroSaídas[[#This Row],[Data do Caixa Realizado]]="",0,MONTH(TbRegistroSaídas[[#This Row],[Data do Caixa Realizado]]))</f>
        <v>11</v>
      </c>
      <c r="J162">
        <f>IF(TbRegistroSaídas[[#This Row],[Data do Caixa Realizado]]="",0,YEAR(TbRegistroSaídas[[#This Row],[Data do Caixa Realizado]]))</f>
        <v>2018</v>
      </c>
    </row>
    <row r="163" spans="2:10" x14ac:dyDescent="0.25">
      <c r="B163" s="13">
        <v>43485</v>
      </c>
      <c r="C163" s="13">
        <v>43436</v>
      </c>
      <c r="D163" s="13">
        <v>43485</v>
      </c>
      <c r="E163" t="s">
        <v>39</v>
      </c>
      <c r="F163" t="s">
        <v>46</v>
      </c>
      <c r="G163" t="s">
        <v>444</v>
      </c>
      <c r="H163" s="16">
        <v>2117</v>
      </c>
      <c r="I163">
        <f>IF(TbRegistroSaídas[[#This Row],[Data do Caixa Realizado]]="",0,MONTH(TbRegistroSaídas[[#This Row],[Data do Caixa Realizado]]))</f>
        <v>1</v>
      </c>
      <c r="J163">
        <f>IF(TbRegistroSaídas[[#This Row],[Data do Caixa Realizado]]="",0,YEAR(TbRegistroSaídas[[#This Row],[Data do Caixa Realizado]]))</f>
        <v>2019</v>
      </c>
    </row>
    <row r="164" spans="2:10" x14ac:dyDescent="0.25">
      <c r="B164" s="13">
        <v>43494</v>
      </c>
      <c r="C164" s="13">
        <v>43438</v>
      </c>
      <c r="D164" s="13">
        <v>43494</v>
      </c>
      <c r="E164" t="s">
        <v>39</v>
      </c>
      <c r="F164" t="s">
        <v>46</v>
      </c>
      <c r="G164" t="s">
        <v>445</v>
      </c>
      <c r="H164" s="16">
        <v>1236</v>
      </c>
      <c r="I164">
        <f>IF(TbRegistroSaídas[[#This Row],[Data do Caixa Realizado]]="",0,MONTH(TbRegistroSaídas[[#This Row],[Data do Caixa Realizado]]))</f>
        <v>1</v>
      </c>
      <c r="J164">
        <f>IF(TbRegistroSaídas[[#This Row],[Data do Caixa Realizado]]="",0,YEAR(TbRegistroSaídas[[#This Row],[Data do Caixa Realizado]]))</f>
        <v>2019</v>
      </c>
    </row>
    <row r="165" spans="2:10" x14ac:dyDescent="0.25">
      <c r="B165" s="13">
        <v>43465</v>
      </c>
      <c r="C165" s="13">
        <v>43443</v>
      </c>
      <c r="D165" s="13">
        <v>43465</v>
      </c>
      <c r="E165" t="s">
        <v>39</v>
      </c>
      <c r="F165" t="s">
        <v>46</v>
      </c>
      <c r="G165" t="s">
        <v>446</v>
      </c>
      <c r="H165" s="16">
        <v>426</v>
      </c>
      <c r="I165">
        <f>IF(TbRegistroSaídas[[#This Row],[Data do Caixa Realizado]]="",0,MONTH(TbRegistroSaídas[[#This Row],[Data do Caixa Realizado]]))</f>
        <v>12</v>
      </c>
      <c r="J165">
        <f>IF(TbRegistroSaídas[[#This Row],[Data do Caixa Realizado]]="",0,YEAR(TbRegistroSaídas[[#This Row],[Data do Caixa Realizado]]))</f>
        <v>2018</v>
      </c>
    </row>
    <row r="166" spans="2:10" x14ac:dyDescent="0.25">
      <c r="B166" s="13">
        <v>43444</v>
      </c>
      <c r="C166" s="13">
        <v>43444</v>
      </c>
      <c r="D166" s="13">
        <v>43444</v>
      </c>
      <c r="E166" t="s">
        <v>39</v>
      </c>
      <c r="F166" t="s">
        <v>33</v>
      </c>
      <c r="G166" t="s">
        <v>447</v>
      </c>
      <c r="H166" s="16">
        <v>3956</v>
      </c>
      <c r="I166">
        <f>IF(TbRegistroSaídas[[#This Row],[Data do Caixa Realizado]]="",0,MONTH(TbRegistroSaídas[[#This Row],[Data do Caixa Realizado]]))</f>
        <v>12</v>
      </c>
      <c r="J166">
        <f>IF(TbRegistroSaídas[[#This Row],[Data do Caixa Realizado]]="",0,YEAR(TbRegistroSaídas[[#This Row],[Data do Caixa Realizado]]))</f>
        <v>2018</v>
      </c>
    </row>
    <row r="167" spans="2:10" x14ac:dyDescent="0.25">
      <c r="B167" s="13" t="s">
        <v>70</v>
      </c>
      <c r="C167" s="13">
        <v>43448</v>
      </c>
      <c r="D167" s="13">
        <v>43480</v>
      </c>
      <c r="E167" t="s">
        <v>39</v>
      </c>
      <c r="F167" t="s">
        <v>46</v>
      </c>
      <c r="G167" t="s">
        <v>448</v>
      </c>
      <c r="H167" s="16">
        <v>3042</v>
      </c>
      <c r="I167">
        <f>IF(TbRegistroSaídas[[#This Row],[Data do Caixa Realizado]]="",0,MONTH(TbRegistroSaídas[[#This Row],[Data do Caixa Realizado]]))</f>
        <v>0</v>
      </c>
      <c r="J167">
        <f>IF(TbRegistroSaídas[[#This Row],[Data do Caixa Realizado]]="",0,YEAR(TbRegistroSaídas[[#This Row],[Data do Caixa Realizado]]))</f>
        <v>0</v>
      </c>
    </row>
    <row r="168" spans="2:10" x14ac:dyDescent="0.25">
      <c r="B168" s="13">
        <v>43449</v>
      </c>
      <c r="C168" s="13">
        <v>43449</v>
      </c>
      <c r="D168" s="13">
        <v>43449</v>
      </c>
      <c r="E168" t="s">
        <v>39</v>
      </c>
      <c r="F168" t="s">
        <v>46</v>
      </c>
      <c r="G168" t="s">
        <v>449</v>
      </c>
      <c r="H168" s="16">
        <v>1434</v>
      </c>
      <c r="I168">
        <f>IF(TbRegistroSaídas[[#This Row],[Data do Caixa Realizado]]="",0,MONTH(TbRegistroSaídas[[#This Row],[Data do Caixa Realizado]]))</f>
        <v>12</v>
      </c>
      <c r="J168">
        <f>IF(TbRegistroSaídas[[#This Row],[Data do Caixa Realizado]]="",0,YEAR(TbRegistroSaídas[[#This Row],[Data do Caixa Realizado]]))</f>
        <v>2018</v>
      </c>
    </row>
    <row r="169" spans="2:10" x14ac:dyDescent="0.25">
      <c r="B169" s="13">
        <v>43487</v>
      </c>
      <c r="C169" s="13">
        <v>43452</v>
      </c>
      <c r="D169" s="13">
        <v>43487</v>
      </c>
      <c r="E169" t="s">
        <v>39</v>
      </c>
      <c r="F169" t="s">
        <v>37</v>
      </c>
      <c r="G169" t="s">
        <v>450</v>
      </c>
      <c r="H169" s="16">
        <v>1782</v>
      </c>
      <c r="I169">
        <f>IF(TbRegistroSaídas[[#This Row],[Data do Caixa Realizado]]="",0,MONTH(TbRegistroSaídas[[#This Row],[Data do Caixa Realizado]]))</f>
        <v>1</v>
      </c>
      <c r="J169">
        <f>IF(TbRegistroSaídas[[#This Row],[Data do Caixa Realizado]]="",0,YEAR(TbRegistroSaídas[[#This Row],[Data do Caixa Realizado]]))</f>
        <v>2019</v>
      </c>
    </row>
    <row r="170" spans="2:10" x14ac:dyDescent="0.25">
      <c r="B170" s="13">
        <v>43514</v>
      </c>
      <c r="C170" s="13">
        <v>43459</v>
      </c>
      <c r="D170" s="13">
        <v>43514</v>
      </c>
      <c r="E170" t="s">
        <v>39</v>
      </c>
      <c r="F170" t="s">
        <v>46</v>
      </c>
      <c r="G170" t="s">
        <v>451</v>
      </c>
      <c r="H170" s="16">
        <v>365</v>
      </c>
      <c r="I170">
        <f>IF(TbRegistroSaídas[[#This Row],[Data do Caixa Realizado]]="",0,MONTH(TbRegistroSaídas[[#This Row],[Data do Caixa Realizado]]))</f>
        <v>2</v>
      </c>
      <c r="J170">
        <f>IF(TbRegistroSaídas[[#This Row],[Data do Caixa Realizado]]="",0,YEAR(TbRegistroSaídas[[#This Row],[Data do Caixa Realizado]]))</f>
        <v>2019</v>
      </c>
    </row>
    <row r="171" spans="2:10" x14ac:dyDescent="0.25">
      <c r="B171" s="13">
        <v>43491</v>
      </c>
      <c r="C171" s="13">
        <v>43461</v>
      </c>
      <c r="D171" s="13">
        <v>43491</v>
      </c>
      <c r="E171" t="s">
        <v>39</v>
      </c>
      <c r="F171" t="s">
        <v>46</v>
      </c>
      <c r="G171" t="s">
        <v>452</v>
      </c>
      <c r="H171" s="16">
        <v>2757</v>
      </c>
      <c r="I171">
        <f>IF(TbRegistroSaídas[[#This Row],[Data do Caixa Realizado]]="",0,MONTH(TbRegistroSaídas[[#This Row],[Data do Caixa Realizado]]))</f>
        <v>1</v>
      </c>
      <c r="J171">
        <f>IF(TbRegistroSaídas[[#This Row],[Data do Caixa Realizado]]="",0,YEAR(TbRegistroSaídas[[#This Row],[Data do Caixa Realizado]]))</f>
        <v>2019</v>
      </c>
    </row>
    <row r="172" spans="2:10" x14ac:dyDescent="0.25">
      <c r="B172" s="13">
        <v>43515</v>
      </c>
      <c r="C172" s="13">
        <v>43464</v>
      </c>
      <c r="D172" s="13">
        <v>43515</v>
      </c>
      <c r="E172" t="s">
        <v>39</v>
      </c>
      <c r="F172" t="s">
        <v>37</v>
      </c>
      <c r="G172" t="s">
        <v>453</v>
      </c>
      <c r="H172" s="16">
        <v>2112</v>
      </c>
      <c r="I172">
        <f>IF(TbRegistroSaídas[[#This Row],[Data do Caixa Realizado]]="",0,MONTH(TbRegistroSaídas[[#This Row],[Data do Caixa Realizado]]))</f>
        <v>2</v>
      </c>
      <c r="J172">
        <f>IF(TbRegistroSaídas[[#This Row],[Data do Caixa Realizado]]="",0,YEAR(TbRegistroSaídas[[#This Row],[Data do Caixa Realizado]]))</f>
        <v>2019</v>
      </c>
    </row>
    <row r="173" spans="2:10" x14ac:dyDescent="0.25">
      <c r="B173" s="13">
        <v>43467</v>
      </c>
      <c r="C173" s="13">
        <v>43467</v>
      </c>
      <c r="D173" s="13">
        <v>43467</v>
      </c>
      <c r="E173" t="s">
        <v>39</v>
      </c>
      <c r="F173" t="s">
        <v>37</v>
      </c>
      <c r="G173" t="s">
        <v>454</v>
      </c>
      <c r="H173" s="16">
        <v>2190</v>
      </c>
      <c r="I173">
        <f>IF(TbRegistroSaídas[[#This Row],[Data do Caixa Realizado]]="",0,MONTH(TbRegistroSaídas[[#This Row],[Data do Caixa Realizado]]))</f>
        <v>1</v>
      </c>
      <c r="J173">
        <f>IF(TbRegistroSaídas[[#This Row],[Data do Caixa Realizado]]="",0,YEAR(TbRegistroSaídas[[#This Row],[Data do Caixa Realizado]]))</f>
        <v>2019</v>
      </c>
    </row>
    <row r="174" spans="2:10" x14ac:dyDescent="0.25">
      <c r="B174" s="13">
        <v>43485</v>
      </c>
      <c r="C174" s="13">
        <v>43469</v>
      </c>
      <c r="D174" s="13">
        <v>43485</v>
      </c>
      <c r="E174" t="s">
        <v>39</v>
      </c>
      <c r="F174" t="s">
        <v>46</v>
      </c>
      <c r="G174" t="s">
        <v>455</v>
      </c>
      <c r="H174" s="16">
        <v>2998</v>
      </c>
      <c r="I174">
        <f>IF(TbRegistroSaídas[[#This Row],[Data do Caixa Realizado]]="",0,MONTH(TbRegistroSaídas[[#This Row],[Data do Caixa Realizado]]))</f>
        <v>1</v>
      </c>
      <c r="J174">
        <f>IF(TbRegistroSaídas[[#This Row],[Data do Caixa Realizado]]="",0,YEAR(TbRegistroSaídas[[#This Row],[Data do Caixa Realizado]]))</f>
        <v>2019</v>
      </c>
    </row>
    <row r="175" spans="2:10" x14ac:dyDescent="0.25">
      <c r="B175" s="13">
        <v>43501</v>
      </c>
      <c r="C175" s="13">
        <v>43476</v>
      </c>
      <c r="D175" s="13">
        <v>43501</v>
      </c>
      <c r="E175" t="s">
        <v>39</v>
      </c>
      <c r="F175" t="s">
        <v>46</v>
      </c>
      <c r="G175" t="s">
        <v>456</v>
      </c>
      <c r="H175" s="16">
        <v>3808</v>
      </c>
      <c r="I175">
        <f>IF(TbRegistroSaídas[[#This Row],[Data do Caixa Realizado]]="",0,MONTH(TbRegistroSaídas[[#This Row],[Data do Caixa Realizado]]))</f>
        <v>2</v>
      </c>
      <c r="J175">
        <f>IF(TbRegistroSaídas[[#This Row],[Data do Caixa Realizado]]="",0,YEAR(TbRegistroSaídas[[#This Row],[Data do Caixa Realizado]]))</f>
        <v>2019</v>
      </c>
    </row>
    <row r="176" spans="2:10" x14ac:dyDescent="0.25">
      <c r="B176" s="13">
        <v>43569</v>
      </c>
      <c r="C176" s="13">
        <v>43479</v>
      </c>
      <c r="D176" s="13">
        <v>43495</v>
      </c>
      <c r="E176" t="s">
        <v>39</v>
      </c>
      <c r="F176" t="s">
        <v>46</v>
      </c>
      <c r="G176" t="s">
        <v>457</v>
      </c>
      <c r="H176" s="16">
        <v>4928</v>
      </c>
      <c r="I176">
        <f>IF(TbRegistroSaídas[[#This Row],[Data do Caixa Realizado]]="",0,MONTH(TbRegistroSaídas[[#This Row],[Data do Caixa Realizado]]))</f>
        <v>4</v>
      </c>
      <c r="J176">
        <f>IF(TbRegistroSaídas[[#This Row],[Data do Caixa Realizado]]="",0,YEAR(TbRegistroSaídas[[#This Row],[Data do Caixa Realizado]]))</f>
        <v>2019</v>
      </c>
    </row>
    <row r="177" spans="2:10" x14ac:dyDescent="0.25">
      <c r="B177" s="13">
        <v>43482</v>
      </c>
      <c r="C177" s="13">
        <v>43482</v>
      </c>
      <c r="D177" s="13">
        <v>43482</v>
      </c>
      <c r="E177" t="s">
        <v>39</v>
      </c>
      <c r="F177" t="s">
        <v>37</v>
      </c>
      <c r="G177" t="s">
        <v>458</v>
      </c>
      <c r="H177" s="16">
        <v>4179</v>
      </c>
      <c r="I177">
        <f>IF(TbRegistroSaídas[[#This Row],[Data do Caixa Realizado]]="",0,MONTH(TbRegistroSaídas[[#This Row],[Data do Caixa Realizado]]))</f>
        <v>1</v>
      </c>
      <c r="J177">
        <f>IF(TbRegistroSaídas[[#This Row],[Data do Caixa Realizado]]="",0,YEAR(TbRegistroSaídas[[#This Row],[Data do Caixa Realizado]]))</f>
        <v>2019</v>
      </c>
    </row>
    <row r="178" spans="2:10" x14ac:dyDescent="0.25">
      <c r="B178" s="13">
        <v>43499</v>
      </c>
      <c r="C178" s="13">
        <v>43484</v>
      </c>
      <c r="D178" s="13">
        <v>43499</v>
      </c>
      <c r="E178" t="s">
        <v>39</v>
      </c>
      <c r="F178" t="s">
        <v>33</v>
      </c>
      <c r="G178" t="s">
        <v>459</v>
      </c>
      <c r="H178" s="16">
        <v>4896</v>
      </c>
      <c r="I178">
        <f>IF(TbRegistroSaídas[[#This Row],[Data do Caixa Realizado]]="",0,MONTH(TbRegistroSaídas[[#This Row],[Data do Caixa Realizado]]))</f>
        <v>2</v>
      </c>
      <c r="J178">
        <f>IF(TbRegistroSaídas[[#This Row],[Data do Caixa Realizado]]="",0,YEAR(TbRegistroSaídas[[#This Row],[Data do Caixa Realizado]]))</f>
        <v>2019</v>
      </c>
    </row>
    <row r="179" spans="2:10" x14ac:dyDescent="0.25">
      <c r="B179" s="13">
        <v>43487</v>
      </c>
      <c r="C179" s="13">
        <v>43487</v>
      </c>
      <c r="D179" s="13">
        <v>43487</v>
      </c>
      <c r="E179" t="s">
        <v>39</v>
      </c>
      <c r="F179" t="s">
        <v>37</v>
      </c>
      <c r="G179" t="s">
        <v>375</v>
      </c>
      <c r="H179" s="16">
        <v>4092</v>
      </c>
      <c r="I179">
        <f>IF(TbRegistroSaídas[[#This Row],[Data do Caixa Realizado]]="",0,MONTH(TbRegistroSaídas[[#This Row],[Data do Caixa Realizado]]))</f>
        <v>1</v>
      </c>
      <c r="J179">
        <f>IF(TbRegistroSaídas[[#This Row],[Data do Caixa Realizado]]="",0,YEAR(TbRegistroSaídas[[#This Row],[Data do Caixa Realizado]]))</f>
        <v>2019</v>
      </c>
    </row>
    <row r="180" spans="2:10" x14ac:dyDescent="0.25">
      <c r="B180" s="13">
        <v>43492</v>
      </c>
      <c r="C180" s="13">
        <v>43492</v>
      </c>
      <c r="D180" s="13">
        <v>43492</v>
      </c>
      <c r="E180" t="s">
        <v>39</v>
      </c>
      <c r="F180" t="s">
        <v>46</v>
      </c>
      <c r="G180" t="s">
        <v>460</v>
      </c>
      <c r="H180" s="16">
        <v>2956</v>
      </c>
      <c r="I180">
        <f>IF(TbRegistroSaídas[[#This Row],[Data do Caixa Realizado]]="",0,MONTH(TbRegistroSaídas[[#This Row],[Data do Caixa Realizado]]))</f>
        <v>1</v>
      </c>
      <c r="J180">
        <f>IF(TbRegistroSaídas[[#This Row],[Data do Caixa Realizado]]="",0,YEAR(TbRegistroSaídas[[#This Row],[Data do Caixa Realizado]]))</f>
        <v>2019</v>
      </c>
    </row>
    <row r="181" spans="2:10" x14ac:dyDescent="0.25">
      <c r="B181" s="13" t="s">
        <v>70</v>
      </c>
      <c r="C181" s="13">
        <v>43496</v>
      </c>
      <c r="D181" s="13">
        <v>43509</v>
      </c>
      <c r="E181" t="s">
        <v>39</v>
      </c>
      <c r="F181" t="s">
        <v>37</v>
      </c>
      <c r="G181" t="s">
        <v>461</v>
      </c>
      <c r="H181" s="16">
        <v>533</v>
      </c>
      <c r="I181">
        <f>IF(TbRegistroSaídas[[#This Row],[Data do Caixa Realizado]]="",0,MONTH(TbRegistroSaídas[[#This Row],[Data do Caixa Realizado]]))</f>
        <v>0</v>
      </c>
      <c r="J181">
        <f>IF(TbRegistroSaídas[[#This Row],[Data do Caixa Realizado]]="",0,YEAR(TbRegistroSaídas[[#This Row],[Data do Caixa Realizado]]))</f>
        <v>0</v>
      </c>
    </row>
    <row r="182" spans="2:10" x14ac:dyDescent="0.25">
      <c r="B182" s="13">
        <v>43520</v>
      </c>
      <c r="C182" s="13">
        <v>43497</v>
      </c>
      <c r="D182" s="13">
        <v>43520</v>
      </c>
      <c r="E182" t="s">
        <v>39</v>
      </c>
      <c r="F182" t="s">
        <v>34</v>
      </c>
      <c r="G182" t="s">
        <v>462</v>
      </c>
      <c r="H182" s="16">
        <v>3519</v>
      </c>
      <c r="I182">
        <f>IF(TbRegistroSaídas[[#This Row],[Data do Caixa Realizado]]="",0,MONTH(TbRegistroSaídas[[#This Row],[Data do Caixa Realizado]]))</f>
        <v>2</v>
      </c>
      <c r="J182">
        <f>IF(TbRegistroSaídas[[#This Row],[Data do Caixa Realizado]]="",0,YEAR(TbRegistroSaídas[[#This Row],[Data do Caixa Realizado]]))</f>
        <v>2019</v>
      </c>
    </row>
    <row r="183" spans="2:10" x14ac:dyDescent="0.25">
      <c r="B183" s="13">
        <v>43499</v>
      </c>
      <c r="C183" s="13">
        <v>43499</v>
      </c>
      <c r="D183" s="13">
        <v>43499</v>
      </c>
      <c r="E183" t="s">
        <v>39</v>
      </c>
      <c r="F183" t="s">
        <v>33</v>
      </c>
      <c r="G183" t="s">
        <v>463</v>
      </c>
      <c r="H183" s="16">
        <v>757</v>
      </c>
      <c r="I183">
        <f>IF(TbRegistroSaídas[[#This Row],[Data do Caixa Realizado]]="",0,MONTH(TbRegistroSaídas[[#This Row],[Data do Caixa Realizado]]))</f>
        <v>2</v>
      </c>
      <c r="J183">
        <f>IF(TbRegistroSaídas[[#This Row],[Data do Caixa Realizado]]="",0,YEAR(TbRegistroSaídas[[#This Row],[Data do Caixa Realizado]]))</f>
        <v>2019</v>
      </c>
    </row>
    <row r="184" spans="2:10" x14ac:dyDescent="0.25">
      <c r="B184" s="13" t="s">
        <v>70</v>
      </c>
      <c r="C184" s="13">
        <v>43503</v>
      </c>
      <c r="D184" s="13">
        <v>43503</v>
      </c>
      <c r="E184" t="s">
        <v>39</v>
      </c>
      <c r="F184" t="s">
        <v>46</v>
      </c>
      <c r="G184" t="s">
        <v>464</v>
      </c>
      <c r="H184" s="16">
        <v>2688</v>
      </c>
      <c r="I184">
        <f>IF(TbRegistroSaídas[[#This Row],[Data do Caixa Realizado]]="",0,MONTH(TbRegistroSaídas[[#This Row],[Data do Caixa Realizado]]))</f>
        <v>0</v>
      </c>
      <c r="J184">
        <f>IF(TbRegistroSaídas[[#This Row],[Data do Caixa Realizado]]="",0,YEAR(TbRegistroSaídas[[#This Row],[Data do Caixa Realizado]]))</f>
        <v>0</v>
      </c>
    </row>
    <row r="185" spans="2:10" x14ac:dyDescent="0.25">
      <c r="B185" s="13">
        <v>43505</v>
      </c>
      <c r="C185" s="13">
        <v>43505</v>
      </c>
      <c r="D185" s="13">
        <v>43505</v>
      </c>
      <c r="E185" t="s">
        <v>39</v>
      </c>
      <c r="F185" t="s">
        <v>35</v>
      </c>
      <c r="G185" t="s">
        <v>465</v>
      </c>
      <c r="H185" s="16">
        <v>340</v>
      </c>
      <c r="I185">
        <f>IF(TbRegistroSaídas[[#This Row],[Data do Caixa Realizado]]="",0,MONTH(TbRegistroSaídas[[#This Row],[Data do Caixa Realizado]]))</f>
        <v>2</v>
      </c>
      <c r="J185">
        <f>IF(TbRegistroSaídas[[#This Row],[Data do Caixa Realizado]]="",0,YEAR(TbRegistroSaídas[[#This Row],[Data do Caixa Realizado]]))</f>
        <v>2019</v>
      </c>
    </row>
    <row r="186" spans="2:10" x14ac:dyDescent="0.25">
      <c r="B186" s="13">
        <v>43508</v>
      </c>
      <c r="C186" s="13">
        <v>43506</v>
      </c>
      <c r="D186" s="13">
        <v>43508</v>
      </c>
      <c r="E186" t="s">
        <v>39</v>
      </c>
      <c r="F186" t="s">
        <v>35</v>
      </c>
      <c r="G186" t="s">
        <v>466</v>
      </c>
      <c r="H186" s="16">
        <v>4204</v>
      </c>
      <c r="I186">
        <f>IF(TbRegistroSaídas[[#This Row],[Data do Caixa Realizado]]="",0,MONTH(TbRegistroSaídas[[#This Row],[Data do Caixa Realizado]]))</f>
        <v>2</v>
      </c>
      <c r="J186">
        <f>IF(TbRegistroSaídas[[#This Row],[Data do Caixa Realizado]]="",0,YEAR(TbRegistroSaídas[[#This Row],[Data do Caixa Realizado]]))</f>
        <v>2019</v>
      </c>
    </row>
    <row r="187" spans="2:10" x14ac:dyDescent="0.25">
      <c r="B187" s="13">
        <v>43555</v>
      </c>
      <c r="C187" s="13">
        <v>43508</v>
      </c>
      <c r="D187" s="13">
        <v>43555</v>
      </c>
      <c r="E187" t="s">
        <v>39</v>
      </c>
      <c r="F187" t="s">
        <v>34</v>
      </c>
      <c r="G187" t="s">
        <v>467</v>
      </c>
      <c r="H187" s="16">
        <v>3695</v>
      </c>
      <c r="I187">
        <f>IF(TbRegistroSaídas[[#This Row],[Data do Caixa Realizado]]="",0,MONTH(TbRegistroSaídas[[#This Row],[Data do Caixa Realizado]]))</f>
        <v>3</v>
      </c>
      <c r="J187">
        <f>IF(TbRegistroSaídas[[#This Row],[Data do Caixa Realizado]]="",0,YEAR(TbRegistroSaídas[[#This Row],[Data do Caixa Realizado]]))</f>
        <v>2019</v>
      </c>
    </row>
    <row r="188" spans="2:10" x14ac:dyDescent="0.25">
      <c r="B188" s="13">
        <v>43517</v>
      </c>
      <c r="C188" s="13">
        <v>43517</v>
      </c>
      <c r="D188" s="13">
        <v>43517</v>
      </c>
      <c r="E188" t="s">
        <v>39</v>
      </c>
      <c r="F188" t="s">
        <v>37</v>
      </c>
      <c r="G188" t="s">
        <v>468</v>
      </c>
      <c r="H188" s="16">
        <v>4148</v>
      </c>
      <c r="I188">
        <f>IF(TbRegistroSaídas[[#This Row],[Data do Caixa Realizado]]="",0,MONTH(TbRegistroSaídas[[#This Row],[Data do Caixa Realizado]]))</f>
        <v>2</v>
      </c>
      <c r="J188">
        <f>IF(TbRegistroSaídas[[#This Row],[Data do Caixa Realizado]]="",0,YEAR(TbRegistroSaídas[[#This Row],[Data do Caixa Realizado]]))</f>
        <v>2019</v>
      </c>
    </row>
    <row r="189" spans="2:10" x14ac:dyDescent="0.25">
      <c r="B189" s="13" t="s">
        <v>70</v>
      </c>
      <c r="C189" s="13">
        <v>43521</v>
      </c>
      <c r="D189" s="13">
        <v>43521</v>
      </c>
      <c r="E189" t="s">
        <v>39</v>
      </c>
      <c r="F189" t="s">
        <v>46</v>
      </c>
      <c r="G189" t="s">
        <v>469</v>
      </c>
      <c r="H189" s="16">
        <v>4303</v>
      </c>
      <c r="I189">
        <f>IF(TbRegistroSaídas[[#This Row],[Data do Caixa Realizado]]="",0,MONTH(TbRegistroSaídas[[#This Row],[Data do Caixa Realizado]]))</f>
        <v>0</v>
      </c>
      <c r="J189">
        <f>IF(TbRegistroSaídas[[#This Row],[Data do Caixa Realizado]]="",0,YEAR(TbRegistroSaídas[[#This Row],[Data do Caixa Realizado]]))</f>
        <v>0</v>
      </c>
    </row>
    <row r="190" spans="2:10" x14ac:dyDescent="0.25">
      <c r="B190" s="13">
        <v>43531</v>
      </c>
      <c r="C190" s="13">
        <v>43523</v>
      </c>
      <c r="D190" s="13">
        <v>43531</v>
      </c>
      <c r="E190" t="s">
        <v>39</v>
      </c>
      <c r="F190" t="s">
        <v>35</v>
      </c>
      <c r="G190" t="s">
        <v>470</v>
      </c>
      <c r="H190" s="16">
        <v>2674</v>
      </c>
      <c r="I190">
        <f>IF(TbRegistroSaídas[[#This Row],[Data do Caixa Realizado]]="",0,MONTH(TbRegistroSaídas[[#This Row],[Data do Caixa Realizado]]))</f>
        <v>3</v>
      </c>
      <c r="J190">
        <f>IF(TbRegistroSaídas[[#This Row],[Data do Caixa Realizado]]="",0,YEAR(TbRegistroSaídas[[#This Row],[Data do Caixa Realizado]]))</f>
        <v>2019</v>
      </c>
    </row>
    <row r="191" spans="2:10" x14ac:dyDescent="0.25">
      <c r="B191" s="13">
        <v>43569</v>
      </c>
      <c r="C191" s="13">
        <v>43526</v>
      </c>
      <c r="D191" s="13">
        <v>43569</v>
      </c>
      <c r="E191" t="s">
        <v>39</v>
      </c>
      <c r="F191" t="s">
        <v>33</v>
      </c>
      <c r="G191" t="s">
        <v>471</v>
      </c>
      <c r="H191" s="16">
        <v>1720</v>
      </c>
      <c r="I191">
        <f>IF(TbRegistroSaídas[[#This Row],[Data do Caixa Realizado]]="",0,MONTH(TbRegistroSaídas[[#This Row],[Data do Caixa Realizado]]))</f>
        <v>4</v>
      </c>
      <c r="J191">
        <f>IF(TbRegistroSaídas[[#This Row],[Data do Caixa Realizado]]="",0,YEAR(TbRegistroSaídas[[#This Row],[Data do Caixa Realizado]]))</f>
        <v>2019</v>
      </c>
    </row>
    <row r="192" spans="2:10" x14ac:dyDescent="0.25">
      <c r="B192" s="13">
        <v>43567</v>
      </c>
      <c r="C192" s="13">
        <v>43530</v>
      </c>
      <c r="D192" s="13">
        <v>43567</v>
      </c>
      <c r="E192" t="s">
        <v>39</v>
      </c>
      <c r="F192" t="s">
        <v>33</v>
      </c>
      <c r="G192" t="s">
        <v>472</v>
      </c>
      <c r="H192" s="16">
        <v>1854</v>
      </c>
      <c r="I192">
        <f>IF(TbRegistroSaídas[[#This Row],[Data do Caixa Realizado]]="",0,MONTH(TbRegistroSaídas[[#This Row],[Data do Caixa Realizado]]))</f>
        <v>4</v>
      </c>
      <c r="J192">
        <f>IF(TbRegistroSaídas[[#This Row],[Data do Caixa Realizado]]="",0,YEAR(TbRegistroSaídas[[#This Row],[Data do Caixa Realizado]]))</f>
        <v>2019</v>
      </c>
    </row>
    <row r="193" spans="2:10" x14ac:dyDescent="0.25">
      <c r="B193" s="13">
        <v>43532</v>
      </c>
      <c r="C193" s="13">
        <v>43532</v>
      </c>
      <c r="D193" s="13">
        <v>43532</v>
      </c>
      <c r="E193" t="s">
        <v>39</v>
      </c>
      <c r="F193" t="s">
        <v>46</v>
      </c>
      <c r="G193" t="s">
        <v>473</v>
      </c>
      <c r="H193" s="16">
        <v>2568</v>
      </c>
      <c r="I193">
        <f>IF(TbRegistroSaídas[[#This Row],[Data do Caixa Realizado]]="",0,MONTH(TbRegistroSaídas[[#This Row],[Data do Caixa Realizado]]))</f>
        <v>3</v>
      </c>
      <c r="J193">
        <f>IF(TbRegistroSaídas[[#This Row],[Data do Caixa Realizado]]="",0,YEAR(TbRegistroSaídas[[#This Row],[Data do Caixa Realizado]]))</f>
        <v>2019</v>
      </c>
    </row>
    <row r="194" spans="2:10" x14ac:dyDescent="0.25">
      <c r="B194" s="13" t="s">
        <v>70</v>
      </c>
      <c r="C194" s="13">
        <v>43532</v>
      </c>
      <c r="D194" s="13">
        <v>43572</v>
      </c>
      <c r="E194" t="s">
        <v>39</v>
      </c>
      <c r="F194" t="s">
        <v>46</v>
      </c>
      <c r="G194" t="s">
        <v>474</v>
      </c>
      <c r="H194" s="16">
        <v>3690</v>
      </c>
      <c r="I194">
        <f>IF(TbRegistroSaídas[[#This Row],[Data do Caixa Realizado]]="",0,MONTH(TbRegistroSaídas[[#This Row],[Data do Caixa Realizado]]))</f>
        <v>0</v>
      </c>
      <c r="J194">
        <f>IF(TbRegistroSaídas[[#This Row],[Data do Caixa Realizado]]="",0,YEAR(TbRegistroSaídas[[#This Row],[Data do Caixa Realizado]]))</f>
        <v>0</v>
      </c>
    </row>
    <row r="195" spans="2:10" x14ac:dyDescent="0.25">
      <c r="B195" s="13">
        <v>43570</v>
      </c>
      <c r="C195" s="13">
        <v>43534</v>
      </c>
      <c r="D195" s="13">
        <v>43570</v>
      </c>
      <c r="E195" t="s">
        <v>39</v>
      </c>
      <c r="F195" t="s">
        <v>37</v>
      </c>
      <c r="G195" t="s">
        <v>475</v>
      </c>
      <c r="H195" s="16">
        <v>3746</v>
      </c>
      <c r="I195">
        <f>IF(TbRegistroSaídas[[#This Row],[Data do Caixa Realizado]]="",0,MONTH(TbRegistroSaídas[[#This Row],[Data do Caixa Realizado]]))</f>
        <v>4</v>
      </c>
      <c r="J195">
        <f>IF(TbRegistroSaídas[[#This Row],[Data do Caixa Realizado]]="",0,YEAR(TbRegistroSaídas[[#This Row],[Data do Caixa Realizado]]))</f>
        <v>2019</v>
      </c>
    </row>
    <row r="196" spans="2:10" x14ac:dyDescent="0.25">
      <c r="B196" s="13">
        <v>43536</v>
      </c>
      <c r="C196" s="13">
        <v>43536</v>
      </c>
      <c r="D196" s="13">
        <v>43536</v>
      </c>
      <c r="E196" t="s">
        <v>39</v>
      </c>
      <c r="F196" t="s">
        <v>33</v>
      </c>
      <c r="G196" t="s">
        <v>476</v>
      </c>
      <c r="H196" s="16">
        <v>4360</v>
      </c>
      <c r="I196">
        <f>IF(TbRegistroSaídas[[#This Row],[Data do Caixa Realizado]]="",0,MONTH(TbRegistroSaídas[[#This Row],[Data do Caixa Realizado]]))</f>
        <v>3</v>
      </c>
      <c r="J196">
        <f>IF(TbRegistroSaídas[[#This Row],[Data do Caixa Realizado]]="",0,YEAR(TbRegistroSaídas[[#This Row],[Data do Caixa Realizado]]))</f>
        <v>2019</v>
      </c>
    </row>
    <row r="197" spans="2:10" x14ac:dyDescent="0.25">
      <c r="B197" s="13">
        <v>43576</v>
      </c>
      <c r="C197" s="13">
        <v>43537</v>
      </c>
      <c r="D197" s="13">
        <v>43576</v>
      </c>
      <c r="E197" t="s">
        <v>39</v>
      </c>
      <c r="F197" t="s">
        <v>37</v>
      </c>
      <c r="G197" t="s">
        <v>477</v>
      </c>
      <c r="H197" s="16">
        <v>1753</v>
      </c>
      <c r="I197">
        <f>IF(TbRegistroSaídas[[#This Row],[Data do Caixa Realizado]]="",0,MONTH(TbRegistroSaídas[[#This Row],[Data do Caixa Realizado]]))</f>
        <v>4</v>
      </c>
      <c r="J197">
        <f>IF(TbRegistroSaídas[[#This Row],[Data do Caixa Realizado]]="",0,YEAR(TbRegistroSaídas[[#This Row],[Data do Caixa Realizado]]))</f>
        <v>2019</v>
      </c>
    </row>
    <row r="198" spans="2:10" x14ac:dyDescent="0.25">
      <c r="B198" s="13">
        <v>43543</v>
      </c>
      <c r="C198" s="13">
        <v>43540</v>
      </c>
      <c r="D198" s="13">
        <v>43543</v>
      </c>
      <c r="E198" t="s">
        <v>39</v>
      </c>
      <c r="F198" t="s">
        <v>33</v>
      </c>
      <c r="G198" t="s">
        <v>478</v>
      </c>
      <c r="H198" s="16">
        <v>1421</v>
      </c>
      <c r="I198">
        <f>IF(TbRegistroSaídas[[#This Row],[Data do Caixa Realizado]]="",0,MONTH(TbRegistroSaídas[[#This Row],[Data do Caixa Realizado]]))</f>
        <v>3</v>
      </c>
      <c r="J198">
        <f>IF(TbRegistroSaídas[[#This Row],[Data do Caixa Realizado]]="",0,YEAR(TbRegistroSaídas[[#This Row],[Data do Caixa Realizado]]))</f>
        <v>2019</v>
      </c>
    </row>
    <row r="199" spans="2:10" x14ac:dyDescent="0.25">
      <c r="B199" s="13">
        <v>43543</v>
      </c>
      <c r="C199" s="13">
        <v>43543</v>
      </c>
      <c r="D199" s="13">
        <v>43543</v>
      </c>
      <c r="E199" t="s">
        <v>39</v>
      </c>
      <c r="F199" t="s">
        <v>37</v>
      </c>
      <c r="G199" t="s">
        <v>479</v>
      </c>
      <c r="H199" s="16">
        <v>3565</v>
      </c>
      <c r="I199">
        <f>IF(TbRegistroSaídas[[#This Row],[Data do Caixa Realizado]]="",0,MONTH(TbRegistroSaídas[[#This Row],[Data do Caixa Realizado]]))</f>
        <v>3</v>
      </c>
      <c r="J199">
        <f>IF(TbRegistroSaídas[[#This Row],[Data do Caixa Realizado]]="",0,YEAR(TbRegistroSaídas[[#This Row],[Data do Caixa Realizado]]))</f>
        <v>2019</v>
      </c>
    </row>
    <row r="200" spans="2:10" x14ac:dyDescent="0.25">
      <c r="B200" s="13">
        <v>43586</v>
      </c>
      <c r="C200" s="13">
        <v>43546</v>
      </c>
      <c r="D200" s="13">
        <v>43586</v>
      </c>
      <c r="E200" t="s">
        <v>39</v>
      </c>
      <c r="F200" t="s">
        <v>46</v>
      </c>
      <c r="G200" t="s">
        <v>480</v>
      </c>
      <c r="H200" s="16">
        <v>1961</v>
      </c>
      <c r="I200">
        <f>IF(TbRegistroSaídas[[#This Row],[Data do Caixa Realizado]]="",0,MONTH(TbRegistroSaídas[[#This Row],[Data do Caixa Realizado]]))</f>
        <v>5</v>
      </c>
      <c r="J200">
        <f>IF(TbRegistroSaídas[[#This Row],[Data do Caixa Realizado]]="",0,YEAR(TbRegistroSaídas[[#This Row],[Data do Caixa Realizado]]))</f>
        <v>2019</v>
      </c>
    </row>
    <row r="201" spans="2:10" x14ac:dyDescent="0.25">
      <c r="B201" s="13">
        <v>43551</v>
      </c>
      <c r="C201" s="13">
        <v>43551</v>
      </c>
      <c r="D201" s="13">
        <v>43551</v>
      </c>
      <c r="E201" t="s">
        <v>39</v>
      </c>
      <c r="F201" t="s">
        <v>35</v>
      </c>
      <c r="G201" t="s">
        <v>481</v>
      </c>
      <c r="H201" s="16">
        <v>4854</v>
      </c>
      <c r="I201">
        <f>IF(TbRegistroSaídas[[#This Row],[Data do Caixa Realizado]]="",0,MONTH(TbRegistroSaídas[[#This Row],[Data do Caixa Realizado]]))</f>
        <v>3</v>
      </c>
      <c r="J201">
        <f>IF(TbRegistroSaídas[[#This Row],[Data do Caixa Realizado]]="",0,YEAR(TbRegistroSaídas[[#This Row],[Data do Caixa Realizado]]))</f>
        <v>2019</v>
      </c>
    </row>
    <row r="202" spans="2:10" x14ac:dyDescent="0.25">
      <c r="B202" s="13">
        <v>43557</v>
      </c>
      <c r="C202" s="13">
        <v>43557</v>
      </c>
      <c r="D202" s="13">
        <v>43557</v>
      </c>
      <c r="E202" t="s">
        <v>39</v>
      </c>
      <c r="F202" t="s">
        <v>33</v>
      </c>
      <c r="G202" t="s">
        <v>482</v>
      </c>
      <c r="H202" s="16">
        <v>3453</v>
      </c>
      <c r="I202">
        <f>IF(TbRegistroSaídas[[#This Row],[Data do Caixa Realizado]]="",0,MONTH(TbRegistroSaídas[[#This Row],[Data do Caixa Realizado]]))</f>
        <v>4</v>
      </c>
      <c r="J202">
        <f>IF(TbRegistroSaídas[[#This Row],[Data do Caixa Realizado]]="",0,YEAR(TbRegistroSaídas[[#This Row],[Data do Caixa Realizado]]))</f>
        <v>2019</v>
      </c>
    </row>
    <row r="203" spans="2:10" x14ac:dyDescent="0.25">
      <c r="B203" s="13">
        <v>43560</v>
      </c>
      <c r="C203" s="13">
        <v>43558</v>
      </c>
      <c r="D203" s="13">
        <v>43560</v>
      </c>
      <c r="E203" t="s">
        <v>39</v>
      </c>
      <c r="F203" t="s">
        <v>46</v>
      </c>
      <c r="G203" t="s">
        <v>483</v>
      </c>
      <c r="H203" s="16">
        <v>3341</v>
      </c>
      <c r="I203">
        <f>IF(TbRegistroSaídas[[#This Row],[Data do Caixa Realizado]]="",0,MONTH(TbRegistroSaídas[[#This Row],[Data do Caixa Realizado]]))</f>
        <v>4</v>
      </c>
      <c r="J203">
        <f>IF(TbRegistroSaídas[[#This Row],[Data do Caixa Realizado]]="",0,YEAR(TbRegistroSaídas[[#This Row],[Data do Caixa Realizado]]))</f>
        <v>2019</v>
      </c>
    </row>
    <row r="204" spans="2:10" x14ac:dyDescent="0.25">
      <c r="B204" s="13" t="s">
        <v>70</v>
      </c>
      <c r="C204" s="13">
        <v>43561</v>
      </c>
      <c r="D204" s="13">
        <v>43605</v>
      </c>
      <c r="E204" t="s">
        <v>39</v>
      </c>
      <c r="F204" t="s">
        <v>35</v>
      </c>
      <c r="G204" t="s">
        <v>484</v>
      </c>
      <c r="H204" s="16">
        <v>2707</v>
      </c>
      <c r="I204">
        <f>IF(TbRegistroSaídas[[#This Row],[Data do Caixa Realizado]]="",0,MONTH(TbRegistroSaídas[[#This Row],[Data do Caixa Realizado]]))</f>
        <v>0</v>
      </c>
      <c r="J204">
        <f>IF(TbRegistroSaídas[[#This Row],[Data do Caixa Realizado]]="",0,YEAR(TbRegistroSaídas[[#This Row],[Data do Caixa Realizado]]))</f>
        <v>0</v>
      </c>
    </row>
    <row r="205" spans="2:10" x14ac:dyDescent="0.25">
      <c r="B205" s="13">
        <v>43647</v>
      </c>
      <c r="C205" s="13">
        <v>43563</v>
      </c>
      <c r="D205" s="13">
        <v>43603</v>
      </c>
      <c r="E205" t="s">
        <v>39</v>
      </c>
      <c r="F205" t="s">
        <v>46</v>
      </c>
      <c r="G205" t="s">
        <v>485</v>
      </c>
      <c r="H205" s="16">
        <v>1582</v>
      </c>
      <c r="I205">
        <f>IF(TbRegistroSaídas[[#This Row],[Data do Caixa Realizado]]="",0,MONTH(TbRegistroSaídas[[#This Row],[Data do Caixa Realizado]]))</f>
        <v>7</v>
      </c>
      <c r="J205">
        <f>IF(TbRegistroSaídas[[#This Row],[Data do Caixa Realizado]]="",0,YEAR(TbRegistroSaídas[[#This Row],[Data do Caixa Realizado]]))</f>
        <v>2019</v>
      </c>
    </row>
    <row r="206" spans="2:10" x14ac:dyDescent="0.25">
      <c r="B206" s="13">
        <v>43578</v>
      </c>
      <c r="C206" s="13">
        <v>43565</v>
      </c>
      <c r="D206" s="13">
        <v>43565</v>
      </c>
      <c r="E206" t="s">
        <v>39</v>
      </c>
      <c r="F206" t="s">
        <v>46</v>
      </c>
      <c r="G206" t="s">
        <v>486</v>
      </c>
      <c r="H206" s="16">
        <v>3889</v>
      </c>
      <c r="I206">
        <f>IF(TbRegistroSaídas[[#This Row],[Data do Caixa Realizado]]="",0,MONTH(TbRegistroSaídas[[#This Row],[Data do Caixa Realizado]]))</f>
        <v>4</v>
      </c>
      <c r="J206">
        <f>IF(TbRegistroSaídas[[#This Row],[Data do Caixa Realizado]]="",0,YEAR(TbRegistroSaídas[[#This Row],[Data do Caixa Realizado]]))</f>
        <v>2019</v>
      </c>
    </row>
    <row r="207" spans="2:10" x14ac:dyDescent="0.25">
      <c r="B207" s="13">
        <v>43584</v>
      </c>
      <c r="C207" s="13">
        <v>43569</v>
      </c>
      <c r="D207" s="13">
        <v>43584</v>
      </c>
      <c r="E207" t="s">
        <v>39</v>
      </c>
      <c r="F207" t="s">
        <v>46</v>
      </c>
      <c r="G207" t="s">
        <v>487</v>
      </c>
      <c r="H207" s="16">
        <v>2303</v>
      </c>
      <c r="I207">
        <f>IF(TbRegistroSaídas[[#This Row],[Data do Caixa Realizado]]="",0,MONTH(TbRegistroSaídas[[#This Row],[Data do Caixa Realizado]]))</f>
        <v>4</v>
      </c>
      <c r="J207">
        <f>IF(TbRegistroSaídas[[#This Row],[Data do Caixa Realizado]]="",0,YEAR(TbRegistroSaídas[[#This Row],[Data do Caixa Realizado]]))</f>
        <v>2019</v>
      </c>
    </row>
    <row r="208" spans="2:10" x14ac:dyDescent="0.25">
      <c r="B208" s="13">
        <v>43572</v>
      </c>
      <c r="C208" s="13">
        <v>43572</v>
      </c>
      <c r="D208" s="13">
        <v>43572</v>
      </c>
      <c r="E208" t="s">
        <v>39</v>
      </c>
      <c r="F208" t="s">
        <v>34</v>
      </c>
      <c r="G208" t="s">
        <v>488</v>
      </c>
      <c r="H208" s="16">
        <v>802</v>
      </c>
      <c r="I208">
        <f>IF(TbRegistroSaídas[[#This Row],[Data do Caixa Realizado]]="",0,MONTH(TbRegistroSaídas[[#This Row],[Data do Caixa Realizado]]))</f>
        <v>4</v>
      </c>
      <c r="J208">
        <f>IF(TbRegistroSaídas[[#This Row],[Data do Caixa Realizado]]="",0,YEAR(TbRegistroSaídas[[#This Row],[Data do Caixa Realizado]]))</f>
        <v>2019</v>
      </c>
    </row>
    <row r="209" spans="2:10" x14ac:dyDescent="0.25">
      <c r="B209" s="13" t="s">
        <v>70</v>
      </c>
      <c r="C209" s="13">
        <v>43574</v>
      </c>
      <c r="D209" s="13">
        <v>43589</v>
      </c>
      <c r="E209" t="s">
        <v>39</v>
      </c>
      <c r="F209" t="s">
        <v>46</v>
      </c>
      <c r="G209" t="s">
        <v>489</v>
      </c>
      <c r="H209" s="16">
        <v>4513</v>
      </c>
      <c r="I209">
        <f>IF(TbRegistroSaídas[[#This Row],[Data do Caixa Realizado]]="",0,MONTH(TbRegistroSaídas[[#This Row],[Data do Caixa Realizado]]))</f>
        <v>0</v>
      </c>
      <c r="J209">
        <f>IF(TbRegistroSaídas[[#This Row],[Data do Caixa Realizado]]="",0,YEAR(TbRegistroSaídas[[#This Row],[Data do Caixa Realizado]]))</f>
        <v>0</v>
      </c>
    </row>
    <row r="210" spans="2:10" x14ac:dyDescent="0.25">
      <c r="B210" s="13">
        <v>43586</v>
      </c>
      <c r="C210" s="13">
        <v>43576</v>
      </c>
      <c r="D210" s="13">
        <v>43586</v>
      </c>
      <c r="E210" t="s">
        <v>39</v>
      </c>
      <c r="F210" t="s">
        <v>46</v>
      </c>
      <c r="G210" t="s">
        <v>490</v>
      </c>
      <c r="H210" s="16">
        <v>3908</v>
      </c>
      <c r="I210">
        <f>IF(TbRegistroSaídas[[#This Row],[Data do Caixa Realizado]]="",0,MONTH(TbRegistroSaídas[[#This Row],[Data do Caixa Realizado]]))</f>
        <v>5</v>
      </c>
      <c r="J210">
        <f>IF(TbRegistroSaídas[[#This Row],[Data do Caixa Realizado]]="",0,YEAR(TbRegistroSaídas[[#This Row],[Data do Caixa Realizado]]))</f>
        <v>2019</v>
      </c>
    </row>
    <row r="211" spans="2:10" x14ac:dyDescent="0.25">
      <c r="B211" s="13">
        <v>43661</v>
      </c>
      <c r="C211" s="13">
        <v>43580</v>
      </c>
      <c r="D211" s="13">
        <v>43635</v>
      </c>
      <c r="E211" t="s">
        <v>39</v>
      </c>
      <c r="F211" t="s">
        <v>46</v>
      </c>
      <c r="G211" t="s">
        <v>491</v>
      </c>
      <c r="H211" s="16">
        <v>156</v>
      </c>
      <c r="I211">
        <f>IF(TbRegistroSaídas[[#This Row],[Data do Caixa Realizado]]="",0,MONTH(TbRegistroSaídas[[#This Row],[Data do Caixa Realizado]]))</f>
        <v>7</v>
      </c>
      <c r="J211">
        <f>IF(TbRegistroSaídas[[#This Row],[Data do Caixa Realizado]]="",0,YEAR(TbRegistroSaídas[[#This Row],[Data do Caixa Realizado]]))</f>
        <v>2019</v>
      </c>
    </row>
    <row r="212" spans="2:10" x14ac:dyDescent="0.25">
      <c r="B212" s="13">
        <v>43622</v>
      </c>
      <c r="C212" s="13">
        <v>43582</v>
      </c>
      <c r="D212" s="13">
        <v>43622</v>
      </c>
      <c r="E212" t="s">
        <v>39</v>
      </c>
      <c r="F212" t="s">
        <v>34</v>
      </c>
      <c r="G212" t="s">
        <v>492</v>
      </c>
      <c r="H212" s="16">
        <v>457</v>
      </c>
      <c r="I212">
        <f>IF(TbRegistroSaídas[[#This Row],[Data do Caixa Realizado]]="",0,MONTH(TbRegistroSaídas[[#This Row],[Data do Caixa Realizado]]))</f>
        <v>6</v>
      </c>
      <c r="J212">
        <f>IF(TbRegistroSaídas[[#This Row],[Data do Caixa Realizado]]="",0,YEAR(TbRegistroSaídas[[#This Row],[Data do Caixa Realizado]]))</f>
        <v>2019</v>
      </c>
    </row>
    <row r="213" spans="2:10" x14ac:dyDescent="0.25">
      <c r="B213" s="13">
        <v>43624</v>
      </c>
      <c r="C213" s="13">
        <v>43588</v>
      </c>
      <c r="D213" s="13">
        <v>43624</v>
      </c>
      <c r="E213" t="s">
        <v>39</v>
      </c>
      <c r="F213" t="s">
        <v>46</v>
      </c>
      <c r="G213" t="s">
        <v>493</v>
      </c>
      <c r="H213" s="16">
        <v>3536</v>
      </c>
      <c r="I213">
        <f>IF(TbRegistroSaídas[[#This Row],[Data do Caixa Realizado]]="",0,MONTH(TbRegistroSaídas[[#This Row],[Data do Caixa Realizado]]))</f>
        <v>6</v>
      </c>
      <c r="J213">
        <f>IF(TbRegistroSaídas[[#This Row],[Data do Caixa Realizado]]="",0,YEAR(TbRegistroSaídas[[#This Row],[Data do Caixa Realizado]]))</f>
        <v>2019</v>
      </c>
    </row>
    <row r="214" spans="2:10" x14ac:dyDescent="0.25">
      <c r="B214" s="13">
        <v>43595</v>
      </c>
      <c r="C214" s="13">
        <v>43590</v>
      </c>
      <c r="D214" s="13">
        <v>43595</v>
      </c>
      <c r="E214" t="s">
        <v>39</v>
      </c>
      <c r="F214" t="s">
        <v>46</v>
      </c>
      <c r="G214" t="s">
        <v>494</v>
      </c>
      <c r="H214" s="16">
        <v>1809</v>
      </c>
      <c r="I214">
        <f>IF(TbRegistroSaídas[[#This Row],[Data do Caixa Realizado]]="",0,MONTH(TbRegistroSaídas[[#This Row],[Data do Caixa Realizado]]))</f>
        <v>5</v>
      </c>
      <c r="J214">
        <f>IF(TbRegistroSaídas[[#This Row],[Data do Caixa Realizado]]="",0,YEAR(TbRegistroSaídas[[#This Row],[Data do Caixa Realizado]]))</f>
        <v>2019</v>
      </c>
    </row>
    <row r="215" spans="2:10" x14ac:dyDescent="0.25">
      <c r="B215" s="13">
        <v>43613</v>
      </c>
      <c r="C215" s="13">
        <v>43591</v>
      </c>
      <c r="D215" s="13">
        <v>43613</v>
      </c>
      <c r="E215" t="s">
        <v>39</v>
      </c>
      <c r="F215" t="s">
        <v>34</v>
      </c>
      <c r="G215" t="s">
        <v>495</v>
      </c>
      <c r="H215" s="16">
        <v>4172</v>
      </c>
      <c r="I215">
        <f>IF(TbRegistroSaídas[[#This Row],[Data do Caixa Realizado]]="",0,MONTH(TbRegistroSaídas[[#This Row],[Data do Caixa Realizado]]))</f>
        <v>5</v>
      </c>
      <c r="J215">
        <f>IF(TbRegistroSaídas[[#This Row],[Data do Caixa Realizado]]="",0,YEAR(TbRegistroSaídas[[#This Row],[Data do Caixa Realizado]]))</f>
        <v>2019</v>
      </c>
    </row>
    <row r="216" spans="2:10" x14ac:dyDescent="0.25">
      <c r="B216" s="13">
        <v>43623</v>
      </c>
      <c r="C216" s="13">
        <v>43592</v>
      </c>
      <c r="D216" s="13">
        <v>43623</v>
      </c>
      <c r="E216" t="s">
        <v>39</v>
      </c>
      <c r="F216" t="s">
        <v>34</v>
      </c>
      <c r="G216" t="s">
        <v>496</v>
      </c>
      <c r="H216" s="16">
        <v>3827</v>
      </c>
      <c r="I216">
        <f>IF(TbRegistroSaídas[[#This Row],[Data do Caixa Realizado]]="",0,MONTH(TbRegistroSaídas[[#This Row],[Data do Caixa Realizado]]))</f>
        <v>6</v>
      </c>
      <c r="J216">
        <f>IF(TbRegistroSaídas[[#This Row],[Data do Caixa Realizado]]="",0,YEAR(TbRegistroSaídas[[#This Row],[Data do Caixa Realizado]]))</f>
        <v>2019</v>
      </c>
    </row>
    <row r="217" spans="2:10" x14ac:dyDescent="0.25">
      <c r="B217" s="13">
        <v>43645</v>
      </c>
      <c r="C217" s="13">
        <v>43594</v>
      </c>
      <c r="D217" s="13">
        <v>43645</v>
      </c>
      <c r="E217" t="s">
        <v>39</v>
      </c>
      <c r="F217" t="s">
        <v>34</v>
      </c>
      <c r="G217" t="s">
        <v>497</v>
      </c>
      <c r="H217" s="16">
        <v>1700</v>
      </c>
      <c r="I217">
        <f>IF(TbRegistroSaídas[[#This Row],[Data do Caixa Realizado]]="",0,MONTH(TbRegistroSaídas[[#This Row],[Data do Caixa Realizado]]))</f>
        <v>6</v>
      </c>
      <c r="J217">
        <f>IF(TbRegistroSaídas[[#This Row],[Data do Caixa Realizado]]="",0,YEAR(TbRegistroSaídas[[#This Row],[Data do Caixa Realizado]]))</f>
        <v>2019</v>
      </c>
    </row>
    <row r="218" spans="2:10" x14ac:dyDescent="0.25">
      <c r="B218" s="13">
        <v>43614</v>
      </c>
      <c r="C218" s="13">
        <v>43595</v>
      </c>
      <c r="D218" s="13">
        <v>43614</v>
      </c>
      <c r="E218" t="s">
        <v>39</v>
      </c>
      <c r="F218" t="s">
        <v>34</v>
      </c>
      <c r="G218" t="s">
        <v>498</v>
      </c>
      <c r="H218" s="16">
        <v>2090</v>
      </c>
      <c r="I218">
        <f>IF(TbRegistroSaídas[[#This Row],[Data do Caixa Realizado]]="",0,MONTH(TbRegistroSaídas[[#This Row],[Data do Caixa Realizado]]))</f>
        <v>5</v>
      </c>
      <c r="J218">
        <f>IF(TbRegistroSaídas[[#This Row],[Data do Caixa Realizado]]="",0,YEAR(TbRegistroSaídas[[#This Row],[Data do Caixa Realizado]]))</f>
        <v>2019</v>
      </c>
    </row>
    <row r="219" spans="2:10" x14ac:dyDescent="0.25">
      <c r="B219" s="13">
        <v>43598</v>
      </c>
      <c r="C219" s="13">
        <v>43598</v>
      </c>
      <c r="D219" s="13">
        <v>43598</v>
      </c>
      <c r="E219" t="s">
        <v>39</v>
      </c>
      <c r="F219" t="s">
        <v>37</v>
      </c>
      <c r="G219" t="s">
        <v>499</v>
      </c>
      <c r="H219" s="16">
        <v>3230</v>
      </c>
      <c r="I219">
        <f>IF(TbRegistroSaídas[[#This Row],[Data do Caixa Realizado]]="",0,MONTH(TbRegistroSaídas[[#This Row],[Data do Caixa Realizado]]))</f>
        <v>5</v>
      </c>
      <c r="J219">
        <f>IF(TbRegistroSaídas[[#This Row],[Data do Caixa Realizado]]="",0,YEAR(TbRegistroSaídas[[#This Row],[Data do Caixa Realizado]]))</f>
        <v>2019</v>
      </c>
    </row>
    <row r="220" spans="2:10" x14ac:dyDescent="0.25">
      <c r="B220" s="13">
        <v>43601</v>
      </c>
      <c r="C220" s="13">
        <v>43601</v>
      </c>
      <c r="D220" s="13">
        <v>43601</v>
      </c>
      <c r="E220" t="s">
        <v>39</v>
      </c>
      <c r="F220" t="s">
        <v>46</v>
      </c>
      <c r="G220" t="s">
        <v>500</v>
      </c>
      <c r="H220" s="16">
        <v>4030</v>
      </c>
      <c r="I220">
        <f>IF(TbRegistroSaídas[[#This Row],[Data do Caixa Realizado]]="",0,MONTH(TbRegistroSaídas[[#This Row],[Data do Caixa Realizado]]))</f>
        <v>5</v>
      </c>
      <c r="J220">
        <f>IF(TbRegistroSaídas[[#This Row],[Data do Caixa Realizado]]="",0,YEAR(TbRegistroSaídas[[#This Row],[Data do Caixa Realizado]]))</f>
        <v>2019</v>
      </c>
    </row>
    <row r="221" spans="2:10" x14ac:dyDescent="0.25">
      <c r="B221" s="13">
        <v>43604</v>
      </c>
      <c r="C221" s="13">
        <v>43604</v>
      </c>
      <c r="D221" s="13">
        <v>43604</v>
      </c>
      <c r="E221" t="s">
        <v>39</v>
      </c>
      <c r="F221" t="s">
        <v>37</v>
      </c>
      <c r="G221" t="s">
        <v>501</v>
      </c>
      <c r="H221" s="16">
        <v>1367</v>
      </c>
      <c r="I221">
        <f>IF(TbRegistroSaídas[[#This Row],[Data do Caixa Realizado]]="",0,MONTH(TbRegistroSaídas[[#This Row],[Data do Caixa Realizado]]))</f>
        <v>5</v>
      </c>
      <c r="J221">
        <f>IF(TbRegistroSaídas[[#This Row],[Data do Caixa Realizado]]="",0,YEAR(TbRegistroSaídas[[#This Row],[Data do Caixa Realizado]]))</f>
        <v>2019</v>
      </c>
    </row>
    <row r="222" spans="2:10" x14ac:dyDescent="0.25">
      <c r="B222" s="13">
        <v>43626</v>
      </c>
      <c r="C222" s="13">
        <v>43607</v>
      </c>
      <c r="D222" s="13">
        <v>43626</v>
      </c>
      <c r="E222" t="s">
        <v>39</v>
      </c>
      <c r="F222" t="s">
        <v>46</v>
      </c>
      <c r="G222" t="s">
        <v>502</v>
      </c>
      <c r="H222" s="16">
        <v>3945</v>
      </c>
      <c r="I222">
        <f>IF(TbRegistroSaídas[[#This Row],[Data do Caixa Realizado]]="",0,MONTH(TbRegistroSaídas[[#This Row],[Data do Caixa Realizado]]))</f>
        <v>6</v>
      </c>
      <c r="J222">
        <f>IF(TbRegistroSaídas[[#This Row],[Data do Caixa Realizado]]="",0,YEAR(TbRegistroSaídas[[#This Row],[Data do Caixa Realizado]]))</f>
        <v>2019</v>
      </c>
    </row>
    <row r="223" spans="2:10" x14ac:dyDescent="0.25">
      <c r="B223" s="13">
        <v>43610</v>
      </c>
      <c r="C223" s="13">
        <v>43610</v>
      </c>
      <c r="D223" s="13">
        <v>43610</v>
      </c>
      <c r="E223" t="s">
        <v>39</v>
      </c>
      <c r="F223" t="s">
        <v>33</v>
      </c>
      <c r="G223" t="s">
        <v>503</v>
      </c>
      <c r="H223" s="16">
        <v>4518</v>
      </c>
      <c r="I223">
        <f>IF(TbRegistroSaídas[[#This Row],[Data do Caixa Realizado]]="",0,MONTH(TbRegistroSaídas[[#This Row],[Data do Caixa Realizado]]))</f>
        <v>5</v>
      </c>
      <c r="J223">
        <f>IF(TbRegistroSaídas[[#This Row],[Data do Caixa Realizado]]="",0,YEAR(TbRegistroSaídas[[#This Row],[Data do Caixa Realizado]]))</f>
        <v>2019</v>
      </c>
    </row>
    <row r="224" spans="2:10" x14ac:dyDescent="0.25">
      <c r="B224" s="13" t="s">
        <v>70</v>
      </c>
      <c r="C224" s="13">
        <v>43614</v>
      </c>
      <c r="D224" s="13">
        <v>43645</v>
      </c>
      <c r="E224" t="s">
        <v>39</v>
      </c>
      <c r="F224" t="s">
        <v>46</v>
      </c>
      <c r="G224" t="s">
        <v>347</v>
      </c>
      <c r="H224" s="16">
        <v>3086</v>
      </c>
      <c r="I224">
        <f>IF(TbRegistroSaídas[[#This Row],[Data do Caixa Realizado]]="",0,MONTH(TbRegistroSaídas[[#This Row],[Data do Caixa Realizado]]))</f>
        <v>0</v>
      </c>
      <c r="J224">
        <f>IF(TbRegistroSaídas[[#This Row],[Data do Caixa Realizado]]="",0,YEAR(TbRegistroSaídas[[#This Row],[Data do Caixa Realizado]]))</f>
        <v>0</v>
      </c>
    </row>
    <row r="225" spans="2:10" x14ac:dyDescent="0.25">
      <c r="B225" s="13">
        <v>43628</v>
      </c>
      <c r="C225" s="13">
        <v>43619</v>
      </c>
      <c r="D225" s="13">
        <v>43628</v>
      </c>
      <c r="E225" t="s">
        <v>39</v>
      </c>
      <c r="F225" t="s">
        <v>34</v>
      </c>
      <c r="G225" t="s">
        <v>504</v>
      </c>
      <c r="H225" s="16">
        <v>297</v>
      </c>
      <c r="I225">
        <f>IF(TbRegistroSaídas[[#This Row],[Data do Caixa Realizado]]="",0,MONTH(TbRegistroSaídas[[#This Row],[Data do Caixa Realizado]]))</f>
        <v>6</v>
      </c>
      <c r="J225">
        <f>IF(TbRegistroSaídas[[#This Row],[Data do Caixa Realizado]]="",0,YEAR(TbRegistroSaídas[[#This Row],[Data do Caixa Realizado]]))</f>
        <v>2019</v>
      </c>
    </row>
    <row r="226" spans="2:10" x14ac:dyDescent="0.25">
      <c r="B226" s="13">
        <v>43639</v>
      </c>
      <c r="C226" s="13">
        <v>43623</v>
      </c>
      <c r="D226" s="13">
        <v>43639</v>
      </c>
      <c r="E226" t="s">
        <v>39</v>
      </c>
      <c r="F226" t="s">
        <v>37</v>
      </c>
      <c r="G226" t="s">
        <v>505</v>
      </c>
      <c r="H226" s="16">
        <v>3226</v>
      </c>
      <c r="I226">
        <f>IF(TbRegistroSaídas[[#This Row],[Data do Caixa Realizado]]="",0,MONTH(TbRegistroSaídas[[#This Row],[Data do Caixa Realizado]]))</f>
        <v>6</v>
      </c>
      <c r="J226">
        <f>IF(TbRegistroSaídas[[#This Row],[Data do Caixa Realizado]]="",0,YEAR(TbRegistroSaídas[[#This Row],[Data do Caixa Realizado]]))</f>
        <v>2019</v>
      </c>
    </row>
    <row r="227" spans="2:10" x14ac:dyDescent="0.25">
      <c r="B227" s="13">
        <v>43625</v>
      </c>
      <c r="C227" s="13">
        <v>43625</v>
      </c>
      <c r="D227" s="13">
        <v>43625</v>
      </c>
      <c r="E227" t="s">
        <v>39</v>
      </c>
      <c r="F227" t="s">
        <v>46</v>
      </c>
      <c r="G227" t="s">
        <v>506</v>
      </c>
      <c r="H227" s="16">
        <v>2338</v>
      </c>
      <c r="I227">
        <f>IF(TbRegistroSaídas[[#This Row],[Data do Caixa Realizado]]="",0,MONTH(TbRegistroSaídas[[#This Row],[Data do Caixa Realizado]]))</f>
        <v>6</v>
      </c>
      <c r="J227">
        <f>IF(TbRegistroSaídas[[#This Row],[Data do Caixa Realizado]]="",0,YEAR(TbRegistroSaídas[[#This Row],[Data do Caixa Realizado]]))</f>
        <v>2019</v>
      </c>
    </row>
    <row r="228" spans="2:10" x14ac:dyDescent="0.25">
      <c r="B228" s="13">
        <v>43664</v>
      </c>
      <c r="C228" s="13">
        <v>43632</v>
      </c>
      <c r="D228" s="13">
        <v>43664</v>
      </c>
      <c r="E228" t="s">
        <v>39</v>
      </c>
      <c r="F228" t="s">
        <v>37</v>
      </c>
      <c r="G228" t="s">
        <v>507</v>
      </c>
      <c r="H228" s="16">
        <v>3773</v>
      </c>
      <c r="I228">
        <f>IF(TbRegistroSaídas[[#This Row],[Data do Caixa Realizado]]="",0,MONTH(TbRegistroSaídas[[#This Row],[Data do Caixa Realizado]]))</f>
        <v>7</v>
      </c>
      <c r="J228">
        <f>IF(TbRegistroSaídas[[#This Row],[Data do Caixa Realizado]]="",0,YEAR(TbRegistroSaídas[[#This Row],[Data do Caixa Realizado]]))</f>
        <v>2019</v>
      </c>
    </row>
    <row r="229" spans="2:10" x14ac:dyDescent="0.25">
      <c r="B229" s="13" t="s">
        <v>70</v>
      </c>
      <c r="C229" s="13">
        <v>43635</v>
      </c>
      <c r="D229" s="13">
        <v>43686</v>
      </c>
      <c r="E229" t="s">
        <v>39</v>
      </c>
      <c r="F229" t="s">
        <v>37</v>
      </c>
      <c r="G229" t="s">
        <v>508</v>
      </c>
      <c r="H229" s="16">
        <v>2759</v>
      </c>
      <c r="I229">
        <f>IF(TbRegistroSaídas[[#This Row],[Data do Caixa Realizado]]="",0,MONTH(TbRegistroSaídas[[#This Row],[Data do Caixa Realizado]]))</f>
        <v>0</v>
      </c>
      <c r="J229">
        <f>IF(TbRegistroSaídas[[#This Row],[Data do Caixa Realizado]]="",0,YEAR(TbRegistroSaídas[[#This Row],[Data do Caixa Realizado]]))</f>
        <v>0</v>
      </c>
    </row>
    <row r="230" spans="2:10" x14ac:dyDescent="0.25">
      <c r="B230" s="13">
        <v>43637</v>
      </c>
      <c r="C230" s="13">
        <v>43637</v>
      </c>
      <c r="D230" s="13">
        <v>43637</v>
      </c>
      <c r="E230" t="s">
        <v>39</v>
      </c>
      <c r="F230" t="s">
        <v>37</v>
      </c>
      <c r="G230" t="s">
        <v>509</v>
      </c>
      <c r="H230" s="16">
        <v>1425</v>
      </c>
      <c r="I230">
        <f>IF(TbRegistroSaídas[[#This Row],[Data do Caixa Realizado]]="",0,MONTH(TbRegistroSaídas[[#This Row],[Data do Caixa Realizado]]))</f>
        <v>6</v>
      </c>
      <c r="J230">
        <f>IF(TbRegistroSaídas[[#This Row],[Data do Caixa Realizado]]="",0,YEAR(TbRegistroSaídas[[#This Row],[Data do Caixa Realizado]]))</f>
        <v>2019</v>
      </c>
    </row>
    <row r="231" spans="2:10" x14ac:dyDescent="0.25">
      <c r="B231" s="13">
        <v>43639</v>
      </c>
      <c r="C231" s="13">
        <v>43639</v>
      </c>
      <c r="D231" s="13">
        <v>43639</v>
      </c>
      <c r="E231" t="s">
        <v>39</v>
      </c>
      <c r="F231" t="s">
        <v>37</v>
      </c>
      <c r="G231" t="s">
        <v>510</v>
      </c>
      <c r="H231" s="16">
        <v>332</v>
      </c>
      <c r="I231">
        <f>IF(TbRegistroSaídas[[#This Row],[Data do Caixa Realizado]]="",0,MONTH(TbRegistroSaídas[[#This Row],[Data do Caixa Realizado]]))</f>
        <v>6</v>
      </c>
      <c r="J231">
        <f>IF(TbRegistroSaídas[[#This Row],[Data do Caixa Realizado]]="",0,YEAR(TbRegistroSaídas[[#This Row],[Data do Caixa Realizado]]))</f>
        <v>2019</v>
      </c>
    </row>
    <row r="232" spans="2:10" x14ac:dyDescent="0.25">
      <c r="B232" s="13">
        <v>43653</v>
      </c>
      <c r="C232" s="13">
        <v>43646</v>
      </c>
      <c r="D232" s="13">
        <v>43653</v>
      </c>
      <c r="E232" t="s">
        <v>39</v>
      </c>
      <c r="F232" t="s">
        <v>46</v>
      </c>
      <c r="G232" t="s">
        <v>511</v>
      </c>
      <c r="H232" s="16">
        <v>2819</v>
      </c>
      <c r="I232">
        <f>IF(TbRegistroSaídas[[#This Row],[Data do Caixa Realizado]]="",0,MONTH(TbRegistroSaídas[[#This Row],[Data do Caixa Realizado]]))</f>
        <v>7</v>
      </c>
      <c r="J232">
        <f>IF(TbRegistroSaídas[[#This Row],[Data do Caixa Realizado]]="",0,YEAR(TbRegistroSaídas[[#This Row],[Data do Caixa Realizado]]))</f>
        <v>2019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tabSelected="1" topLeftCell="B1" zoomScaleNormal="100" workbookViewId="0">
      <selection activeCell="E10" sqref="E10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27" t="s">
        <v>13</v>
      </c>
      <c r="K1" s="27"/>
      <c r="L1" s="27"/>
      <c r="M1" s="27"/>
      <c r="N1" s="27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30" t="s">
        <v>512</v>
      </c>
      <c r="C3" s="28">
        <v>2018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  <c r="M5">
        <v>11</v>
      </c>
      <c r="N5">
        <v>12</v>
      </c>
    </row>
    <row r="6" spans="2:14" ht="20.100000000000001" customHeight="1" x14ac:dyDescent="0.25">
      <c r="B6" s="29" t="s">
        <v>513</v>
      </c>
    </row>
    <row r="7" spans="2:14" ht="20.100000000000001" customHeight="1" x14ac:dyDescent="0.25">
      <c r="B7" s="33" t="s">
        <v>514</v>
      </c>
      <c r="C7" s="31" t="s">
        <v>517</v>
      </c>
      <c r="D7" s="31" t="s">
        <v>518</v>
      </c>
      <c r="E7" s="31" t="s">
        <v>519</v>
      </c>
      <c r="F7" s="31" t="s">
        <v>520</v>
      </c>
      <c r="G7" s="31" t="s">
        <v>521</v>
      </c>
      <c r="H7" s="31" t="s">
        <v>522</v>
      </c>
      <c r="I7" s="31" t="s">
        <v>523</v>
      </c>
      <c r="J7" s="31" t="s">
        <v>524</v>
      </c>
      <c r="K7" s="31" t="s">
        <v>525</v>
      </c>
      <c r="L7" s="31" t="s">
        <v>526</v>
      </c>
      <c r="M7" s="31" t="s">
        <v>527</v>
      </c>
      <c r="N7" s="32" t="s">
        <v>528</v>
      </c>
    </row>
    <row r="8" spans="2:14" ht="20.100000000000001" customHeight="1" x14ac:dyDescent="0.25">
      <c r="B8" s="43" t="s">
        <v>530</v>
      </c>
      <c r="C8" s="47">
        <f>SUMIFS(TbRegistroEntradas[Valor],TbRegistroEntradas[Ano Caixa],"&lt;"&amp;C3,TbRegistroEntradas[Ano Caixa],"&lt;&gt;0")-SUMIFS(TbRegistroSaídas[Valor],TbRegistroSaídas[Ano Caixa],"&lt;"&amp;C3,TbRegistroSaídas[Ano Caixa],"&lt;&gt;0")</f>
        <v>-1041</v>
      </c>
      <c r="D8" s="47">
        <f>C11</f>
        <v>966</v>
      </c>
      <c r="E8" s="47">
        <f t="shared" ref="E8:N8" si="0">D11</f>
        <v>5553</v>
      </c>
      <c r="F8" s="47">
        <f t="shared" si="0"/>
        <v>-7</v>
      </c>
      <c r="G8" s="47">
        <f t="shared" si="0"/>
        <v>1894</v>
      </c>
      <c r="H8" s="47">
        <f t="shared" si="0"/>
        <v>22181</v>
      </c>
      <c r="I8" s="47">
        <f t="shared" si="0"/>
        <v>30931</v>
      </c>
      <c r="J8" s="47">
        <f t="shared" si="0"/>
        <v>22856</v>
      </c>
      <c r="K8" s="47">
        <f t="shared" si="0"/>
        <v>38235</v>
      </c>
      <c r="L8" s="47">
        <f t="shared" si="0"/>
        <v>44941</v>
      </c>
      <c r="M8" s="47">
        <f t="shared" si="0"/>
        <v>39552</v>
      </c>
      <c r="N8" s="48">
        <f t="shared" si="0"/>
        <v>58456</v>
      </c>
    </row>
    <row r="9" spans="2:14" ht="20.100000000000001" customHeight="1" x14ac:dyDescent="0.25">
      <c r="B9" s="43" t="s">
        <v>529</v>
      </c>
      <c r="C9" s="47">
        <f>SUMIFS(TbRegistroEntradas[Valor],TbRegistroEntradas[Mês Caixa],C5,TbRegistroEntradas[Ano Caixa],$C$3)</f>
        <v>33220</v>
      </c>
      <c r="D9" s="47">
        <f>SUMIFS(TbRegistroEntradas[Valor],TbRegistroEntradas[Mês Caixa],D5,TbRegistroEntradas[Ano Caixa],$C$3)</f>
        <v>27618</v>
      </c>
      <c r="E9" s="47">
        <f>SUMIFS(TbRegistroEntradas[Valor],TbRegistroEntradas[Mês Caixa],E5,TbRegistroEntradas[Ano Caixa],$C$3)</f>
        <v>21553</v>
      </c>
      <c r="F9" s="47">
        <f>SUMIFS(TbRegistroEntradas[Valor],TbRegistroEntradas[Mês Caixa],F5,TbRegistroEntradas[Ano Caixa],$C$3)</f>
        <v>25910</v>
      </c>
      <c r="G9" s="47">
        <f>SUMIFS(TbRegistroEntradas[Valor],TbRegistroEntradas[Mês Caixa],G5,TbRegistroEntradas[Ano Caixa],$C$3)</f>
        <v>23254</v>
      </c>
      <c r="H9" s="47">
        <f>SUMIFS(TbRegistroEntradas[Valor],TbRegistroEntradas[Mês Caixa],H5,TbRegistroEntradas[Ano Caixa],$C$3)</f>
        <v>29499</v>
      </c>
      <c r="I9" s="47">
        <f>SUMIFS(TbRegistroEntradas[Valor],TbRegistroEntradas[Mês Caixa],I5,TbRegistroEntradas[Ano Caixa],$C$3)</f>
        <v>21232</v>
      </c>
      <c r="J9" s="47">
        <f>SUMIFS(TbRegistroEntradas[Valor],TbRegistroEntradas[Mês Caixa],J5,TbRegistroEntradas[Ano Caixa],$C$3)</f>
        <v>31767</v>
      </c>
      <c r="K9" s="47">
        <f>SUMIFS(TbRegistroEntradas[Valor],TbRegistroEntradas[Mês Caixa],K5,TbRegistroEntradas[Ano Caixa],$C$3)</f>
        <v>24029</v>
      </c>
      <c r="L9" s="47">
        <f>SUMIFS(TbRegistroEntradas[Valor],TbRegistroEntradas[Mês Caixa],L5,TbRegistroEntradas[Ano Caixa],$C$3)</f>
        <v>21580</v>
      </c>
      <c r="M9" s="47">
        <f>SUMIFS(TbRegistroEntradas[Valor],TbRegistroEntradas[Mês Caixa],M5,TbRegistroEntradas[Ano Caixa],$C$3)</f>
        <v>38978</v>
      </c>
      <c r="N9" s="48">
        <f>SUMIFS(TbRegistroEntradas[Valor],TbRegistroEntradas[Mês Caixa],N5,TbRegistroEntradas[Ano Caixa],$C$3)</f>
        <v>15074</v>
      </c>
    </row>
    <row r="10" spans="2:14" ht="20.100000000000001" customHeight="1" x14ac:dyDescent="0.25">
      <c r="B10" s="43" t="s">
        <v>515</v>
      </c>
      <c r="C10" s="47">
        <f>SUMIFS(TbRegistroSaídas[Valor],TbRegistroSaídas[Mês Caixa],C5,TbRegistroSaídas[Ano Caixa],$C$3)</f>
        <v>31213</v>
      </c>
      <c r="D10" s="47">
        <f>SUMIFS(TbRegistroSaídas[Valor],TbRegistroSaídas[Mês Caixa],D5,TbRegistroSaídas[Ano Caixa],$C$3)</f>
        <v>23031</v>
      </c>
      <c r="E10" s="47">
        <f>SUMIFS(TbRegistroSaídas[Valor],TbRegistroSaídas[Mês Caixa],E5,TbRegistroSaídas[Ano Caixa],$C$3)</f>
        <v>27113</v>
      </c>
      <c r="F10" s="47">
        <f>SUMIFS(TbRegistroSaídas[Valor],TbRegistroSaídas[Mês Caixa],F5,TbRegistroSaídas[Ano Caixa],$C$3)</f>
        <v>24009</v>
      </c>
      <c r="G10" s="47">
        <f>SUMIFS(TbRegistroSaídas[Valor],TbRegistroSaídas[Mês Caixa],G5,TbRegistroSaídas[Ano Caixa],$C$3)</f>
        <v>2967</v>
      </c>
      <c r="H10" s="47">
        <f>SUMIFS(TbRegistroSaídas[Valor],TbRegistroSaídas[Mês Caixa],H5,TbRegistroSaídas[Ano Caixa],$C$3)</f>
        <v>20749</v>
      </c>
      <c r="I10" s="47">
        <f>SUMIFS(TbRegistroSaídas[Valor],TbRegistroSaídas[Mês Caixa],I5,TbRegistroSaídas[Ano Caixa],$C$3)</f>
        <v>29307</v>
      </c>
      <c r="J10" s="47">
        <f>SUMIFS(TbRegistroSaídas[Valor],TbRegistroSaídas[Mês Caixa],J5,TbRegistroSaídas[Ano Caixa],$C$3)</f>
        <v>16388</v>
      </c>
      <c r="K10" s="47">
        <f>SUMIFS(TbRegistroSaídas[Valor],TbRegistroSaídas[Mês Caixa],K5,TbRegistroSaídas[Ano Caixa],$C$3)</f>
        <v>17323</v>
      </c>
      <c r="L10" s="47">
        <f>SUMIFS(TbRegistroSaídas[Valor],TbRegistroSaídas[Mês Caixa],L5,TbRegistroSaídas[Ano Caixa],$C$3)</f>
        <v>26969</v>
      </c>
      <c r="M10" s="47">
        <f>SUMIFS(TbRegistroSaídas[Valor],TbRegistroSaídas[Mês Caixa],M5,TbRegistroSaídas[Ano Caixa],$C$3)</f>
        <v>20074</v>
      </c>
      <c r="N10" s="48">
        <f>SUMIFS(TbRegistroSaídas[Valor],TbRegistroSaídas[Mês Caixa],N5,TbRegistroSaídas[Ano Caixa],$C$3)</f>
        <v>18422</v>
      </c>
    </row>
    <row r="11" spans="2:14" ht="20.100000000000001" customHeight="1" x14ac:dyDescent="0.25">
      <c r="B11" s="46" t="s">
        <v>516</v>
      </c>
      <c r="C11" s="49">
        <f>C8+C9-C10</f>
        <v>966</v>
      </c>
      <c r="D11" s="49">
        <f t="shared" ref="D11:N11" si="1">D8+D9-D10</f>
        <v>5553</v>
      </c>
      <c r="E11" s="49">
        <f t="shared" si="1"/>
        <v>-7</v>
      </c>
      <c r="F11" s="49">
        <f t="shared" si="1"/>
        <v>1894</v>
      </c>
      <c r="G11" s="49">
        <f t="shared" si="1"/>
        <v>22181</v>
      </c>
      <c r="H11" s="49">
        <f t="shared" si="1"/>
        <v>30931</v>
      </c>
      <c r="I11" s="49">
        <f t="shared" si="1"/>
        <v>22856</v>
      </c>
      <c r="J11" s="49">
        <f t="shared" si="1"/>
        <v>38235</v>
      </c>
      <c r="K11" s="49">
        <f t="shared" si="1"/>
        <v>44941</v>
      </c>
      <c r="L11" s="49">
        <f t="shared" si="1"/>
        <v>39552</v>
      </c>
      <c r="M11" s="49">
        <f t="shared" si="1"/>
        <v>58456</v>
      </c>
      <c r="N11" s="50">
        <f t="shared" si="1"/>
        <v>55108</v>
      </c>
    </row>
    <row r="12" spans="2:14" ht="20.100000000000001" customHeight="1" x14ac:dyDescent="0.25"/>
    <row r="13" spans="2:14" ht="20.100000000000001" customHeight="1" x14ac:dyDescent="0.25">
      <c r="B13" s="38" t="s">
        <v>531</v>
      </c>
    </row>
    <row r="14" spans="2:14" ht="20.100000000000001" customHeight="1" x14ac:dyDescent="0.25">
      <c r="B14" s="33" t="s">
        <v>514</v>
      </c>
      <c r="C14" s="31" t="s">
        <v>517</v>
      </c>
      <c r="D14" s="31" t="s">
        <v>518</v>
      </c>
      <c r="E14" s="31" t="s">
        <v>519</v>
      </c>
      <c r="F14" s="31" t="s">
        <v>520</v>
      </c>
      <c r="G14" s="31" t="s">
        <v>521</v>
      </c>
      <c r="H14" s="31" t="s">
        <v>522</v>
      </c>
      <c r="I14" s="31" t="s">
        <v>523</v>
      </c>
      <c r="J14" s="31" t="s">
        <v>524</v>
      </c>
      <c r="K14" s="31" t="s">
        <v>525</v>
      </c>
      <c r="L14" s="31" t="s">
        <v>526</v>
      </c>
      <c r="M14" s="31" t="s">
        <v>527</v>
      </c>
      <c r="N14" s="32" t="s">
        <v>528</v>
      </c>
    </row>
    <row r="15" spans="2:14" ht="20.100000000000001" customHeight="1" x14ac:dyDescent="0.25">
      <c r="B15" s="43" t="s">
        <v>530</v>
      </c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5"/>
    </row>
    <row r="16" spans="2:14" ht="20.100000000000001" customHeight="1" x14ac:dyDescent="0.25">
      <c r="B16" s="43" t="s">
        <v>529</v>
      </c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5"/>
    </row>
    <row r="17" spans="2:14" ht="20.100000000000001" customHeight="1" x14ac:dyDescent="0.25">
      <c r="B17" s="43" t="s">
        <v>515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5"/>
    </row>
    <row r="18" spans="2:14" ht="20.100000000000001" customHeight="1" x14ac:dyDescent="0.25">
      <c r="B18" s="46" t="s">
        <v>516</v>
      </c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7"/>
    </row>
    <row r="19" spans="2:14" ht="20.100000000000001" customHeight="1" x14ac:dyDescent="0.25"/>
    <row r="20" spans="2:14" ht="20.100000000000001" customHeight="1" x14ac:dyDescent="0.25">
      <c r="B20" s="38" t="s">
        <v>532</v>
      </c>
    </row>
    <row r="21" spans="2:14" ht="20.100000000000001" customHeight="1" x14ac:dyDescent="0.25">
      <c r="B21" s="33" t="s">
        <v>514</v>
      </c>
      <c r="C21" s="31" t="s">
        <v>517</v>
      </c>
      <c r="D21" s="31" t="s">
        <v>518</v>
      </c>
      <c r="E21" s="31" t="s">
        <v>519</v>
      </c>
      <c r="F21" s="31" t="s">
        <v>520</v>
      </c>
      <c r="G21" s="31" t="s">
        <v>521</v>
      </c>
      <c r="H21" s="31" t="s">
        <v>522</v>
      </c>
      <c r="I21" s="31" t="s">
        <v>523</v>
      </c>
      <c r="J21" s="31" t="s">
        <v>524</v>
      </c>
      <c r="K21" s="31" t="s">
        <v>525</v>
      </c>
      <c r="L21" s="31" t="s">
        <v>526</v>
      </c>
      <c r="M21" s="31" t="s">
        <v>527</v>
      </c>
      <c r="N21" s="32" t="s">
        <v>528</v>
      </c>
    </row>
    <row r="22" spans="2:14" ht="20.100000000000001" customHeight="1" x14ac:dyDescent="0.25">
      <c r="B22" s="43" t="s">
        <v>533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5"/>
    </row>
    <row r="23" spans="2:14" ht="20.100000000000001" customHeight="1" x14ac:dyDescent="0.25">
      <c r="B23" s="43" t="s">
        <v>534</v>
      </c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5"/>
    </row>
    <row r="24" spans="2:14" ht="20.100000000000001" customHeight="1" x14ac:dyDescent="0.25">
      <c r="B24" s="44" t="s">
        <v>535</v>
      </c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2"/>
    </row>
    <row r="25" spans="2:14" ht="20.100000000000001" customHeight="1" x14ac:dyDescent="0.25">
      <c r="B25" s="45" t="s">
        <v>536</v>
      </c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40"/>
    </row>
    <row r="26" spans="2:14" ht="20.100000000000001" customHeight="1" x14ac:dyDescent="0.25">
      <c r="B26" s="45" t="s">
        <v>537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40"/>
    </row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14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15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20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6</vt:i4>
      </vt:variant>
    </vt:vector>
  </HeadingPairs>
  <TitlesOfParts>
    <vt:vector size="22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DashBoardFinanceiroMensal</vt:lpstr>
      <vt:lpstr>PCEntradasN1_Nível_1</vt:lpstr>
      <vt:lpstr>PCEntradasN2_Nível_1</vt:lpstr>
      <vt:lpstr>PCEntradasN2_Nível_2</vt:lpstr>
      <vt:lpstr>PCSaídasN1_Nível_1</vt:lpstr>
      <vt:lpstr>PCSaídasN2_Nível_1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2020-04-23T00:39:39Z</dcterms:modified>
</cp:coreProperties>
</file>