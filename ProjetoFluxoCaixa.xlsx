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21" r:id="rId15"/>
    <sheet name="DashBoardFinanceiroAtualD" sheetId="20" state="hidden" r:id="rId16"/>
    <sheet name="DashBoardFinanceiroAnual" sheetId="18" r:id="rId17"/>
    <sheet name="DashBoardFinanceiroAnualD" sheetId="19" state="hidden" r:id="rId18"/>
  </sheets>
  <definedNames>
    <definedName name="PCEntradasN1_Nível_1" localSheetId="14">TbPCEntradasN1[Nível 1]</definedName>
    <definedName name="PCEntradasN1_Nível_1">TbPCEntradasN1[Nível 1]</definedName>
    <definedName name="PCEntradasN2_Nível_1" localSheetId="14">TbPCEntradasN2[Nível 1]</definedName>
    <definedName name="PCEntradasN2_Nível_1">TbPCEntradasN2[Nível 1]</definedName>
    <definedName name="PCEntradasN2_Nível_2" localSheetId="14">TbPCEntradasN2[Nível 2]</definedName>
    <definedName name="PCEntradasN2_Nível_2">TbPCEntradasN2[Nível 2]</definedName>
    <definedName name="PCSaídasN1_Nível_1" localSheetId="14">TbPCSaídasN1[Nível 1]</definedName>
    <definedName name="PCSaídasN1_Nível_1">TbPCSaídasN1[Nível 1]</definedName>
    <definedName name="PCSaídasN2_Nível_1" localSheetId="14">TbPCSaídasN2[Nível 1]</definedName>
    <definedName name="PCSaídasN2_Nível_1">TbPCSaídasN2[Nível 1]</definedName>
    <definedName name="PCSaídasN2_Nível_2" localSheetId="14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0" r:id="rId19"/>
    <pivotCache cacheId="1" r:id="rId20"/>
  </pivotCaches>
  <extLst>
    <ext xmlns:x14="http://schemas.microsoft.com/office/spreadsheetml/2009/9/main" uri="{BBE1A952-AA13-448e-AADC-164F8A28A991}">
      <x14:slicerCaches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31" i="20" l="1"/>
  <c r="J4" i="20"/>
  <c r="C5" i="20"/>
  <c r="C4" i="20" l="1"/>
  <c r="B32" i="20" l="1"/>
  <c r="G27" i="20"/>
  <c r="L3" i="20"/>
  <c r="H30" i="20"/>
  <c r="B27" i="20"/>
  <c r="B22" i="20"/>
  <c r="H31" i="1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J4" i="19" l="1"/>
  <c r="C4" i="19"/>
  <c r="B32" i="19" l="1"/>
  <c r="H30" i="19"/>
  <c r="G27" i="19"/>
  <c r="B22" i="19"/>
  <c r="B27" i="19"/>
  <c r="L3" i="19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G11" i="20" l="1"/>
  <c r="G6" i="20"/>
  <c r="G12" i="20"/>
  <c r="G7" i="20"/>
  <c r="G10" i="20"/>
  <c r="G16" i="20"/>
  <c r="G13" i="20"/>
  <c r="D13" i="20"/>
  <c r="B8" i="21" s="1"/>
  <c r="G8" i="20"/>
  <c r="G14" i="20"/>
  <c r="G9" i="20"/>
  <c r="G5" i="20"/>
  <c r="G15" i="20"/>
  <c r="I27" i="20"/>
  <c r="H27" i="20"/>
  <c r="H14" i="20"/>
  <c r="H13" i="20"/>
  <c r="H6" i="20"/>
  <c r="H15" i="20"/>
  <c r="H12" i="20"/>
  <c r="H5" i="20"/>
  <c r="H7" i="20"/>
  <c r="H8" i="20"/>
  <c r="D14" i="20"/>
  <c r="B11" i="21" s="1"/>
  <c r="H16" i="20"/>
  <c r="H10" i="20"/>
  <c r="H9" i="20"/>
  <c r="H11" i="20"/>
  <c r="D27" i="20"/>
  <c r="C27" i="20"/>
  <c r="D27" i="19"/>
  <c r="C27" i="19"/>
  <c r="I27" i="19"/>
  <c r="H27" i="19"/>
  <c r="G15" i="19"/>
  <c r="G10" i="19"/>
  <c r="G8" i="19"/>
  <c r="G5" i="19"/>
  <c r="G16" i="19"/>
  <c r="G13" i="19"/>
  <c r="G11" i="19"/>
  <c r="G9" i="19"/>
  <c r="G12" i="19"/>
  <c r="G6" i="19"/>
  <c r="G14" i="19"/>
  <c r="G7" i="19"/>
  <c r="D13" i="19"/>
  <c r="B8" i="18" s="1"/>
  <c r="H14" i="19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J27" i="20" l="1"/>
  <c r="G16" i="21" s="1"/>
  <c r="C10" i="20"/>
  <c r="H41" i="20"/>
  <c r="H36" i="20"/>
  <c r="H39" i="20"/>
  <c r="H42" i="20"/>
  <c r="H38" i="20"/>
  <c r="H43" i="20"/>
  <c r="H34" i="20"/>
  <c r="H37" i="20"/>
  <c r="H33" i="20"/>
  <c r="D32" i="20"/>
  <c r="H40" i="20"/>
  <c r="H32" i="20"/>
  <c r="H35" i="20"/>
  <c r="E27" i="19"/>
  <c r="F16" i="18" s="1"/>
  <c r="E27" i="20"/>
  <c r="F16" i="21" s="1"/>
  <c r="J8" i="20"/>
  <c r="K8" i="20" s="1"/>
  <c r="J13" i="20"/>
  <c r="K13" i="20" s="1"/>
  <c r="J12" i="20"/>
  <c r="K12" i="20" s="1"/>
  <c r="J11" i="20"/>
  <c r="K11" i="20" s="1"/>
  <c r="J16" i="20"/>
  <c r="K16" i="20" s="1"/>
  <c r="J7" i="20"/>
  <c r="K7" i="20" s="1"/>
  <c r="J6" i="20"/>
  <c r="K6" i="20" s="1"/>
  <c r="J14" i="20"/>
  <c r="K14" i="20" s="1"/>
  <c r="J15" i="20"/>
  <c r="K15" i="20" s="1"/>
  <c r="J9" i="20"/>
  <c r="K9" i="20" s="1"/>
  <c r="J10" i="20"/>
  <c r="K10" i="20" s="1"/>
  <c r="J5" i="20"/>
  <c r="C22" i="20"/>
  <c r="C9" i="20"/>
  <c r="C8" i="20"/>
  <c r="C32" i="20"/>
  <c r="D22" i="20"/>
  <c r="C32" i="19"/>
  <c r="H43" i="19"/>
  <c r="H39" i="19"/>
  <c r="H35" i="19"/>
  <c r="H33" i="19"/>
  <c r="H36" i="19"/>
  <c r="H42" i="19"/>
  <c r="H38" i="19"/>
  <c r="H34" i="19"/>
  <c r="H41" i="19"/>
  <c r="H37" i="19"/>
  <c r="H40" i="19"/>
  <c r="H32" i="19"/>
  <c r="D32" i="19"/>
  <c r="J27" i="19"/>
  <c r="C10" i="19"/>
  <c r="D22" i="19"/>
  <c r="C22" i="19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E32" i="20" l="1"/>
  <c r="I14" i="21" s="1"/>
  <c r="H44" i="20"/>
  <c r="K15" i="21" s="1"/>
  <c r="E22" i="20"/>
  <c r="B16" i="21" s="1"/>
  <c r="E32" i="19"/>
  <c r="I14" i="18" s="1"/>
  <c r="C11" i="20"/>
  <c r="B5" i="21" s="1"/>
  <c r="K5" i="20"/>
  <c r="K8" i="21"/>
  <c r="G16" i="18"/>
  <c r="H44" i="19"/>
  <c r="K15" i="18" s="1"/>
  <c r="E22" i="19"/>
  <c r="B16" i="18" s="1"/>
  <c r="C11" i="19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<sst xmlns="http://schemas.openxmlformats.org/spreadsheetml/2006/main" count="1840" uniqueCount="617">
  <si>
    <t>FLUXO DE CAIXA EMPRESARIAL</t>
  </si>
  <si>
    <t>PROJETO FLUXO DE CAIXA DOUGLAS BARROS</t>
  </si>
  <si>
    <t>Empresa</t>
  </si>
  <si>
    <t>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</si>
  <si>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</si>
  <si>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</si>
  <si>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</si>
  <si>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</si>
  <si>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</si>
  <si>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</si>
  <si>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</si>
  <si>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</si>
  <si>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</si>
  <si>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</si>
  <si>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</si>
  <si>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</si>
  <si>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</si>
  <si>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</si>
  <si>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</si>
  <si>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</si>
  <si>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</si>
  <si>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</si>
  <si>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</si>
  <si>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</si>
  <si>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</si>
  <si>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</si>
  <si>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</si>
  <si>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</si>
  <si>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</si>
  <si>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</si>
  <si>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</si>
  <si>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</si>
  <si>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</si>
  <si>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</si>
  <si>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</si>
  <si>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</si>
  <si>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</si>
  <si>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</si>
  <si>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</si>
  <si>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</si>
  <si>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</si>
  <si>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</si>
  <si>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</si>
  <si>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</si>
  <si>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</si>
  <si>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</si>
  <si>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</si>
  <si>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</si>
  <si>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</si>
  <si>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</si>
  <si>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</si>
  <si>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</si>
  <si>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</si>
  <si>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</si>
  <si>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</si>
  <si>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</si>
  <si>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</si>
  <si>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</si>
  <si>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</si>
  <si>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</si>
  <si>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</si>
  <si>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</si>
  <si>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</si>
  <si>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</si>
  <si>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</si>
  <si>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</si>
  <si>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</si>
  <si>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</si>
  <si>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</si>
  <si>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</si>
  <si>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</si>
  <si>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</si>
  <si>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</si>
  <si>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</si>
  <si>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</si>
  <si>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</si>
  <si>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</si>
  <si>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</si>
  <si>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</si>
  <si>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</si>
  <si>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</si>
  <si>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</si>
  <si>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</si>
  <si>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</si>
  <si>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</si>
  <si>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</si>
  <si>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</si>
  <si>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</si>
  <si>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</si>
  <si>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</si>
  <si>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</si>
  <si>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</si>
  <si>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</si>
  <si>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</si>
  <si>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</si>
  <si>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</si>
  <si>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</si>
  <si>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</si>
  <si>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</si>
  <si>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</si>
  <si>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</si>
  <si>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</si>
  <si>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</si>
  <si>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</si>
  <si>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</si>
  <si>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</si>
  <si>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</si>
  <si>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</si>
  <si>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</si>
  <si>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</si>
  <si>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</si>
  <si>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</si>
  <si>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</si>
  <si>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</si>
  <si>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</si>
  <si>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</si>
  <si>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</si>
  <si>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</si>
  <si>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</si>
  <si>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</si>
  <si>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</si>
  <si>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</si>
  <si>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</si>
  <si>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</si>
  <si>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</si>
  <si>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</si>
  <si>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</si>
  <si>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</si>
  <si>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</si>
  <si>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</si>
  <si>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</si>
  <si>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</si>
  <si>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</si>
  <si>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</si>
  <si>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</si>
  <si>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</si>
  <si>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</si>
  <si>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</si>
  <si>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</si>
  <si>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</si>
  <si>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</si>
  <si>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</si>
  <si>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</si>
  <si>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</si>
  <si>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</si>
  <si>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</si>
  <si>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</si>
  <si>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</si>
  <si>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</si>
  <si>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</si>
  <si>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</si>
  <si>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</si>
  <si>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</si>
  <si>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</si>
  <si>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</si>
  <si>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</si>
  <si>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</si>
  <si>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</si>
  <si>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</si>
  <si>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</si>
  <si>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</si>
  <si>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</si>
  <si>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</si>
  <si>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</si>
  <si>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</si>
  <si>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</si>
  <si>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</si>
  <si>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</si>
  <si>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</si>
  <si>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</si>
  <si>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</si>
  <si>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</si>
  <si>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</si>
  <si>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</si>
  <si>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</si>
  <si>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</si>
  <si>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</si>
  <si>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</si>
  <si>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</si>
  <si>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</si>
  <si>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</si>
  <si>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</si>
  <si>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</si>
  <si>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</si>
  <si>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</si>
  <si>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</si>
  <si>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</si>
  <si>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</si>
  <si>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</si>
  <si>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</si>
  <si>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</si>
  <si>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</si>
  <si>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</si>
  <si>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</si>
  <si>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</si>
  <si>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</si>
  <si>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</si>
  <si>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</si>
  <si>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</si>
  <si>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</si>
  <si>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</si>
  <si>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</si>
  <si>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</si>
  <si>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</si>
  <si>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</si>
  <si>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</si>
  <si>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</si>
  <si>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</si>
  <si>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</si>
  <si>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</si>
  <si>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</si>
  <si>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</si>
  <si>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</si>
  <si>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</si>
  <si>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</si>
  <si>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</si>
  <si>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</si>
  <si>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</si>
  <si>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</si>
  <si>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</si>
  <si>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</si>
  <si>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</si>
  <si>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</si>
  <si>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</si>
  <si>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</si>
  <si>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</si>
  <si>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</si>
  <si>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</si>
  <si>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</si>
  <si>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</si>
  <si>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</si>
  <si>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</si>
  <si>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</si>
  <si>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</si>
  <si>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</si>
  <si>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</si>
  <si>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</si>
  <si>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</si>
  <si>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</si>
  <si>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</si>
  <si>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</si>
  <si>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</si>
  <si>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</si>
  <si>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</si>
  <si>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</si>
  <si>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</si>
  <si>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</si>
  <si>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</si>
  <si>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</si>
  <si>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</si>
  <si>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</si>
  <si>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</si>
  <si>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</si>
  <si>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</si>
  <si>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</si>
  <si>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</si>
  <si>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</si>
  <si>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</si>
  <si>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</si>
  <si>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</si>
  <si>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</si>
  <si>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</si>
  <si>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</si>
  <si>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</si>
  <si>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</si>
  <si>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</si>
  <si>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</si>
  <si>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</si>
  <si>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</si>
  <si>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</si>
  <si>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</si>
  <si>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</si>
  <si>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</si>
  <si>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</si>
  <si>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</si>
  <si>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</si>
  <si>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</si>
  <si>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</si>
  <si>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</si>
  <si>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</si>
  <si>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</si>
  <si>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</si>
  <si>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</si>
  <si>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</si>
  <si>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</si>
  <si>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</si>
  <si>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</si>
  <si>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</si>
  <si>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</si>
  <si>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</si>
  <si>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</si>
  <si>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</si>
  <si>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</si>
  <si>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</si>
  <si>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</si>
  <si>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</si>
  <si>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</si>
  <si>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</si>
  <si>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</si>
  <si>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</si>
  <si>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</si>
  <si>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</si>
  <si>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</si>
  <si>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</si>
  <si>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</si>
  <si>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</si>
  <si>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</si>
  <si>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</si>
  <si>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</si>
  <si>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</si>
  <si>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</si>
  <si>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</si>
  <si>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</si>
  <si>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</si>
  <si>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</si>
  <si>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</si>
  <si>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</si>
  <si>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</si>
  <si>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</si>
  <si>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</si>
  <si>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</si>
  <si>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</si>
  <si>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</si>
  <si>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</si>
  <si>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</si>
  <si>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</si>
  <si>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</si>
  <si>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</si>
  <si>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</si>
  <si>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</si>
  <si>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</si>
  <si>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</si>
  <si>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</si>
  <si>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</si>
  <si>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</si>
  <si>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</si>
  <si>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</si>
  <si>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</si>
  <si>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</si>
  <si>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</si>
  <si>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</si>
  <si>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</si>
  <si>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</si>
  <si>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</si>
  <si>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</si>
  <si>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</si>
  <si>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</si>
  <si>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</si>
  <si>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</si>
  <si>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</si>
  <si>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</si>
  <si>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</si>
  <si>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</si>
  <si>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</si>
  <si>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</si>
  <si>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</si>
  <si>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</si>
  <si>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</si>
  <si>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</si>
  <si>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</si>
  <si>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</si>
  <si>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</si>
  <si>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</si>
  <si>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</si>
  <si>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</si>
  <si>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</si>
  <si>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</si>
  <si>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</si>
  <si>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</si>
  <si>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</si>
  <si>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</si>
  <si>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</si>
  <si>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</si>
  <si>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</si>
  <si>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</si>
  <si>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</si>
  <si>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</si>
  <si>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</si>
  <si>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</si>
  <si>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</si>
  <si>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</si>
  <si>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</si>
  <si>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</si>
  <si>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</si>
  <si>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</si>
  <si>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</si>
  <si>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</si>
  <si>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</si>
  <si>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</si>
  <si>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</si>
  <si>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</si>
  <si>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</si>
  <si>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</si>
  <si>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</si>
  <si>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</si>
  <si>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</si>
  <si>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</si>
  <si>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</si>
  <si>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</si>
  <si>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</si>
  <si>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</si>
  <si>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</si>
  <si>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</si>
  <si>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</si>
  <si>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</si>
  <si>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</si>
  <si>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</si>
  <si>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</si>
  <si>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</si>
  <si>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</si>
  <si>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</si>
  <si>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</si>
  <si>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</si>
  <si>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</si>
  <si>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</si>
  <si>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</si>
  <si>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</si>
  <si>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</si>
  <si>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</si>
  <si>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</si>
  <si>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</si>
  <si>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</si>
  <si>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</si>
  <si>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</si>
  <si>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</si>
  <si>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</si>
  <si>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</si>
  <si>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</si>
  <si>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</si>
  <si>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</si>
  <si>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</si>
  <si>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</si>
  <si>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</si>
  <si>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</si>
  <si>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</si>
  <si>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</si>
  <si>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</si>
  <si>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</si>
  <si>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</si>
  <si>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</si>
  <si>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</si>
  <si>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</si>
  <si>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</si>
  <si>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</si>
  <si>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</si>
  <si>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</si>
  <si>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</si>
  <si>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</si>
  <si>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</si>
  <si>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</si>
  <si>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</si>
  <si>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</si>
  <si>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</si>
  <si>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</si>
  <si>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</si>
  <si>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</si>
  <si>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</si>
  <si>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</si>
  <si>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</si>
  <si>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</si>
  <si>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</si>
  <si>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</si>
  <si>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</si>
  <si>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</si>
  <si>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</si>
  <si>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</si>
  <si>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</si>
  <si>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</si>
  <si>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</si>
  <si>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</si>
  <si>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</si>
  <si>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</si>
  <si>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</si>
  <si>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</si>
  <si>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</si>
  <si>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</si>
  <si>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</si>
  <si>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</si>
  <si>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</si>
  <si>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</si>
  <si>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</si>
  <si>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</si>
  <si>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</si>
  <si>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</si>
  <si>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</si>
  <si>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</si>
  <si>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</si>
  <si>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</si>
  <si>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</si>
  <si>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</si>
  <si>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</si>
  <si>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</si>
  <si>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</si>
  <si>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</si>
  <si>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</si>
  <si>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</si>
  <si>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</si>
  <si>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</si>
  <si>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</si>
  <si>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</si>
  <si>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</si>
  <si>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</si>
  <si>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</si>
  <si>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</si>
  <si>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</si>
  <si>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</si>
  <si>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</si>
  <si>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</si>
  <si>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</si>
  <si>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</si>
  <si>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</si>
  <si>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</si>
  <si>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</si>
  <si>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</si>
  <si>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</si>
  <si>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</si>
  <si>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</si>
  <si>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</si>
  <si>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</si>
  <si>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</si>
  <si>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</si>
  <si>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</si>
  <si>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</si>
  <si>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</si>
  <si>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</si>
  <si>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</si>
  <si>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</si>
  <si>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</si>
  <si>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</si>
  <si>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</si>
  <si>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</si>
  <si>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</si>
  <si>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</si>
  <si>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</si>
  <si>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</si>
  <si>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</si>
  <si>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</si>
  <si>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</si>
  <si>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</si>
  <si>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</si>
  <si>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</si>
  <si>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</si>
  <si>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</si>
  <si>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</si>
  <si>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</si>
  <si>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</si>
  <si>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</si>
  <si>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</si>
  <si>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</si>
  <si>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</si>
  <si>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</si>
  <si>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</si>
  <si>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</si>
  <si>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</si>
  <si>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</si>
  <si>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</si>
  <si>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</si>
  <si>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</si>
  <si>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</si>
  <si>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</si>
  <si>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</si>
  <si>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</si>
  <si>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</si>
  <si>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</si>
  <si>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</si>
  <si>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</si>
  <si>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</si>
  <si>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</si>
  <si>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</si>
  <si>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</si>
  <si>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</si>
  <si>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</si>
  <si>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</si>
  <si>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</si>
  <si>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</si>
  <si>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</si>
  <si>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</si>
  <si>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</si>
  <si>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</si>
  <si>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</si>
  <si>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</si>
  <si>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</si>
  <si>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</si>
  <si>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</si>
  <si>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</si>
  <si>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</si>
  <si>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</si>
  <si>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</si>
  <si>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</si>
  <si>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</si>
  <si>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</si>
  <si>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</si>
  <si>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</si>
  <si>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</si>
  <si>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</si>
  <si>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</si>
  <si>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</si>
  <si>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</si>
  <si>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</si>
  <si>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</si>
  <si>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</si>
  <si>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</si>
  <si>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</si>
  <si>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</si>
  <si>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</si>
  <si>
    <t>Dias de Atraso</t>
  </si>
  <si>
    <t>J</t>
  </si>
  <si>
    <t>F</t>
  </si>
  <si>
    <t>M</t>
  </si>
  <si>
    <t>A</t>
  </si>
  <si>
    <t>S</t>
  </si>
  <si>
    <t>O</t>
  </si>
  <si>
    <t>N</t>
  </si>
  <si>
    <t>D</t>
  </si>
  <si>
    <t>Data atual</t>
  </si>
  <si>
    <t>Inserir aqui o nome da empresa</t>
  </si>
  <si>
    <t>Inserir aqui p nome do resposável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</si>
</sst>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  <numFmt numFmtId="167" formatCode="0.00000"/>
  </numFmts>
  <fonts count="34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61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0" fillId="0" borderId="0" xfId="0" applyNumberFormat="1"/>
    <xf numFmtId="44" fontId="0" fillId="0" borderId="0" xfId="0" applyNumberFormat="1"/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6" fillId="0" borderId="23" xfId="0" applyNumberFormat="1" applyFont="1" applyBorder="1" applyAlignment="1" applyProtection="1">
      <alignment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  <xf numFmtId="167" fontId="28" fillId="0" borderId="0" xfId="0" applyNumberFormat="1" applyFont="1" applyFill="1" applyBorder="1" applyAlignment="1">
      <alignment vertical="center"/>
    </xf>
    <xf numFmtId="1" fontId="28" fillId="7" borderId="41" xfId="0" applyNumberFormat="1" applyFont="1" applyFill="1" applyBorder="1" applyAlignment="1">
      <alignment horizontal="right" vertical="center"/>
    </xf>
    <xf numFmtId="0" fontId="28" fillId="9" borderId="38" xfId="0" applyNumberFormat="1" applyFont="1" applyFill="1" applyBorder="1" applyAlignment="1">
      <alignment horizontal="right" vertical="center" wrapText="1"/>
    </xf>
    <xf numFmtId="166" fontId="12" fillId="0" borderId="21" xfId="2" applyNumberFormat="1" applyFont="1" applyBorder="1" applyAlignment="1" applyProtection="1">
      <alignment horizontal="center" vertical="center"/>
    </xf>
    <xf numFmtId="166" fontId="15" fillId="0" borderId="21" xfId="2" applyNumberFormat="1" applyFont="1" applyBorder="1" applyAlignment="1" applyProtection="1">
      <alignment horizontal="center" vertical="center"/>
    </xf>
    <xf numFmtId="166" fontId="17" fillId="0" borderId="21" xfId="2" applyNumberFormat="1" applyFont="1" applyBorder="1" applyAlignment="1" applyProtection="1">
      <alignment horizontal="center" vertical="center"/>
    </xf>
    <xf numFmtId="0" fontId="33" fillId="4" borderId="0" xfId="0" applyFont="1" applyFill="1" applyAlignment="1">
      <alignment horizontal="center" vertical="center"/>
    </xf>
    <xf numFmtId="14" fontId="33" fillId="4" borderId="0" xfId="0" applyNumberFormat="1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0" fontId="2" fillId="2" borderId="0" xfId="0" applyFont="1" applyFill="1" applyAlignment="1" applyProtection="1">
      <alignment vertical="center"/>
    </xf>
    <xf numFmtId="0" fontId="0" fillId="2" borderId="0" xfId="0" applyFill="1" applyProtection="1"/>
    <xf numFmtId="0" fontId="1" fillId="2" borderId="0" xfId="0" applyFont="1" applyFill="1" applyAlignment="1" applyProtection="1">
      <alignment horizontal="right" vertical="center"/>
    </xf>
    <xf numFmtId="0" fontId="0" fillId="4" borderId="0" xfId="0" applyFill="1" applyProtection="1"/>
    <xf numFmtId="0" fontId="3" fillId="5" borderId="0" xfId="0" applyFont="1" applyFill="1" applyAlignment="1" applyProtection="1">
      <alignment horizontal="center" vertical="center"/>
    </xf>
    <xf numFmtId="0" fontId="0" fillId="5" borderId="0" xfId="0" applyFill="1" applyProtection="1"/>
    <xf numFmtId="14" fontId="2" fillId="2" borderId="0" xfId="0" applyNumberFormat="1" applyFont="1" applyFill="1" applyAlignment="1" applyProtection="1">
      <alignment vertical="center"/>
    </xf>
    <xf numFmtId="14" fontId="0" fillId="2" borderId="0" xfId="0" applyNumberFormat="1" applyFill="1" applyProtection="1"/>
    <xf numFmtId="44" fontId="1" fillId="2" borderId="0" xfId="0" applyNumberFormat="1" applyFont="1" applyFill="1" applyAlignment="1" applyProtection="1">
      <alignment horizontal="right" vertical="center"/>
    </xf>
    <xf numFmtId="14" fontId="0" fillId="4" borderId="0" xfId="0" applyNumberFormat="1" applyFill="1" applyProtection="1"/>
    <xf numFmtId="44" fontId="0" fillId="4" borderId="0" xfId="0" applyNumberFormat="1" applyFill="1" applyProtection="1"/>
    <xf numFmtId="14" fontId="0" fillId="5" borderId="0" xfId="0" applyNumberFormat="1" applyFill="1" applyAlignment="1" applyProtection="1">
      <alignment vertical="top" wrapText="1"/>
    </xf>
    <xf numFmtId="0" fontId="0" fillId="5" borderId="0" xfId="0" applyFill="1" applyAlignment="1" applyProtection="1">
      <alignment vertical="top" wrapText="1"/>
    </xf>
    <xf numFmtId="44" fontId="0" fillId="5" borderId="0" xfId="0" applyNumberFormat="1" applyFill="1" applyAlignment="1" applyProtection="1">
      <alignment vertical="top" wrapText="1"/>
    </xf>
    <xf numFmtId="0" fontId="0" fillId="0" borderId="0" xfId="0" applyAlignment="1" applyProtection="1">
      <alignment vertical="top"/>
    </xf>
    <xf numFmtId="14" fontId="0" fillId="0" borderId="0" xfId="0" applyNumberFormat="1" applyProtection="1"/>
    <xf numFmtId="44" fontId="0" fillId="0" borderId="0" xfId="0" applyNumberFormat="1" applyProtection="1"/>
    <xf numFmtId="0" fontId="0" fillId="0" borderId="0" xfId="0" applyNumberFormat="1" applyProtection="1"/>
    <xf numFmtId="0" fontId="5" fillId="6" borderId="5" xfId="0" applyFont="1" applyFill="1" applyBorder="1" applyAlignment="1" applyProtection="1">
      <alignment horizontal="center" vertical="center"/>
      <protection locked="0"/>
    </xf>
    <xf numFmtId="14" fontId="27" fillId="4" borderId="0" xfId="0" applyNumberFormat="1" applyFont="1" applyFill="1" applyAlignment="1" applyProtection="1">
      <alignment vertical="center"/>
      <protection locked="0"/>
    </xf>
    <xf numFmtId="1" fontId="27" fillId="4" borderId="0" xfId="0" applyNumberFormat="1" applyFont="1" applyFill="1" applyAlignment="1" applyProtection="1">
      <alignment vertical="center"/>
      <protection locked="0"/>
    </xf>
    <xf numFmtId="0" fontId="0" fillId="3" borderId="0" xfId="0" applyFill="1" applyProtection="1">
      <protection locked="0"/>
    </xf>
  </cellXfs>
  <cellStyles count="3">
    <cellStyle name="Moeda" xfId="2" builtinId="4"/>
    <cellStyle name="Normal" xfId="0" builtinId="0"/>
    <cellStyle name="Vírgula" xfId="1" builtinId="3"/>
  </cellStyles>
  <dxfs count="46"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34" formatCode="_-&quot;R$&quot;\ * #,##0.00_-;\-&quot;R$&quot;\ * #,##0.00_-;_-&quot;R$&quot;\ * &quot;-&quot;??_-;_-@_-"/>
      <protection locked="1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1" hidden="0"/>
    </dxf>
    <dxf>
      <numFmt numFmtId="19" formatCode="dd/mm/yyyy"/>
      <protection locked="1" hidden="0"/>
    </dxf>
    <dxf>
      <numFmt numFmtId="19" formatCode="dd/mm/yyyy"/>
      <protection locked="1" hidden="0"/>
    </dxf>
    <dxf>
      <protection locked="1" hidden="0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  <protection locked="1" hidden="0"/>
    </dxf>
    <dxf>
      <protection locked="1" hidden="0"/>
    </dxf>
    <dxf>
      <fill>
        <patternFill patternType="solid">
          <fgColor indexed="64"/>
          <bgColor theme="0" tint="-0.249977111117893"/>
        </patternFill>
      </fill>
      <protection locked="1" hidden="0"/>
    </dxf>
    <dxf>
      <protection locked="1" hidden="0"/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6.xml"/><Relationship Id="rId3" Type="http://schemas.openxmlformats.org/officeDocument/2006/relationships/worksheet" Target="worksheets/sheet3.xml"/><Relationship Id="rId21" Type="http://schemas.microsoft.com/office/2007/relationships/slicerCache" Target="slicerCaches/slicerCach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microsoft.com/office/2007/relationships/slicerCache" Target="slicerCaches/slicerCache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3.xml"/><Relationship Id="rId28" Type="http://schemas.microsoft.com/office/2007/relationships/slicerCache" Target="slicerCaches/slicerCache8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2.xml"/><Relationship Id="rId27" Type="http://schemas.microsoft.com/office/2007/relationships/slicerCache" Target="slicerCaches/slicerCache7.xml"/><Relationship Id="rId30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DashBoardFinanceiroAtualD!$L$5:$L$16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DashBoardFinanceiroAtualD!$K$5:$K$16</c:f>
              <c:numCache>
                <c:formatCode>_(* #,##0.00_);_(* \(#,##0.00\);_(* "-"??_);_(@_)</c:formatCode>
                <c:ptCount val="12"/>
                <c:pt idx="0">
                  <c:v>14580</c:v>
                </c:pt>
                <c:pt idx="1">
                  <c:v>10052</c:v>
                </c:pt>
                <c:pt idx="2">
                  <c:v>#N/A</c:v>
                </c:pt>
                <c:pt idx="3">
                  <c:v>10096</c:v>
                </c:pt>
                <c:pt idx="4">
                  <c:v>3252</c:v>
                </c:pt>
                <c:pt idx="5">
                  <c:v>2114</c:v>
                </c:pt>
                <c:pt idx="6">
                  <c:v>#N/A</c:v>
                </c:pt>
                <c:pt idx="7">
                  <c:v>5559</c:v>
                </c:pt>
                <c:pt idx="8">
                  <c:v>7605</c:v>
                </c:pt>
                <c:pt idx="9">
                  <c:v>2713</c:v>
                </c:pt>
                <c:pt idx="10">
                  <c:v>5006</c:v>
                </c:pt>
                <c:pt idx="11">
                  <c:v>4404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383040"/>
        <c:axId val="149384576"/>
      </c:lineChart>
      <c:catAx>
        <c:axId val="149383040"/>
        <c:scaling>
          <c:orientation val="minMax"/>
        </c:scaling>
        <c:delete val="0"/>
        <c:axPos val="b"/>
        <c:majorTickMark val="out"/>
        <c:minorTickMark val="none"/>
        <c:tickLblPos val="nextTo"/>
        <c:crossAx val="149384576"/>
        <c:crosses val="autoZero"/>
        <c:auto val="1"/>
        <c:lblAlgn val="ctr"/>
        <c:lblOffset val="100"/>
        <c:noMultiLvlLbl val="0"/>
      </c:catAx>
      <c:valAx>
        <c:axId val="149384576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9383040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DashBoardFinanceiroAtualD!$C$21:$D$21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DashBoardFinanceiroAtualD!$C$22:$D$22</c:f>
              <c:numCache>
                <c:formatCode>_(* #,##0.00_);_(* \(#,##0.00\);_(* "-"??_);_(@_)</c:formatCode>
                <c:ptCount val="2"/>
                <c:pt idx="0">
                  <c:v>97625</c:v>
                </c:pt>
                <c:pt idx="1">
                  <c:v>205419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DashBoardFinanceiroAtualD!$C$31:$D$31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DashBoardFinanceiroAtualD!$C$32:$D$32</c:f>
              <c:numCache>
                <c:formatCode>"R$"\ #,##0</c:formatCode>
                <c:ptCount val="2"/>
                <c:pt idx="0">
                  <c:v>303044</c:v>
                </c:pt>
                <c:pt idx="1">
                  <c:v>239143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50108032"/>
        <c:axId val="150109568"/>
      </c:barChart>
      <c:catAx>
        <c:axId val="150108032"/>
        <c:scaling>
          <c:orientation val="minMax"/>
        </c:scaling>
        <c:delete val="0"/>
        <c:axPos val="b"/>
        <c:majorTickMark val="out"/>
        <c:minorTickMark val="none"/>
        <c:tickLblPos val="nextTo"/>
        <c:crossAx val="150109568"/>
        <c:crosses val="autoZero"/>
        <c:auto val="1"/>
        <c:lblAlgn val="ctr"/>
        <c:lblOffset val="100"/>
        <c:noMultiLvlLbl val="0"/>
      </c:catAx>
      <c:valAx>
        <c:axId val="150109568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15010803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DashBoardFinanceiroAtualD!$I$32:$I$43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DashBoardFinanceiroAtualD!$H$32:$H$43</c:f>
              <c:numCache>
                <c:formatCode>_(* #,##0.00_);_(* \(#,##0.00\);_(* "-"??_);_(@_)</c:formatCode>
                <c:ptCount val="12"/>
                <c:pt idx="0">
                  <c:v>9875</c:v>
                </c:pt>
                <c:pt idx="1">
                  <c:v>5685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3932</c:v>
                </c:pt>
                <c:pt idx="6">
                  <c:v>6553</c:v>
                </c:pt>
                <c:pt idx="7">
                  <c:v>2947</c:v>
                </c:pt>
                <c:pt idx="8">
                  <c:v>4695</c:v>
                </c:pt>
                <c:pt idx="9">
                  <c:v>5433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150125184"/>
        <c:axId val="150139264"/>
      </c:barChart>
      <c:catAx>
        <c:axId val="15012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50139264"/>
        <c:crosses val="autoZero"/>
        <c:auto val="1"/>
        <c:lblAlgn val="ctr"/>
        <c:lblOffset val="100"/>
        <c:noMultiLvlLbl val="0"/>
      </c:catAx>
      <c:valAx>
        <c:axId val="150139264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5012518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2835</c:v>
                </c:pt>
                <c:pt idx="1">
                  <c:v>#N/A</c:v>
                </c:pt>
                <c:pt idx="2">
                  <c:v>3140</c:v>
                </c:pt>
                <c:pt idx="3">
                  <c:v>3524</c:v>
                </c:pt>
                <c:pt idx="4">
                  <c:v>1486</c:v>
                </c:pt>
                <c:pt idx="5">
                  <c:v>6729</c:v>
                </c:pt>
                <c:pt idx="6">
                  <c:v>2713</c:v>
                </c:pt>
                <c:pt idx="7">
                  <c:v>4961</c:v>
                </c:pt>
                <c:pt idx="8">
                  <c:v>3080</c:v>
                </c:pt>
                <c:pt idx="9">
                  <c:v>4922</c:v>
                </c:pt>
                <c:pt idx="10">
                  <c:v>#N/A</c:v>
                </c:pt>
                <c:pt idx="11">
                  <c:v>919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169664"/>
        <c:axId val="149171200"/>
      </c:lineChart>
      <c:catAx>
        <c:axId val="149169664"/>
        <c:scaling>
          <c:orientation val="minMax"/>
        </c:scaling>
        <c:delete val="0"/>
        <c:axPos val="b"/>
        <c:majorTickMark val="out"/>
        <c:minorTickMark val="none"/>
        <c:tickLblPos val="nextTo"/>
        <c:crossAx val="149171200"/>
        <c:crosses val="autoZero"/>
        <c:auto val="1"/>
        <c:lblAlgn val="ctr"/>
        <c:lblOffset val="100"/>
        <c:noMultiLvlLbl val="0"/>
      </c:catAx>
      <c:valAx>
        <c:axId val="14917120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9169664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102054</c:v>
                </c:pt>
                <c:pt idx="1">
                  <c:v>211660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DashBoardFinanceiroAnualD!$C$32:$D$32</c:f>
              <c:numCache>
                <c:formatCode>"R$"\ #,##0</c:formatCode>
                <c:ptCount val="2"/>
                <c:pt idx="0">
                  <c:v>313714</c:v>
                </c:pt>
                <c:pt idx="1">
                  <c:v>257565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50935424"/>
        <c:axId val="150936960"/>
      </c:barChart>
      <c:catAx>
        <c:axId val="150935424"/>
        <c:scaling>
          <c:orientation val="minMax"/>
        </c:scaling>
        <c:delete val="0"/>
        <c:axPos val="b"/>
        <c:majorTickMark val="out"/>
        <c:minorTickMark val="none"/>
        <c:tickLblPos val="nextTo"/>
        <c:crossAx val="150936960"/>
        <c:crosses val="autoZero"/>
        <c:auto val="1"/>
        <c:lblAlgn val="ctr"/>
        <c:lblOffset val="100"/>
        <c:noMultiLvlLbl val="0"/>
      </c:catAx>
      <c:valAx>
        <c:axId val="150936960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15093542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DashBoardFinanceiroAnualD!$I$32:$I$43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DashBoardFinanceiroAnualD!$H$32:$H$43</c:f>
              <c:numCache>
                <c:formatCode>_(* #,##0.00_);_(* \(#,##0.00\);_(* "-"??_);_(@_)</c:formatCode>
                <c:ptCount val="12"/>
                <c:pt idx="0">
                  <c:v>9875</c:v>
                </c:pt>
                <c:pt idx="1">
                  <c:v>5685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3932</c:v>
                </c:pt>
                <c:pt idx="6">
                  <c:v>6553</c:v>
                </c:pt>
                <c:pt idx="7">
                  <c:v>2947</c:v>
                </c:pt>
                <c:pt idx="8">
                  <c:v>4695</c:v>
                </c:pt>
                <c:pt idx="9">
                  <c:v>5433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150985344"/>
        <c:axId val="150991232"/>
      </c:barChart>
      <c:catAx>
        <c:axId val="15098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50991232"/>
        <c:crosses val="autoZero"/>
        <c:auto val="1"/>
        <c:lblAlgn val="ctr"/>
        <c:lblOffset val="100"/>
        <c:noMultiLvlLbl val="0"/>
      </c:catAx>
      <c:valAx>
        <c:axId val="150991232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509853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hyperlink" Target="#In&#237;cio!A1"/><Relationship Id="rId1" Type="http://schemas.openxmlformats.org/officeDocument/2006/relationships/chart" Target="../charts/chart5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485774</xdr:colOff>
      <xdr:row>1</xdr:row>
      <xdr:rowOff>57151</xdr:rowOff>
    </xdr:from>
    <xdr:to>
      <xdr:col>7</xdr:col>
      <xdr:colOff>152399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80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1323975</xdr:colOff>
      <xdr:row>1</xdr:row>
      <xdr:rowOff>66675</xdr:rowOff>
    </xdr:from>
    <xdr:to>
      <xdr:col>3</xdr:col>
      <xdr:colOff>323850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7325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123824</xdr:colOff>
      <xdr:row>1</xdr:row>
      <xdr:rowOff>47625</xdr:rowOff>
    </xdr:from>
    <xdr:to>
      <xdr:col>7</xdr:col>
      <xdr:colOff>9525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671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1343024</xdr:colOff>
      <xdr:row>1</xdr:row>
      <xdr:rowOff>47625</xdr:rowOff>
    </xdr:from>
    <xdr:to>
      <xdr:col>3</xdr:col>
      <xdr:colOff>742950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485773</xdr:colOff>
      <xdr:row>1</xdr:row>
      <xdr:rowOff>47625</xdr:rowOff>
    </xdr:from>
    <xdr:to>
      <xdr:col>6</xdr:col>
      <xdr:colOff>581024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14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1343023</xdr:colOff>
      <xdr:row>1</xdr:row>
      <xdr:rowOff>47625</xdr:rowOff>
    </xdr:from>
    <xdr:to>
      <xdr:col>3</xdr:col>
      <xdr:colOff>285749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3" name="Retângulo 2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 sortType="ascending">
      <items count="2">
        <item x="0"/>
        <item t="default"/>
      </items>
    </pivotField>
    <pivotField axis="axisRow" showAll="0" sortType="ascending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 sortType="ascending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 sortType="ascending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1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 sortType="ascending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0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 sortType="ascending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sortType="ascending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 sortType="ascending">
      <items count="2">
        <item x="0"/>
        <item t="default"/>
      </items>
    </pivotField>
    <pivotField axis="axisRow" showAll="0" sortType="ascending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19" dataDxfId="18">
  <autoFilter ref="B4:B9"/>
  <tableColumns count="1">
    <tableColumn id="1" name="Nível 1" dataDxfId="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45" headerRowBorderDxfId="44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43" headerRowBorderDxfId="42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41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Q234" totalsRowShown="0" headerRowDxfId="17" dataDxfId="16">
  <autoFilter ref="B3:Q234"/>
  <tableColumns count="16">
    <tableColumn id="1" name="Data do Caixa Realizado" dataDxfId="15"/>
    <tableColumn id="2" name="Data da Competência" dataDxfId="14"/>
    <tableColumn id="3" name="Data do Caixa Previsto" dataDxfId="13"/>
    <tableColumn id="4" name="Conta Nível 1" dataDxfId="12"/>
    <tableColumn id="5" name="Conta Nível 2" dataDxfId="11"/>
    <tableColumn id="6" name="Histórico" dataDxfId="10"/>
    <tableColumn id="7" name="Valor" dataDxfId="9"/>
    <tableColumn id="8" name="Mês Caixa" dataDxfId="8">
      <calculatedColumnFormula>IF(TbRegistroEntradas[[#This Row],[Data do Caixa Realizado]]="",0,MONTH(TbRegistroEntradas[[#This Row],[Data do Caixa Realizado]]))</calculatedColumnFormula>
    </tableColumn>
    <tableColumn id="9" name="Ano Caixa" dataDxfId="7">
      <calculatedColumnFormula>IF(TbRegistroEntradas[[#This Row],[Data do Caixa Realizado]]="",0,YEAR(TbRegistroEntradas[[#This Row],[Data do Caixa Realizado]]))</calculatedColumnFormula>
    </tableColumn>
    <tableColumn id="10" name="Mês Competência" dataDxfId="6">
      <calculatedColumnFormula>IF(TbRegistroEntradas[[#This Row],[Data da Competência]]="",0,MONTH(TbRegistroEntradas[[#This Row],[Data da Competência]]))</calculatedColumnFormula>
    </tableColumn>
    <tableColumn id="11" name="Ano Competência" dataDxfId="5">
      <calculatedColumnFormula>IF(TbRegistroEntradas[[#This Row],[Data da Competência]]="",0,YEAR(TbRegistroEntradas[[#This Row],[Data da Competência]]))</calculatedColumnFormula>
    </tableColumn>
    <tableColumn id="12" name="Mês Previsto" dataDxfId="4">
      <calculatedColumnFormula>IF(TbRegistroEntradas[[#This Row],[Data do Caixa Previsto]]="",0,MONTH(TbRegistroEntradas[[#This Row],[Data do Caixa Previsto]]))</calculatedColumnFormula>
    </tableColumn>
    <tableColumn id="13" name="Ano Previsto" dataDxfId="3">
      <calculatedColumnFormula>IF(TbRegistroEntradas[[#This Row],[Data do Caixa Previsto]]="",0,YEAR(TbRegistroEntradas[[#This Row],[Data do Caixa Previsto]]))</calculatedColumnFormula>
    </tableColumn>
    <tableColumn id="14" name="Conta Vencida" dataDxfId="2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1">
      <calculatedColumnFormula>IF(TbRegistroEntradas[[#This Row],[Data da Competência]]=TbRegistroEntradas[[#This Row],[Data do Caixa Previsto]],"Vista","Prazo")</calculatedColumnFormula>
    </tableColumn>
    <tableColumn id="16" name="Dias de Atraso" dataDxfId="0">
      <calculatedColumnFormula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O232" totalsRowShown="0" headerRowDxfId="40" headerRowBorderDxfId="39" tableBorderDxfId="38">
  <autoFilter ref="B3:O232"/>
  <tableColumns count="14">
    <tableColumn id="1" name="Data do Caixa Realizado" dataDxfId="37"/>
    <tableColumn id="2" name="Data da Competência" dataDxfId="36"/>
    <tableColumn id="3" name="Data do Caixa Previsto" dataDxfId="35"/>
    <tableColumn id="4" name="Conta Nível 1"/>
    <tableColumn id="5" name="Conta Nível 2"/>
    <tableColumn id="6" name="Histórico"/>
    <tableColumn id="7" name="Valor" dataDxfId="34"/>
    <tableColumn id="8" name="Mês Caixa" dataDxfId="33">
      <calculatedColumnFormula>IF(TbRegistroSaídas[[#This Row],[Data do Caixa Realizado]]="",0,MONTH(TbRegistroSaídas[[#This Row],[Data do Caixa Realizado]]))</calculatedColumnFormula>
    </tableColumn>
    <tableColumn id="9" name="Ano Caixa" dataDxfId="32">
      <calculatedColumnFormula>IF(TbRegistroSaídas[[#This Row],[Data do Caixa Realizado]]="",0,YEAR(TbRegistroSaídas[[#This Row],[Data do Caixa Realizado]]))</calculatedColumnFormula>
    </tableColumn>
    <tableColumn id="10" name="Mês Competência" dataDxfId="31">
      <calculatedColumnFormula>IF(TbRegistroSaídas[[#This Row],[Data da Competência]]="",0,MONTH(TbRegistroSaídas[[#This Row],[Data da Competência]]))</calculatedColumnFormula>
    </tableColumn>
    <tableColumn id="11" name="Ano Competência" dataDxfId="30">
      <calculatedColumnFormula>IF(TbRegistroSaídas[[#This Row],[Data da Competência]]="",0,YEAR(TbRegistroSaídas[[#This Row],[Data da Competência]]))</calculatedColumnFormula>
    </tableColumn>
    <tableColumn id="12" name="Mês Previsto" dataDxfId="29">
      <calculatedColumnFormula>IF(TbRegistroSaídas[[#This Row],[Data do Caixa Previsto]]="",0,MONTH(TbRegistroSaídas[[#This Row],[Data do Caixa Previsto]]))</calculatedColumnFormula>
    </tableColumn>
    <tableColumn id="13" name="Ano Previsto" dataDxfId="28">
      <calculatedColumnFormula>IF(TbRegistroSaídas[[#This Row],[Data do Caixa Previsto]]="",0,YEAR(TbRegistroSaídas[[#This Row],[Data do Caixa Previsto]]))</calculatedColumnFormula>
    </tableColumn>
    <tableColumn id="14" name="Dias de Atraso" dataDxfId="27">
      <calculatedColumnFormula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showRowColHeaders="0" tabSelected="1" zoomScaleNormal="100" workbookViewId="0">
      <selection activeCell="B4" sqref="B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160" t="s">
        <v>615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3</v>
      </c>
    </row>
    <row r="9" spans="2:14" ht="20.100000000000001" customHeight="1" x14ac:dyDescent="0.25">
      <c r="B9" s="160" t="s">
        <v>616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sheetProtection sheet="1" objects="1" scenarios="1"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4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showRowColHeaders="0" zoomScaleNormal="100" workbookViewId="0">
      <pane ySplit="4" topLeftCell="A5" activePane="bottomLeft" state="frozen"/>
      <selection pane="bottomLeft" activeCell="B5" sqref="B5"/>
    </sheetView>
  </sheetViews>
  <sheetFormatPr defaultColWidth="0" defaultRowHeight="15" x14ac:dyDescent="0.25"/>
  <cols>
    <col min="1" max="1" width="2" style="50" customWidth="1"/>
    <col min="2" max="2" width="40.7109375" style="50" customWidth="1"/>
    <col min="3" max="14" width="11.7109375" style="50" customWidth="1"/>
    <col min="15" max="15" width="2.140625" style="50" customWidth="1"/>
    <col min="16" max="16384" width="9.140625" style="50" hidden="1"/>
  </cols>
  <sheetData>
    <row r="1" spans="2:14" ht="39.950000000000003" customHeight="1" x14ac:dyDescent="0.25">
      <c r="B1" s="139" t="s">
        <v>1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1" t="s">
        <v>5</v>
      </c>
    </row>
    <row r="2" spans="2:14" ht="39.950000000000003" customHeight="1" x14ac:dyDescent="0.25"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</row>
    <row r="3" spans="2:14" ht="20.100000000000001" customHeight="1" x14ac:dyDescent="0.25">
      <c r="B3" s="143" t="s">
        <v>18</v>
      </c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</row>
    <row r="4" spans="2:14" ht="20.100000000000001" customHeight="1" x14ac:dyDescent="0.25">
      <c r="B4" s="144" t="s">
        <v>19</v>
      </c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</row>
    <row r="5" spans="2:14" ht="20.100000000000001" customHeight="1" x14ac:dyDescent="0.25">
      <c r="B5" s="50" t="s">
        <v>20</v>
      </c>
    </row>
    <row r="6" spans="2:14" ht="20.100000000000001" customHeight="1" x14ac:dyDescent="0.25">
      <c r="B6" s="50" t="s">
        <v>21</v>
      </c>
    </row>
    <row r="7" spans="2:14" ht="20.100000000000001" customHeight="1" x14ac:dyDescent="0.25">
      <c r="B7" s="50" t="s">
        <v>22</v>
      </c>
    </row>
    <row r="8" spans="2:14" ht="20.100000000000001" customHeight="1" x14ac:dyDescent="0.25">
      <c r="B8" s="50" t="s">
        <v>23</v>
      </c>
    </row>
    <row r="9" spans="2:14" ht="20.100000000000001" customHeight="1" x14ac:dyDescent="0.25">
      <c r="B9" s="50" t="s">
        <v>24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sheetProtection sheet="1" objects="1" scenarios="1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showRowColHeaders="0" zoomScaleNormal="100" workbookViewId="0">
      <pane ySplit="4" topLeftCell="A5" activePane="bottomLeft" state="frozen"/>
      <selection pane="bottomLeft" activeCell="C6" sqref="C6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6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130" t="s">
        <v>25</v>
      </c>
      <c r="C3" s="131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6" t="s">
        <v>19</v>
      </c>
      <c r="C4" s="6" t="s">
        <v>26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B5" t="s">
        <v>20</v>
      </c>
      <c r="C5" t="s">
        <v>27</v>
      </c>
    </row>
    <row r="6" spans="2:14" ht="20.100000000000001" customHeight="1" x14ac:dyDescent="0.25">
      <c r="B6" t="s">
        <v>22</v>
      </c>
      <c r="C6" t="s">
        <v>28</v>
      </c>
    </row>
    <row r="7" spans="2:14" ht="20.100000000000001" customHeight="1" x14ac:dyDescent="0.25">
      <c r="B7" t="s">
        <v>23</v>
      </c>
      <c r="C7" t="s">
        <v>29</v>
      </c>
    </row>
    <row r="8" spans="2:14" ht="20.100000000000001" customHeight="1" x14ac:dyDescent="0.25">
      <c r="B8" t="s">
        <v>24</v>
      </c>
      <c r="C8" t="s">
        <v>30</v>
      </c>
    </row>
    <row r="9" spans="2:14" ht="20.100000000000001" customHeight="1" x14ac:dyDescent="0.25">
      <c r="B9" t="s">
        <v>24</v>
      </c>
      <c r="C9" t="s">
        <v>31</v>
      </c>
    </row>
    <row r="10" spans="2:14" ht="20.100000000000001" customHeight="1" x14ac:dyDescent="0.25">
      <c r="B10" t="s">
        <v>24</v>
      </c>
      <c r="C10" t="s">
        <v>32</v>
      </c>
    </row>
    <row r="11" spans="2:14" ht="20.100000000000001" customHeight="1" x14ac:dyDescent="0.25">
      <c r="B11" t="s">
        <v>24</v>
      </c>
      <c r="C11" t="s">
        <v>33</v>
      </c>
    </row>
    <row r="12" spans="2:14" ht="20.100000000000001" customHeight="1" x14ac:dyDescent="0.25">
      <c r="B12" t="s">
        <v>24</v>
      </c>
      <c r="C12" t="s">
        <v>34</v>
      </c>
    </row>
    <row r="13" spans="2:14" ht="20.100000000000001" customHeight="1" x14ac:dyDescent="0.25">
      <c r="B13" t="s">
        <v>21</v>
      </c>
      <c r="C13" t="s">
        <v>57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sheetProtection sheet="1" objects="1" scenarios="1"/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showRowColHeaders="0" zoomScaleNormal="100" workbookViewId="0">
      <pane ySplit="4" topLeftCell="A5" activePane="bottomLeft" state="frozen"/>
      <selection pane="bottomLeft" activeCell="B5" sqref="B5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8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7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6" t="s">
        <v>19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B5" t="s">
        <v>36</v>
      </c>
    </row>
    <row r="6" spans="2:14" ht="20.100000000000001" customHeight="1" x14ac:dyDescent="0.25">
      <c r="B6" t="s">
        <v>37</v>
      </c>
    </row>
    <row r="7" spans="2:14" ht="20.100000000000001" customHeight="1" x14ac:dyDescent="0.25">
      <c r="B7" t="s">
        <v>38</v>
      </c>
    </row>
    <row r="8" spans="2:14" ht="20.100000000000001" customHeight="1" x14ac:dyDescent="0.25">
      <c r="B8" t="s">
        <v>39</v>
      </c>
    </row>
    <row r="9" spans="2:14" ht="20.100000000000001" customHeight="1" x14ac:dyDescent="0.25">
      <c r="B9" t="s">
        <v>40</v>
      </c>
    </row>
    <row r="10" spans="2:14" ht="20.100000000000001" customHeight="1" x14ac:dyDescent="0.25">
      <c r="B10" t="s">
        <v>41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sheetProtection sheet="1" objects="1" scenarios="1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showRowColHeaders="0" zoomScaleNormal="100" workbookViewId="0">
      <pane ySplit="4" topLeftCell="A5" activePane="bottomLeft" state="frozen"/>
      <selection pane="bottomLeft" activeCell="B5" sqref="B5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7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132" t="s">
        <v>42</v>
      </c>
      <c r="C3" s="132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5" t="s">
        <v>19</v>
      </c>
      <c r="C4" s="5" t="s">
        <v>26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B5" t="s">
        <v>36</v>
      </c>
      <c r="C5" t="s">
        <v>30</v>
      </c>
    </row>
    <row r="6" spans="2:14" ht="20.100000000000001" customHeight="1" x14ac:dyDescent="0.25">
      <c r="B6" t="s">
        <v>36</v>
      </c>
      <c r="C6" t="s">
        <v>31</v>
      </c>
    </row>
    <row r="7" spans="2:14" ht="20.100000000000001" customHeight="1" x14ac:dyDescent="0.25">
      <c r="B7" t="s">
        <v>36</v>
      </c>
      <c r="C7" t="s">
        <v>32</v>
      </c>
    </row>
    <row r="8" spans="2:14" ht="20.100000000000001" customHeight="1" x14ac:dyDescent="0.25">
      <c r="B8" t="s">
        <v>36</v>
      </c>
      <c r="C8" t="s">
        <v>34</v>
      </c>
    </row>
    <row r="9" spans="2:14" ht="20.100000000000001" customHeight="1" x14ac:dyDescent="0.25">
      <c r="B9" t="s">
        <v>36</v>
      </c>
      <c r="C9" t="s">
        <v>43</v>
      </c>
    </row>
    <row r="10" spans="2:14" ht="20.100000000000001" customHeight="1" x14ac:dyDescent="0.25">
      <c r="B10" t="s">
        <v>37</v>
      </c>
      <c r="C10" t="s">
        <v>44</v>
      </c>
    </row>
    <row r="11" spans="2:14" ht="20.100000000000001" customHeight="1" x14ac:dyDescent="0.25">
      <c r="B11" t="s">
        <v>37</v>
      </c>
      <c r="C11" t="s">
        <v>45</v>
      </c>
    </row>
    <row r="12" spans="2:14" ht="20.100000000000001" customHeight="1" x14ac:dyDescent="0.25">
      <c r="B12" t="s">
        <v>38</v>
      </c>
      <c r="C12" t="s">
        <v>46</v>
      </c>
    </row>
    <row r="13" spans="2:14" ht="20.100000000000001" customHeight="1" x14ac:dyDescent="0.25">
      <c r="B13" t="s">
        <v>38</v>
      </c>
      <c r="C13" t="s">
        <v>47</v>
      </c>
    </row>
    <row r="14" spans="2:14" ht="20.100000000000001" customHeight="1" x14ac:dyDescent="0.25">
      <c r="B14" t="s">
        <v>39</v>
      </c>
      <c r="C14" t="s">
        <v>48</v>
      </c>
    </row>
    <row r="15" spans="2:14" ht="20.100000000000001" customHeight="1" x14ac:dyDescent="0.25">
      <c r="B15" t="s">
        <v>40</v>
      </c>
      <c r="C15" t="s">
        <v>49</v>
      </c>
    </row>
    <row r="16" spans="2:14" ht="20.100000000000001" customHeight="1" x14ac:dyDescent="0.25">
      <c r="B16" t="s">
        <v>41</v>
      </c>
      <c r="C16" t="s">
        <v>57</v>
      </c>
    </row>
    <row r="17" ht="20.100000000000001" customHeight="1" x14ac:dyDescent="0.25"/>
  </sheetData>
  <sheetProtection sheet="1" objects="1" scenarios="1"/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Q234"/>
  <sheetViews>
    <sheetView showGridLines="0" zoomScaleNormal="100" workbookViewId="0">
      <pane ySplit="3" topLeftCell="A4" activePane="bottomLeft" state="frozen"/>
      <selection pane="bottomLeft" activeCell="B4" sqref="B4"/>
    </sheetView>
  </sheetViews>
  <sheetFormatPr defaultColWidth="0" defaultRowHeight="15" x14ac:dyDescent="0.25"/>
  <cols>
    <col min="1" max="1" width="2" style="50" customWidth="1"/>
    <col min="2" max="2" width="16.7109375" style="154" customWidth="1"/>
    <col min="3" max="3" width="15.5703125" style="154" customWidth="1"/>
    <col min="4" max="4" width="14.140625" style="154" customWidth="1"/>
    <col min="5" max="5" width="33.140625" style="50" customWidth="1"/>
    <col min="6" max="6" width="30.5703125" style="50" customWidth="1"/>
    <col min="7" max="7" width="51.28515625" style="50" customWidth="1"/>
    <col min="8" max="8" width="20.42578125" style="155" customWidth="1"/>
    <col min="9" max="9" width="13.28515625" style="50" hidden="1"/>
    <col min="10" max="10" width="11.140625" style="50" hidden="1"/>
    <col min="11" max="11" width="12.140625" style="50" hidden="1"/>
    <col min="12" max="12" width="12.5703125" style="50" hidden="1"/>
    <col min="13" max="14" width="9.140625" style="50" hidden="1"/>
    <col min="15" max="15" width="14.140625" style="50" hidden="1"/>
    <col min="16" max="17" width="0" style="50" hidden="1"/>
    <col min="18" max="16384" width="9.140625" style="50" hidden="1"/>
  </cols>
  <sheetData>
    <row r="1" spans="2:17" ht="39.950000000000003" customHeight="1" x14ac:dyDescent="0.25">
      <c r="B1" s="145" t="s">
        <v>1</v>
      </c>
      <c r="C1" s="146"/>
      <c r="D1" s="146"/>
      <c r="E1" s="140"/>
      <c r="F1" s="140"/>
      <c r="G1" s="140"/>
      <c r="H1" s="147" t="s">
        <v>9</v>
      </c>
    </row>
    <row r="2" spans="2:17" ht="39.950000000000003" customHeight="1" x14ac:dyDescent="0.25">
      <c r="B2" s="148"/>
      <c r="C2" s="148"/>
      <c r="D2" s="148"/>
      <c r="E2" s="142"/>
      <c r="F2" s="142"/>
      <c r="G2" s="142"/>
      <c r="H2" s="149"/>
    </row>
    <row r="3" spans="2:17" s="153" customFormat="1" ht="45.75" customHeight="1" x14ac:dyDescent="0.25">
      <c r="B3" s="150" t="s">
        <v>50</v>
      </c>
      <c r="C3" s="150" t="s">
        <v>51</v>
      </c>
      <c r="D3" s="150" t="s">
        <v>52</v>
      </c>
      <c r="E3" s="151" t="s">
        <v>53</v>
      </c>
      <c r="F3" s="151" t="s">
        <v>54</v>
      </c>
      <c r="G3" s="151" t="s">
        <v>55</v>
      </c>
      <c r="H3" s="152" t="s">
        <v>56</v>
      </c>
      <c r="I3" s="151" t="s">
        <v>535</v>
      </c>
      <c r="J3" s="151" t="s">
        <v>536</v>
      </c>
      <c r="K3" s="151" t="s">
        <v>537</v>
      </c>
      <c r="L3" s="151" t="s">
        <v>538</v>
      </c>
      <c r="M3" s="151" t="s">
        <v>543</v>
      </c>
      <c r="N3" s="151" t="s">
        <v>544</v>
      </c>
      <c r="O3" s="151" t="s">
        <v>546</v>
      </c>
      <c r="P3" s="151" t="s">
        <v>604</v>
      </c>
      <c r="Q3" s="151" t="s">
        <v>605</v>
      </c>
    </row>
    <row r="4" spans="2:17" ht="20.100000000000001" customHeight="1" x14ac:dyDescent="0.25">
      <c r="B4" s="154">
        <v>42994</v>
      </c>
      <c r="C4" s="154">
        <v>42957</v>
      </c>
      <c r="D4" s="154">
        <v>42972</v>
      </c>
      <c r="E4" s="50" t="s">
        <v>24</v>
      </c>
      <c r="F4" s="50" t="s">
        <v>31</v>
      </c>
      <c r="G4" s="50" t="s">
        <v>58</v>
      </c>
      <c r="H4" s="155">
        <v>1133</v>
      </c>
      <c r="I4" s="50">
        <f>IF(TbRegistroEntradas[[#This Row],[Data do Caixa Realizado]]="",0,MONTH(TbRegistroEntradas[[#This Row],[Data do Caixa Realizado]]))</f>
        <v>9</v>
      </c>
      <c r="J4" s="50">
        <f>IF(TbRegistroEntradas[[#This Row],[Data do Caixa Realizado]]="",0,YEAR(TbRegistroEntradas[[#This Row],[Data do Caixa Realizado]]))</f>
        <v>2017</v>
      </c>
      <c r="K4" s="50">
        <f>IF(TbRegistroEntradas[[#This Row],[Data da Competência]]="",0,MONTH(TbRegistroEntradas[[#This Row],[Data da Competência]]))</f>
        <v>8</v>
      </c>
      <c r="L4" s="50">
        <f>IF(TbRegistroEntradas[[#This Row],[Data da Competência]]="",0,YEAR(TbRegistroEntradas[[#This Row],[Data da Competência]]))</f>
        <v>2017</v>
      </c>
      <c r="M4" s="156">
        <f>IF(TbRegistroEntradas[[#This Row],[Data do Caixa Previsto]]="",0,MONTH(TbRegistroEntradas[[#This Row],[Data do Caixa Previsto]]))</f>
        <v>8</v>
      </c>
      <c r="N4" s="156">
        <f>IF(TbRegistroEntradas[[#This Row],[Data do Caixa Previsto]]="",0,YEAR(TbRegistroEntradas[[#This Row],[Data do Caixa Previsto]]))</f>
        <v>2017</v>
      </c>
      <c r="O4" s="156" t="str">
        <f ca="1">IF(AND(TbRegistroEntradas[[#This Row],[Data do Caixa Previsto]]&lt;TODAY(),TbRegistroEntradas[[#This Row],[Data do Caixa Realizado]]=""),"Vencida","Não Vencida")</f>
        <v>Não Vencida</v>
      </c>
      <c r="P4" s="156" t="str">
        <f>IF(TbRegistroEntradas[[#This Row],[Data da Competência]]=TbRegistroEntradas[[#This Row],[Data do Caixa Previsto]],"Vista","Prazo")</f>
        <v>Prazo</v>
      </c>
      <c r="Q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22</v>
      </c>
    </row>
    <row r="5" spans="2:17" ht="20.100000000000001" customHeight="1" x14ac:dyDescent="0.25">
      <c r="B5" s="154">
        <v>42985</v>
      </c>
      <c r="C5" s="154">
        <v>42960</v>
      </c>
      <c r="D5" s="154">
        <v>42985</v>
      </c>
      <c r="E5" s="50" t="s">
        <v>24</v>
      </c>
      <c r="F5" s="50" t="s">
        <v>33</v>
      </c>
      <c r="G5" s="50" t="s">
        <v>59</v>
      </c>
      <c r="H5" s="155">
        <v>164</v>
      </c>
      <c r="I5" s="50">
        <f>IF(TbRegistroEntradas[[#This Row],[Data do Caixa Realizado]]="",0,MONTH(TbRegistroEntradas[[#This Row],[Data do Caixa Realizado]]))</f>
        <v>9</v>
      </c>
      <c r="J5" s="50">
        <f>IF(TbRegistroEntradas[[#This Row],[Data do Caixa Realizado]]="",0,YEAR(TbRegistroEntradas[[#This Row],[Data do Caixa Realizado]]))</f>
        <v>2017</v>
      </c>
      <c r="K5" s="50">
        <f>IF(TbRegistroEntradas[[#This Row],[Data da Competência]]="",0,MONTH(TbRegistroEntradas[[#This Row],[Data da Competência]]))</f>
        <v>8</v>
      </c>
      <c r="L5" s="50">
        <f>IF(TbRegistroEntradas[[#This Row],[Data da Competência]]="",0,YEAR(TbRegistroEntradas[[#This Row],[Data da Competência]]))</f>
        <v>2017</v>
      </c>
      <c r="M5" s="156">
        <f>IF(TbRegistroEntradas[[#This Row],[Data do Caixa Previsto]]="",0,MONTH(TbRegistroEntradas[[#This Row],[Data do Caixa Previsto]]))</f>
        <v>9</v>
      </c>
      <c r="N5" s="156">
        <f>IF(TbRegistroEntradas[[#This Row],[Data do Caixa Previsto]]="",0,YEAR(TbRegistroEntradas[[#This Row],[Data do Caixa Previsto]]))</f>
        <v>2017</v>
      </c>
      <c r="O5" s="156" t="str">
        <f ca="1">IF(AND(TbRegistroEntradas[[#This Row],[Data do Caixa Previsto]]&lt;TODAY(),TbRegistroEntradas[[#This Row],[Data do Caixa Realizado]]=""),"Vencida","Não Vencida")</f>
        <v>Não Vencida</v>
      </c>
      <c r="P5" s="156" t="str">
        <f>IF(TbRegistroEntradas[[#This Row],[Data da Competência]]=TbRegistroEntradas[[#This Row],[Data do Caixa Previsto]],"Vista","Prazo")</f>
        <v>Prazo</v>
      </c>
      <c r="Q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" spans="2:17" ht="20.100000000000001" customHeight="1" x14ac:dyDescent="0.25">
      <c r="B6" s="154">
        <v>43007</v>
      </c>
      <c r="C6" s="154">
        <v>42964</v>
      </c>
      <c r="D6" s="154">
        <v>43001</v>
      </c>
      <c r="E6" s="50" t="s">
        <v>24</v>
      </c>
      <c r="F6" s="50" t="s">
        <v>33</v>
      </c>
      <c r="G6" s="50" t="s">
        <v>60</v>
      </c>
      <c r="H6" s="155">
        <v>2937</v>
      </c>
      <c r="I6" s="50">
        <f>IF(TbRegistroEntradas[[#This Row],[Data do Caixa Realizado]]="",0,MONTH(TbRegistroEntradas[[#This Row],[Data do Caixa Realizado]]))</f>
        <v>9</v>
      </c>
      <c r="J6" s="50">
        <f>IF(TbRegistroEntradas[[#This Row],[Data do Caixa Realizado]]="",0,YEAR(TbRegistroEntradas[[#This Row],[Data do Caixa Realizado]]))</f>
        <v>2017</v>
      </c>
      <c r="K6" s="50">
        <f>IF(TbRegistroEntradas[[#This Row],[Data da Competência]]="",0,MONTH(TbRegistroEntradas[[#This Row],[Data da Competência]]))</f>
        <v>8</v>
      </c>
      <c r="L6" s="50">
        <f>IF(TbRegistroEntradas[[#This Row],[Data da Competência]]="",0,YEAR(TbRegistroEntradas[[#This Row],[Data da Competência]]))</f>
        <v>2017</v>
      </c>
      <c r="M6" s="156">
        <f>IF(TbRegistroEntradas[[#This Row],[Data do Caixa Previsto]]="",0,MONTH(TbRegistroEntradas[[#This Row],[Data do Caixa Previsto]]))</f>
        <v>9</v>
      </c>
      <c r="N6" s="156">
        <f>IF(TbRegistroEntradas[[#This Row],[Data do Caixa Previsto]]="",0,YEAR(TbRegistroEntradas[[#This Row],[Data do Caixa Previsto]]))</f>
        <v>2017</v>
      </c>
      <c r="O6" s="156" t="str">
        <f ca="1">IF(AND(TbRegistroEntradas[[#This Row],[Data do Caixa Previsto]]&lt;TODAY(),TbRegistroEntradas[[#This Row],[Data do Caixa Realizado]]=""),"Vencida","Não Vencida")</f>
        <v>Não Vencida</v>
      </c>
      <c r="P6" s="156" t="str">
        <f>IF(TbRegistroEntradas[[#This Row],[Data da Competência]]=TbRegistroEntradas[[#This Row],[Data do Caixa Previsto]],"Vista","Prazo")</f>
        <v>Prazo</v>
      </c>
      <c r="Q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7" spans="2:17" ht="20.100000000000001" customHeight="1" x14ac:dyDescent="0.25">
      <c r="B7" s="154">
        <v>43020</v>
      </c>
      <c r="C7" s="154">
        <v>42969</v>
      </c>
      <c r="D7" s="154">
        <v>43020</v>
      </c>
      <c r="E7" s="50" t="s">
        <v>24</v>
      </c>
      <c r="F7" s="50" t="s">
        <v>34</v>
      </c>
      <c r="G7" s="50" t="s">
        <v>61</v>
      </c>
      <c r="H7" s="155">
        <v>807</v>
      </c>
      <c r="I7" s="50">
        <f>IF(TbRegistroEntradas[[#This Row],[Data do Caixa Realizado]]="",0,MONTH(TbRegistroEntradas[[#This Row],[Data do Caixa Realizado]]))</f>
        <v>10</v>
      </c>
      <c r="J7" s="50">
        <f>IF(TbRegistroEntradas[[#This Row],[Data do Caixa Realizado]]="",0,YEAR(TbRegistroEntradas[[#This Row],[Data do Caixa Realizado]]))</f>
        <v>2017</v>
      </c>
      <c r="K7" s="50">
        <f>IF(TbRegistroEntradas[[#This Row],[Data da Competência]]="",0,MONTH(TbRegistroEntradas[[#This Row],[Data da Competência]]))</f>
        <v>8</v>
      </c>
      <c r="L7" s="50">
        <f>IF(TbRegistroEntradas[[#This Row],[Data da Competência]]="",0,YEAR(TbRegistroEntradas[[#This Row],[Data da Competência]]))</f>
        <v>2017</v>
      </c>
      <c r="M7" s="156">
        <f>IF(TbRegistroEntradas[[#This Row],[Data do Caixa Previsto]]="",0,MONTH(TbRegistroEntradas[[#This Row],[Data do Caixa Previsto]]))</f>
        <v>10</v>
      </c>
      <c r="N7" s="156">
        <f>IF(TbRegistroEntradas[[#This Row],[Data do Caixa Previsto]]="",0,YEAR(TbRegistroEntradas[[#This Row],[Data do Caixa Previsto]]))</f>
        <v>2017</v>
      </c>
      <c r="O7" s="156" t="str">
        <f ca="1">IF(AND(TbRegistroEntradas[[#This Row],[Data do Caixa Previsto]]&lt;TODAY(),TbRegistroEntradas[[#This Row],[Data do Caixa Realizado]]=""),"Vencida","Não Vencida")</f>
        <v>Não Vencida</v>
      </c>
      <c r="P7" s="156" t="str">
        <f>IF(TbRegistroEntradas[[#This Row],[Data da Competência]]=TbRegistroEntradas[[#This Row],[Data do Caixa Previsto]],"Vista","Prazo")</f>
        <v>Prazo</v>
      </c>
      <c r="Q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" spans="2:17" ht="20.100000000000001" customHeight="1" x14ac:dyDescent="0.25">
      <c r="B8" s="154">
        <v>43014</v>
      </c>
      <c r="C8" s="154">
        <v>42972</v>
      </c>
      <c r="D8" s="154">
        <v>43014</v>
      </c>
      <c r="E8" s="50" t="s">
        <v>24</v>
      </c>
      <c r="F8" s="50" t="s">
        <v>31</v>
      </c>
      <c r="G8" s="50" t="s">
        <v>62</v>
      </c>
      <c r="H8" s="155">
        <v>2612</v>
      </c>
      <c r="I8" s="50">
        <f>IF(TbRegistroEntradas[[#This Row],[Data do Caixa Realizado]]="",0,MONTH(TbRegistroEntradas[[#This Row],[Data do Caixa Realizado]]))</f>
        <v>10</v>
      </c>
      <c r="J8" s="50">
        <f>IF(TbRegistroEntradas[[#This Row],[Data do Caixa Realizado]]="",0,YEAR(TbRegistroEntradas[[#This Row],[Data do Caixa Realizado]]))</f>
        <v>2017</v>
      </c>
      <c r="K8" s="50">
        <f>IF(TbRegistroEntradas[[#This Row],[Data da Competência]]="",0,MONTH(TbRegistroEntradas[[#This Row],[Data da Competência]]))</f>
        <v>8</v>
      </c>
      <c r="L8" s="50">
        <f>IF(TbRegistroEntradas[[#This Row],[Data da Competência]]="",0,YEAR(TbRegistroEntradas[[#This Row],[Data da Competência]]))</f>
        <v>2017</v>
      </c>
      <c r="M8" s="156">
        <f>IF(TbRegistroEntradas[[#This Row],[Data do Caixa Previsto]]="",0,MONTH(TbRegistroEntradas[[#This Row],[Data do Caixa Previsto]]))</f>
        <v>10</v>
      </c>
      <c r="N8" s="156">
        <f>IF(TbRegistroEntradas[[#This Row],[Data do Caixa Previsto]]="",0,YEAR(TbRegistroEntradas[[#This Row],[Data do Caixa Previsto]]))</f>
        <v>2017</v>
      </c>
      <c r="O8" s="156" t="str">
        <f ca="1">IF(AND(TbRegistroEntradas[[#This Row],[Data do Caixa Previsto]]&lt;TODAY(),TbRegistroEntradas[[#This Row],[Data do Caixa Realizado]]=""),"Vencida","Não Vencida")</f>
        <v>Não Vencida</v>
      </c>
      <c r="P8" s="156" t="str">
        <f>IF(TbRegistroEntradas[[#This Row],[Data da Competência]]=TbRegistroEntradas[[#This Row],[Data do Caixa Previsto]],"Vista","Prazo")</f>
        <v>Prazo</v>
      </c>
      <c r="Q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" spans="2:17" ht="20.100000000000001" customHeight="1" x14ac:dyDescent="0.25">
      <c r="B9" s="154">
        <v>43054</v>
      </c>
      <c r="C9" s="154">
        <v>42974</v>
      </c>
      <c r="D9" s="154">
        <v>43030</v>
      </c>
      <c r="E9" s="50" t="s">
        <v>24</v>
      </c>
      <c r="F9" s="50" t="s">
        <v>33</v>
      </c>
      <c r="G9" s="50" t="s">
        <v>63</v>
      </c>
      <c r="H9" s="155">
        <v>2483</v>
      </c>
      <c r="I9" s="50">
        <f>IF(TbRegistroEntradas[[#This Row],[Data do Caixa Realizado]]="",0,MONTH(TbRegistroEntradas[[#This Row],[Data do Caixa Realizado]]))</f>
        <v>11</v>
      </c>
      <c r="J9" s="50">
        <f>IF(TbRegistroEntradas[[#This Row],[Data do Caixa Realizado]]="",0,YEAR(TbRegistroEntradas[[#This Row],[Data do Caixa Realizado]]))</f>
        <v>2017</v>
      </c>
      <c r="K9" s="50">
        <f>IF(TbRegistroEntradas[[#This Row],[Data da Competência]]="",0,MONTH(TbRegistroEntradas[[#This Row],[Data da Competência]]))</f>
        <v>8</v>
      </c>
      <c r="L9" s="50">
        <f>IF(TbRegistroEntradas[[#This Row],[Data da Competência]]="",0,YEAR(TbRegistroEntradas[[#This Row],[Data da Competência]]))</f>
        <v>2017</v>
      </c>
      <c r="M9" s="156">
        <f>IF(TbRegistroEntradas[[#This Row],[Data do Caixa Previsto]]="",0,MONTH(TbRegistroEntradas[[#This Row],[Data do Caixa Previsto]]))</f>
        <v>10</v>
      </c>
      <c r="N9" s="156">
        <f>IF(TbRegistroEntradas[[#This Row],[Data do Caixa Previsto]]="",0,YEAR(TbRegistroEntradas[[#This Row],[Data do Caixa Previsto]]))</f>
        <v>2017</v>
      </c>
      <c r="O9" s="156" t="str">
        <f ca="1">IF(AND(TbRegistroEntradas[[#This Row],[Data do Caixa Previsto]]&lt;TODAY(),TbRegistroEntradas[[#This Row],[Data do Caixa Realizado]]=""),"Vencida","Não Vencida")</f>
        <v>Não Vencida</v>
      </c>
      <c r="P9" s="156" t="str">
        <f>IF(TbRegistroEntradas[[#This Row],[Data da Competência]]=TbRegistroEntradas[[#This Row],[Data do Caixa Previsto]],"Vista","Prazo")</f>
        <v>Prazo</v>
      </c>
      <c r="Q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24</v>
      </c>
    </row>
    <row r="10" spans="2:17" ht="20.100000000000001" customHeight="1" x14ac:dyDescent="0.25">
      <c r="B10" s="154">
        <v>43087</v>
      </c>
      <c r="C10" s="154">
        <v>42979</v>
      </c>
      <c r="D10" s="154">
        <v>43009</v>
      </c>
      <c r="E10" s="50" t="s">
        <v>24</v>
      </c>
      <c r="F10" s="50" t="s">
        <v>31</v>
      </c>
      <c r="G10" s="50" t="s">
        <v>64</v>
      </c>
      <c r="H10" s="155">
        <v>4387</v>
      </c>
      <c r="I10" s="50">
        <f>IF(TbRegistroEntradas[[#This Row],[Data do Caixa Realizado]]="",0,MONTH(TbRegistroEntradas[[#This Row],[Data do Caixa Realizado]]))</f>
        <v>12</v>
      </c>
      <c r="J10" s="50">
        <f>IF(TbRegistroEntradas[[#This Row],[Data do Caixa Realizado]]="",0,YEAR(TbRegistroEntradas[[#This Row],[Data do Caixa Realizado]]))</f>
        <v>2017</v>
      </c>
      <c r="K10" s="50">
        <f>IF(TbRegistroEntradas[[#This Row],[Data da Competência]]="",0,MONTH(TbRegistroEntradas[[#This Row],[Data da Competência]]))</f>
        <v>9</v>
      </c>
      <c r="L10" s="50">
        <f>IF(TbRegistroEntradas[[#This Row],[Data da Competência]]="",0,YEAR(TbRegistroEntradas[[#This Row],[Data da Competência]]))</f>
        <v>2017</v>
      </c>
      <c r="M10" s="156">
        <f>IF(TbRegistroEntradas[[#This Row],[Data do Caixa Previsto]]="",0,MONTH(TbRegistroEntradas[[#This Row],[Data do Caixa Previsto]]))</f>
        <v>10</v>
      </c>
      <c r="N10" s="156">
        <f>IF(TbRegistroEntradas[[#This Row],[Data do Caixa Previsto]]="",0,YEAR(TbRegistroEntradas[[#This Row],[Data do Caixa Previsto]]))</f>
        <v>2017</v>
      </c>
      <c r="O10" s="156" t="str">
        <f ca="1">IF(AND(TbRegistroEntradas[[#This Row],[Data do Caixa Previsto]]&lt;TODAY(),TbRegistroEntradas[[#This Row],[Data do Caixa Realizado]]=""),"Vencida","Não Vencida")</f>
        <v>Não Vencida</v>
      </c>
      <c r="P10" s="156" t="str">
        <f>IF(TbRegistroEntradas[[#This Row],[Data da Competência]]=TbRegistroEntradas[[#This Row],[Data do Caixa Previsto]],"Vista","Prazo")</f>
        <v>Prazo</v>
      </c>
      <c r="Q1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11" spans="2:17" ht="20.100000000000001" customHeight="1" x14ac:dyDescent="0.25">
      <c r="B11" s="154">
        <v>43004</v>
      </c>
      <c r="C11" s="154">
        <v>42980</v>
      </c>
      <c r="D11" s="154">
        <v>43004</v>
      </c>
      <c r="E11" s="50" t="s">
        <v>24</v>
      </c>
      <c r="F11" s="50" t="s">
        <v>33</v>
      </c>
      <c r="G11" s="50" t="s">
        <v>65</v>
      </c>
      <c r="H11" s="155">
        <v>4268</v>
      </c>
      <c r="I11" s="50">
        <f>IF(TbRegistroEntradas[[#This Row],[Data do Caixa Realizado]]="",0,MONTH(TbRegistroEntradas[[#This Row],[Data do Caixa Realizado]]))</f>
        <v>9</v>
      </c>
      <c r="J11" s="50">
        <f>IF(TbRegistroEntradas[[#This Row],[Data do Caixa Realizado]]="",0,YEAR(TbRegistroEntradas[[#This Row],[Data do Caixa Realizado]]))</f>
        <v>2017</v>
      </c>
      <c r="K11" s="50">
        <f>IF(TbRegistroEntradas[[#This Row],[Data da Competência]]="",0,MONTH(TbRegistroEntradas[[#This Row],[Data da Competência]]))</f>
        <v>9</v>
      </c>
      <c r="L11" s="50">
        <f>IF(TbRegistroEntradas[[#This Row],[Data da Competência]]="",0,YEAR(TbRegistroEntradas[[#This Row],[Data da Competência]]))</f>
        <v>2017</v>
      </c>
      <c r="M11" s="156">
        <f>IF(TbRegistroEntradas[[#This Row],[Data do Caixa Previsto]]="",0,MONTH(TbRegistroEntradas[[#This Row],[Data do Caixa Previsto]]))</f>
        <v>9</v>
      </c>
      <c r="N11" s="156">
        <f>IF(TbRegistroEntradas[[#This Row],[Data do Caixa Previsto]]="",0,YEAR(TbRegistroEntradas[[#This Row],[Data do Caixa Previsto]]))</f>
        <v>2017</v>
      </c>
      <c r="O11" s="156" t="str">
        <f ca="1">IF(AND(TbRegistroEntradas[[#This Row],[Data do Caixa Previsto]]&lt;TODAY(),TbRegistroEntradas[[#This Row],[Data do Caixa Realizado]]=""),"Vencida","Não Vencida")</f>
        <v>Não Vencida</v>
      </c>
      <c r="P11" s="156" t="str">
        <f>IF(TbRegistroEntradas[[#This Row],[Data da Competência]]=TbRegistroEntradas[[#This Row],[Data do Caixa Previsto]],"Vista","Prazo")</f>
        <v>Prazo</v>
      </c>
      <c r="Q1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" spans="2:17" ht="20.100000000000001" customHeight="1" x14ac:dyDescent="0.25">
      <c r="B12" s="154">
        <v>43015</v>
      </c>
      <c r="C12" s="154">
        <v>42984</v>
      </c>
      <c r="D12" s="154">
        <v>43015</v>
      </c>
      <c r="E12" s="50" t="s">
        <v>24</v>
      </c>
      <c r="F12" s="50" t="s">
        <v>33</v>
      </c>
      <c r="G12" s="50" t="s">
        <v>66</v>
      </c>
      <c r="H12" s="155">
        <v>3761</v>
      </c>
      <c r="I12" s="50">
        <f>IF(TbRegistroEntradas[[#This Row],[Data do Caixa Realizado]]="",0,MONTH(TbRegistroEntradas[[#This Row],[Data do Caixa Realizado]]))</f>
        <v>10</v>
      </c>
      <c r="J12" s="50">
        <f>IF(TbRegistroEntradas[[#This Row],[Data do Caixa Realizado]]="",0,YEAR(TbRegistroEntradas[[#This Row],[Data do Caixa Realizado]]))</f>
        <v>2017</v>
      </c>
      <c r="K12" s="50">
        <f>IF(TbRegistroEntradas[[#This Row],[Data da Competência]]="",0,MONTH(TbRegistroEntradas[[#This Row],[Data da Competência]]))</f>
        <v>9</v>
      </c>
      <c r="L12" s="50">
        <f>IF(TbRegistroEntradas[[#This Row],[Data da Competência]]="",0,YEAR(TbRegistroEntradas[[#This Row],[Data da Competência]]))</f>
        <v>2017</v>
      </c>
      <c r="M12" s="156">
        <f>IF(TbRegistroEntradas[[#This Row],[Data do Caixa Previsto]]="",0,MONTH(TbRegistroEntradas[[#This Row],[Data do Caixa Previsto]]))</f>
        <v>10</v>
      </c>
      <c r="N12" s="156">
        <f>IF(TbRegistroEntradas[[#This Row],[Data do Caixa Previsto]]="",0,YEAR(TbRegistroEntradas[[#This Row],[Data do Caixa Previsto]]))</f>
        <v>2017</v>
      </c>
      <c r="O12" s="156" t="str">
        <f ca="1">IF(AND(TbRegistroEntradas[[#This Row],[Data do Caixa Previsto]]&lt;TODAY(),TbRegistroEntradas[[#This Row],[Data do Caixa Realizado]]=""),"Vencida","Não Vencida")</f>
        <v>Não Vencida</v>
      </c>
      <c r="P12" s="156" t="str">
        <f>IF(TbRegistroEntradas[[#This Row],[Data da Competência]]=TbRegistroEntradas[[#This Row],[Data do Caixa Previsto]],"Vista","Prazo")</f>
        <v>Prazo</v>
      </c>
      <c r="Q1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" spans="2:17" ht="20.100000000000001" customHeight="1" x14ac:dyDescent="0.25">
      <c r="B13" s="154" t="s">
        <v>67</v>
      </c>
      <c r="C13" s="154">
        <v>42988</v>
      </c>
      <c r="D13" s="154">
        <v>43013</v>
      </c>
      <c r="E13" s="50" t="s">
        <v>24</v>
      </c>
      <c r="F13" s="50" t="s">
        <v>33</v>
      </c>
      <c r="G13" s="50" t="s">
        <v>68</v>
      </c>
      <c r="H13" s="155">
        <v>4983</v>
      </c>
      <c r="I13" s="50">
        <f>IF(TbRegistroEntradas[[#This Row],[Data do Caixa Realizado]]="",0,MONTH(TbRegistroEntradas[[#This Row],[Data do Caixa Realizado]]))</f>
        <v>0</v>
      </c>
      <c r="J13" s="50">
        <f>IF(TbRegistroEntradas[[#This Row],[Data do Caixa Realizado]]="",0,YEAR(TbRegistroEntradas[[#This Row],[Data do Caixa Realizado]]))</f>
        <v>0</v>
      </c>
      <c r="K13" s="50">
        <f>IF(TbRegistroEntradas[[#This Row],[Data da Competência]]="",0,MONTH(TbRegistroEntradas[[#This Row],[Data da Competência]]))</f>
        <v>9</v>
      </c>
      <c r="L13" s="50">
        <f>IF(TbRegistroEntradas[[#This Row],[Data da Competência]]="",0,YEAR(TbRegistroEntradas[[#This Row],[Data da Competência]]))</f>
        <v>2017</v>
      </c>
      <c r="M13" s="156">
        <f>IF(TbRegistroEntradas[[#This Row],[Data do Caixa Previsto]]="",0,MONTH(TbRegistroEntradas[[#This Row],[Data do Caixa Previsto]]))</f>
        <v>10</v>
      </c>
      <c r="N13" s="156">
        <f>IF(TbRegistroEntradas[[#This Row],[Data do Caixa Previsto]]="",0,YEAR(TbRegistroEntradas[[#This Row],[Data do Caixa Previsto]]))</f>
        <v>2017</v>
      </c>
      <c r="O13" s="156" t="str">
        <f ca="1">IF(AND(TbRegistroEntradas[[#This Row],[Data do Caixa Previsto]]&lt;TODAY(),TbRegistroEntradas[[#This Row],[Data do Caixa Realizado]]=""),"Vencida","Não Vencida")</f>
        <v>Vencida</v>
      </c>
      <c r="P13" s="156" t="str">
        <f>IF(TbRegistroEntradas[[#This Row],[Data da Competência]]=TbRegistroEntradas[[#This Row],[Data do Caixa Previsto]],"Vista","Prazo")</f>
        <v>Prazo</v>
      </c>
      <c r="Q1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933</v>
      </c>
    </row>
    <row r="14" spans="2:17" ht="20.100000000000001" customHeight="1" x14ac:dyDescent="0.25">
      <c r="B14" s="154">
        <v>42997</v>
      </c>
      <c r="C14" s="154">
        <v>42990</v>
      </c>
      <c r="D14" s="154">
        <v>42997</v>
      </c>
      <c r="E14" s="50" t="s">
        <v>24</v>
      </c>
      <c r="F14" s="50" t="s">
        <v>30</v>
      </c>
      <c r="G14" s="50" t="s">
        <v>69</v>
      </c>
      <c r="H14" s="155">
        <v>2502</v>
      </c>
      <c r="I14" s="50">
        <f>IF(TbRegistroEntradas[[#This Row],[Data do Caixa Realizado]]="",0,MONTH(TbRegistroEntradas[[#This Row],[Data do Caixa Realizado]]))</f>
        <v>9</v>
      </c>
      <c r="J14" s="50">
        <f>IF(TbRegistroEntradas[[#This Row],[Data do Caixa Realizado]]="",0,YEAR(TbRegistroEntradas[[#This Row],[Data do Caixa Realizado]]))</f>
        <v>2017</v>
      </c>
      <c r="K14" s="50">
        <f>IF(TbRegistroEntradas[[#This Row],[Data da Competência]]="",0,MONTH(TbRegistroEntradas[[#This Row],[Data da Competência]]))</f>
        <v>9</v>
      </c>
      <c r="L14" s="50">
        <f>IF(TbRegistroEntradas[[#This Row],[Data da Competência]]="",0,YEAR(TbRegistroEntradas[[#This Row],[Data da Competência]]))</f>
        <v>2017</v>
      </c>
      <c r="M14" s="156">
        <f>IF(TbRegistroEntradas[[#This Row],[Data do Caixa Previsto]]="",0,MONTH(TbRegistroEntradas[[#This Row],[Data do Caixa Previsto]]))</f>
        <v>9</v>
      </c>
      <c r="N14" s="156">
        <f>IF(TbRegistroEntradas[[#This Row],[Data do Caixa Previsto]]="",0,YEAR(TbRegistroEntradas[[#This Row],[Data do Caixa Previsto]]))</f>
        <v>2017</v>
      </c>
      <c r="O14" s="156" t="str">
        <f ca="1">IF(AND(TbRegistroEntradas[[#This Row],[Data do Caixa Previsto]]&lt;TODAY(),TbRegistroEntradas[[#This Row],[Data do Caixa Realizado]]=""),"Vencida","Não Vencida")</f>
        <v>Não Vencida</v>
      </c>
      <c r="P14" s="156" t="str">
        <f>IF(TbRegistroEntradas[[#This Row],[Data da Competência]]=TbRegistroEntradas[[#This Row],[Data do Caixa Previsto]],"Vista","Prazo")</f>
        <v>Prazo</v>
      </c>
      <c r="Q1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" spans="2:17" ht="20.100000000000001" customHeight="1" x14ac:dyDescent="0.25">
      <c r="B15" s="154">
        <v>43002</v>
      </c>
      <c r="C15" s="154">
        <v>42994</v>
      </c>
      <c r="D15" s="154">
        <v>43002</v>
      </c>
      <c r="E15" s="50" t="s">
        <v>24</v>
      </c>
      <c r="F15" s="50" t="s">
        <v>33</v>
      </c>
      <c r="G15" s="50" t="s">
        <v>70</v>
      </c>
      <c r="H15" s="155">
        <v>2337</v>
      </c>
      <c r="I15" s="50">
        <f>IF(TbRegistroEntradas[[#This Row],[Data do Caixa Realizado]]="",0,MONTH(TbRegistroEntradas[[#This Row],[Data do Caixa Realizado]]))</f>
        <v>9</v>
      </c>
      <c r="J15" s="50">
        <f>IF(TbRegistroEntradas[[#This Row],[Data do Caixa Realizado]]="",0,YEAR(TbRegistroEntradas[[#This Row],[Data do Caixa Realizado]]))</f>
        <v>2017</v>
      </c>
      <c r="K15" s="50">
        <f>IF(TbRegistroEntradas[[#This Row],[Data da Competência]]="",0,MONTH(TbRegistroEntradas[[#This Row],[Data da Competência]]))</f>
        <v>9</v>
      </c>
      <c r="L15" s="50">
        <f>IF(TbRegistroEntradas[[#This Row],[Data da Competência]]="",0,YEAR(TbRegistroEntradas[[#This Row],[Data da Competência]]))</f>
        <v>2017</v>
      </c>
      <c r="M15" s="156">
        <f>IF(TbRegistroEntradas[[#This Row],[Data do Caixa Previsto]]="",0,MONTH(TbRegistroEntradas[[#This Row],[Data do Caixa Previsto]]))</f>
        <v>9</v>
      </c>
      <c r="N15" s="156">
        <f>IF(TbRegistroEntradas[[#This Row],[Data do Caixa Previsto]]="",0,YEAR(TbRegistroEntradas[[#This Row],[Data do Caixa Previsto]]))</f>
        <v>2017</v>
      </c>
      <c r="O15" s="156" t="str">
        <f ca="1">IF(AND(TbRegistroEntradas[[#This Row],[Data do Caixa Previsto]]&lt;TODAY(),TbRegistroEntradas[[#This Row],[Data do Caixa Realizado]]=""),"Vencida","Não Vencida")</f>
        <v>Não Vencida</v>
      </c>
      <c r="P15" s="156" t="str">
        <f>IF(TbRegistroEntradas[[#This Row],[Data da Competência]]=TbRegistroEntradas[[#This Row],[Data do Caixa Previsto]],"Vista","Prazo")</f>
        <v>Prazo</v>
      </c>
      <c r="Q1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" spans="2:17" ht="20.100000000000001" customHeight="1" x14ac:dyDescent="0.25">
      <c r="B16" s="154">
        <v>43001</v>
      </c>
      <c r="C16" s="154">
        <v>43001</v>
      </c>
      <c r="D16" s="154">
        <v>43001</v>
      </c>
      <c r="E16" s="50" t="s">
        <v>24</v>
      </c>
      <c r="F16" s="50" t="s">
        <v>32</v>
      </c>
      <c r="G16" s="50" t="s">
        <v>71</v>
      </c>
      <c r="H16" s="155">
        <v>3125</v>
      </c>
      <c r="I16" s="50">
        <f>IF(TbRegistroEntradas[[#This Row],[Data do Caixa Realizado]]="",0,MONTH(TbRegistroEntradas[[#This Row],[Data do Caixa Realizado]]))</f>
        <v>9</v>
      </c>
      <c r="J16" s="50">
        <f>IF(TbRegistroEntradas[[#This Row],[Data do Caixa Realizado]]="",0,YEAR(TbRegistroEntradas[[#This Row],[Data do Caixa Realizado]]))</f>
        <v>2017</v>
      </c>
      <c r="K16" s="50">
        <f>IF(TbRegistroEntradas[[#This Row],[Data da Competência]]="",0,MONTH(TbRegistroEntradas[[#This Row],[Data da Competência]]))</f>
        <v>9</v>
      </c>
      <c r="L16" s="50">
        <f>IF(TbRegistroEntradas[[#This Row],[Data da Competência]]="",0,YEAR(TbRegistroEntradas[[#This Row],[Data da Competência]]))</f>
        <v>2017</v>
      </c>
      <c r="M16" s="156">
        <f>IF(TbRegistroEntradas[[#This Row],[Data do Caixa Previsto]]="",0,MONTH(TbRegistroEntradas[[#This Row],[Data do Caixa Previsto]]))</f>
        <v>9</v>
      </c>
      <c r="N16" s="156">
        <f>IF(TbRegistroEntradas[[#This Row],[Data do Caixa Previsto]]="",0,YEAR(TbRegistroEntradas[[#This Row],[Data do Caixa Previsto]]))</f>
        <v>2017</v>
      </c>
      <c r="O16" s="156" t="str">
        <f ca="1">IF(AND(TbRegistroEntradas[[#This Row],[Data do Caixa Previsto]]&lt;TODAY(),TbRegistroEntradas[[#This Row],[Data do Caixa Realizado]]=""),"Vencida","Não Vencida")</f>
        <v>Não Vencida</v>
      </c>
      <c r="P16" s="156" t="str">
        <f>IF(TbRegistroEntradas[[#This Row],[Data da Competência]]=TbRegistroEntradas[[#This Row],[Data do Caixa Previsto]],"Vista","Prazo")</f>
        <v>Vista</v>
      </c>
      <c r="Q1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" spans="2:17" ht="20.100000000000001" customHeight="1" x14ac:dyDescent="0.25">
      <c r="B17" s="154">
        <v>43056</v>
      </c>
      <c r="C17" s="154">
        <v>43004</v>
      </c>
      <c r="D17" s="154">
        <v>43056</v>
      </c>
      <c r="E17" s="50" t="s">
        <v>24</v>
      </c>
      <c r="F17" s="50" t="s">
        <v>33</v>
      </c>
      <c r="G17" s="50" t="s">
        <v>72</v>
      </c>
      <c r="H17" s="155">
        <v>1201</v>
      </c>
      <c r="I17" s="50">
        <f>IF(TbRegistroEntradas[[#This Row],[Data do Caixa Realizado]]="",0,MONTH(TbRegistroEntradas[[#This Row],[Data do Caixa Realizado]]))</f>
        <v>11</v>
      </c>
      <c r="J17" s="50">
        <f>IF(TbRegistroEntradas[[#This Row],[Data do Caixa Realizado]]="",0,YEAR(TbRegistroEntradas[[#This Row],[Data do Caixa Realizado]]))</f>
        <v>2017</v>
      </c>
      <c r="K17" s="50">
        <f>IF(TbRegistroEntradas[[#This Row],[Data da Competência]]="",0,MONTH(TbRegistroEntradas[[#This Row],[Data da Competência]]))</f>
        <v>9</v>
      </c>
      <c r="L17" s="50">
        <f>IF(TbRegistroEntradas[[#This Row],[Data da Competência]]="",0,YEAR(TbRegistroEntradas[[#This Row],[Data da Competência]]))</f>
        <v>2017</v>
      </c>
      <c r="M17" s="156">
        <f>IF(TbRegistroEntradas[[#This Row],[Data do Caixa Previsto]]="",0,MONTH(TbRegistroEntradas[[#This Row],[Data do Caixa Previsto]]))</f>
        <v>11</v>
      </c>
      <c r="N17" s="156">
        <f>IF(TbRegistroEntradas[[#This Row],[Data do Caixa Previsto]]="",0,YEAR(TbRegistroEntradas[[#This Row],[Data do Caixa Previsto]]))</f>
        <v>2017</v>
      </c>
      <c r="O17" s="156" t="str">
        <f ca="1">IF(AND(TbRegistroEntradas[[#This Row],[Data do Caixa Previsto]]&lt;TODAY(),TbRegistroEntradas[[#This Row],[Data do Caixa Realizado]]=""),"Vencida","Não Vencida")</f>
        <v>Não Vencida</v>
      </c>
      <c r="P17" s="156" t="str">
        <f>IF(TbRegistroEntradas[[#This Row],[Data da Competência]]=TbRegistroEntradas[[#This Row],[Data do Caixa Previsto]],"Vista","Prazo")</f>
        <v>Prazo</v>
      </c>
      <c r="Q1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" spans="2:17" x14ac:dyDescent="0.25">
      <c r="B18" s="154">
        <v>43018</v>
      </c>
      <c r="C18" s="154">
        <v>43005</v>
      </c>
      <c r="D18" s="154">
        <v>43018</v>
      </c>
      <c r="E18" s="50" t="s">
        <v>24</v>
      </c>
      <c r="F18" s="50" t="s">
        <v>31</v>
      </c>
      <c r="G18" s="50" t="s">
        <v>73</v>
      </c>
      <c r="H18" s="155">
        <v>4380</v>
      </c>
      <c r="I18" s="50">
        <f>IF(TbRegistroEntradas[[#This Row],[Data do Caixa Realizado]]="",0,MONTH(TbRegistroEntradas[[#This Row],[Data do Caixa Realizado]]))</f>
        <v>10</v>
      </c>
      <c r="J18" s="50">
        <f>IF(TbRegistroEntradas[[#This Row],[Data do Caixa Realizado]]="",0,YEAR(TbRegistroEntradas[[#This Row],[Data do Caixa Realizado]]))</f>
        <v>2017</v>
      </c>
      <c r="K18" s="50">
        <f>IF(TbRegistroEntradas[[#This Row],[Data da Competência]]="",0,MONTH(TbRegistroEntradas[[#This Row],[Data da Competência]]))</f>
        <v>9</v>
      </c>
      <c r="L18" s="50">
        <f>IF(TbRegistroEntradas[[#This Row],[Data da Competência]]="",0,YEAR(TbRegistroEntradas[[#This Row],[Data da Competência]]))</f>
        <v>2017</v>
      </c>
      <c r="M18" s="156">
        <f>IF(TbRegistroEntradas[[#This Row],[Data do Caixa Previsto]]="",0,MONTH(TbRegistroEntradas[[#This Row],[Data do Caixa Previsto]]))</f>
        <v>10</v>
      </c>
      <c r="N18" s="156">
        <f>IF(TbRegistroEntradas[[#This Row],[Data do Caixa Previsto]]="",0,YEAR(TbRegistroEntradas[[#This Row],[Data do Caixa Previsto]]))</f>
        <v>2017</v>
      </c>
      <c r="O18" s="156" t="str">
        <f ca="1">IF(AND(TbRegistroEntradas[[#This Row],[Data do Caixa Previsto]]&lt;TODAY(),TbRegistroEntradas[[#This Row],[Data do Caixa Realizado]]=""),"Vencida","Não Vencida")</f>
        <v>Não Vencida</v>
      </c>
      <c r="P18" s="156" t="str">
        <f>IF(TbRegistroEntradas[[#This Row],[Data da Competência]]=TbRegistroEntradas[[#This Row],[Data do Caixa Previsto]],"Vista","Prazo")</f>
        <v>Prazo</v>
      </c>
      <c r="Q1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" spans="2:17" x14ac:dyDescent="0.25">
      <c r="B19" s="154">
        <v>43019</v>
      </c>
      <c r="C19" s="154">
        <v>43008</v>
      </c>
      <c r="D19" s="154">
        <v>43019</v>
      </c>
      <c r="E19" s="50" t="s">
        <v>24</v>
      </c>
      <c r="F19" s="50" t="s">
        <v>32</v>
      </c>
      <c r="G19" s="50" t="s">
        <v>74</v>
      </c>
      <c r="H19" s="155">
        <v>919</v>
      </c>
      <c r="I19" s="50">
        <f>IF(TbRegistroEntradas[[#This Row],[Data do Caixa Realizado]]="",0,MONTH(TbRegistroEntradas[[#This Row],[Data do Caixa Realizado]]))</f>
        <v>10</v>
      </c>
      <c r="J19" s="50">
        <f>IF(TbRegistroEntradas[[#This Row],[Data do Caixa Realizado]]="",0,YEAR(TbRegistroEntradas[[#This Row],[Data do Caixa Realizado]]))</f>
        <v>2017</v>
      </c>
      <c r="K19" s="50">
        <f>IF(TbRegistroEntradas[[#This Row],[Data da Competência]]="",0,MONTH(TbRegistroEntradas[[#This Row],[Data da Competência]]))</f>
        <v>9</v>
      </c>
      <c r="L19" s="50">
        <f>IF(TbRegistroEntradas[[#This Row],[Data da Competência]]="",0,YEAR(TbRegistroEntradas[[#This Row],[Data da Competência]]))</f>
        <v>2017</v>
      </c>
      <c r="M19" s="156">
        <f>IF(TbRegistroEntradas[[#This Row],[Data do Caixa Previsto]]="",0,MONTH(TbRegistroEntradas[[#This Row],[Data do Caixa Previsto]]))</f>
        <v>10</v>
      </c>
      <c r="N19" s="156">
        <f>IF(TbRegistroEntradas[[#This Row],[Data do Caixa Previsto]]="",0,YEAR(TbRegistroEntradas[[#This Row],[Data do Caixa Previsto]]))</f>
        <v>2017</v>
      </c>
      <c r="O19" s="156" t="str">
        <f ca="1">IF(AND(TbRegistroEntradas[[#This Row],[Data do Caixa Previsto]]&lt;TODAY(),TbRegistroEntradas[[#This Row],[Data do Caixa Realizado]]=""),"Vencida","Não Vencida")</f>
        <v>Não Vencida</v>
      </c>
      <c r="P19" s="156" t="str">
        <f>IF(TbRegistroEntradas[[#This Row],[Data da Competência]]=TbRegistroEntradas[[#This Row],[Data do Caixa Previsto]],"Vista","Prazo")</f>
        <v>Prazo</v>
      </c>
      <c r="Q1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" spans="2:17" x14ac:dyDescent="0.25">
      <c r="B20" s="154">
        <v>43076</v>
      </c>
      <c r="C20" s="154">
        <v>43012</v>
      </c>
      <c r="D20" s="154">
        <v>43025</v>
      </c>
      <c r="E20" s="50" t="s">
        <v>24</v>
      </c>
      <c r="F20" s="50" t="s">
        <v>34</v>
      </c>
      <c r="G20" s="50" t="s">
        <v>75</v>
      </c>
      <c r="H20" s="155">
        <v>4590</v>
      </c>
      <c r="I20" s="50">
        <f>IF(TbRegistroEntradas[[#This Row],[Data do Caixa Realizado]]="",0,MONTH(TbRegistroEntradas[[#This Row],[Data do Caixa Realizado]]))</f>
        <v>12</v>
      </c>
      <c r="J20" s="50">
        <f>IF(TbRegistroEntradas[[#This Row],[Data do Caixa Realizado]]="",0,YEAR(TbRegistroEntradas[[#This Row],[Data do Caixa Realizado]]))</f>
        <v>2017</v>
      </c>
      <c r="K20" s="50">
        <f>IF(TbRegistroEntradas[[#This Row],[Data da Competência]]="",0,MONTH(TbRegistroEntradas[[#This Row],[Data da Competência]]))</f>
        <v>10</v>
      </c>
      <c r="L20" s="50">
        <f>IF(TbRegistroEntradas[[#This Row],[Data da Competência]]="",0,YEAR(TbRegistroEntradas[[#This Row],[Data da Competência]]))</f>
        <v>2017</v>
      </c>
      <c r="M20" s="156">
        <f>IF(TbRegistroEntradas[[#This Row],[Data do Caixa Previsto]]="",0,MONTH(TbRegistroEntradas[[#This Row],[Data do Caixa Previsto]]))</f>
        <v>10</v>
      </c>
      <c r="N20" s="156">
        <f>IF(TbRegistroEntradas[[#This Row],[Data do Caixa Previsto]]="",0,YEAR(TbRegistroEntradas[[#This Row],[Data do Caixa Previsto]]))</f>
        <v>2017</v>
      </c>
      <c r="O20" s="156" t="str">
        <f ca="1">IF(AND(TbRegistroEntradas[[#This Row],[Data do Caixa Previsto]]&lt;TODAY(),TbRegistroEntradas[[#This Row],[Data do Caixa Realizado]]=""),"Vencida","Não Vencida")</f>
        <v>Não Vencida</v>
      </c>
      <c r="P20" s="156" t="str">
        <f>IF(TbRegistroEntradas[[#This Row],[Data da Competência]]=TbRegistroEntradas[[#This Row],[Data do Caixa Previsto]],"Vista","Prazo")</f>
        <v>Prazo</v>
      </c>
      <c r="Q2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21" spans="2:17" x14ac:dyDescent="0.25">
      <c r="B21" s="154">
        <v>43052</v>
      </c>
      <c r="C21" s="154">
        <v>43015</v>
      </c>
      <c r="D21" s="154">
        <v>43052</v>
      </c>
      <c r="E21" s="50" t="s">
        <v>24</v>
      </c>
      <c r="F21" s="50" t="s">
        <v>30</v>
      </c>
      <c r="G21" s="50" t="s">
        <v>76</v>
      </c>
      <c r="H21" s="155">
        <v>1958</v>
      </c>
      <c r="I21" s="50">
        <f>IF(TbRegistroEntradas[[#This Row],[Data do Caixa Realizado]]="",0,MONTH(TbRegistroEntradas[[#This Row],[Data do Caixa Realizado]]))</f>
        <v>11</v>
      </c>
      <c r="J21" s="50">
        <f>IF(TbRegistroEntradas[[#This Row],[Data do Caixa Realizado]]="",0,YEAR(TbRegistroEntradas[[#This Row],[Data do Caixa Realizado]]))</f>
        <v>2017</v>
      </c>
      <c r="K21" s="50">
        <f>IF(TbRegistroEntradas[[#This Row],[Data da Competência]]="",0,MONTH(TbRegistroEntradas[[#This Row],[Data da Competência]]))</f>
        <v>10</v>
      </c>
      <c r="L21" s="50">
        <f>IF(TbRegistroEntradas[[#This Row],[Data da Competência]]="",0,YEAR(TbRegistroEntradas[[#This Row],[Data da Competência]]))</f>
        <v>2017</v>
      </c>
      <c r="M21" s="156">
        <f>IF(TbRegistroEntradas[[#This Row],[Data do Caixa Previsto]]="",0,MONTH(TbRegistroEntradas[[#This Row],[Data do Caixa Previsto]]))</f>
        <v>11</v>
      </c>
      <c r="N21" s="156">
        <f>IF(TbRegistroEntradas[[#This Row],[Data do Caixa Previsto]]="",0,YEAR(TbRegistroEntradas[[#This Row],[Data do Caixa Previsto]]))</f>
        <v>2017</v>
      </c>
      <c r="O21" s="156" t="str">
        <f ca="1">IF(AND(TbRegistroEntradas[[#This Row],[Data do Caixa Previsto]]&lt;TODAY(),TbRegistroEntradas[[#This Row],[Data do Caixa Realizado]]=""),"Vencida","Não Vencida")</f>
        <v>Não Vencida</v>
      </c>
      <c r="P21" s="156" t="str">
        <f>IF(TbRegistroEntradas[[#This Row],[Data da Competência]]=TbRegistroEntradas[[#This Row],[Data do Caixa Previsto]],"Vista","Prazo")</f>
        <v>Prazo</v>
      </c>
      <c r="Q2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" spans="2:17" x14ac:dyDescent="0.25">
      <c r="B22" s="154">
        <v>43043</v>
      </c>
      <c r="C22" s="154">
        <v>43017</v>
      </c>
      <c r="D22" s="154">
        <v>43043</v>
      </c>
      <c r="E22" s="50" t="s">
        <v>24</v>
      </c>
      <c r="F22" s="50" t="s">
        <v>31</v>
      </c>
      <c r="G22" s="50" t="s">
        <v>77</v>
      </c>
      <c r="H22" s="155">
        <v>1171</v>
      </c>
      <c r="I22" s="50">
        <f>IF(TbRegistroEntradas[[#This Row],[Data do Caixa Realizado]]="",0,MONTH(TbRegistroEntradas[[#This Row],[Data do Caixa Realizado]]))</f>
        <v>11</v>
      </c>
      <c r="J22" s="50">
        <f>IF(TbRegistroEntradas[[#This Row],[Data do Caixa Realizado]]="",0,YEAR(TbRegistroEntradas[[#This Row],[Data do Caixa Realizado]]))</f>
        <v>2017</v>
      </c>
      <c r="K22" s="50">
        <f>IF(TbRegistroEntradas[[#This Row],[Data da Competência]]="",0,MONTH(TbRegistroEntradas[[#This Row],[Data da Competência]]))</f>
        <v>10</v>
      </c>
      <c r="L22" s="50">
        <f>IF(TbRegistroEntradas[[#This Row],[Data da Competência]]="",0,YEAR(TbRegistroEntradas[[#This Row],[Data da Competência]]))</f>
        <v>2017</v>
      </c>
      <c r="M22" s="156">
        <f>IF(TbRegistroEntradas[[#This Row],[Data do Caixa Previsto]]="",0,MONTH(TbRegistroEntradas[[#This Row],[Data do Caixa Previsto]]))</f>
        <v>11</v>
      </c>
      <c r="N22" s="156">
        <f>IF(TbRegistroEntradas[[#This Row],[Data do Caixa Previsto]]="",0,YEAR(TbRegistroEntradas[[#This Row],[Data do Caixa Previsto]]))</f>
        <v>2017</v>
      </c>
      <c r="O22" s="156" t="str">
        <f ca="1">IF(AND(TbRegistroEntradas[[#This Row],[Data do Caixa Previsto]]&lt;TODAY(),TbRegistroEntradas[[#This Row],[Data do Caixa Realizado]]=""),"Vencida","Não Vencida")</f>
        <v>Não Vencida</v>
      </c>
      <c r="P22" s="156" t="str">
        <f>IF(TbRegistroEntradas[[#This Row],[Data da Competência]]=TbRegistroEntradas[[#This Row],[Data do Caixa Previsto]],"Vista","Prazo")</f>
        <v>Prazo</v>
      </c>
      <c r="Q2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" spans="2:17" x14ac:dyDescent="0.25">
      <c r="B23" s="154">
        <v>43060</v>
      </c>
      <c r="C23" s="154">
        <v>43019</v>
      </c>
      <c r="D23" s="154">
        <v>43060</v>
      </c>
      <c r="E23" s="50" t="s">
        <v>24</v>
      </c>
      <c r="F23" s="50" t="s">
        <v>33</v>
      </c>
      <c r="G23" s="50" t="s">
        <v>78</v>
      </c>
      <c r="H23" s="155">
        <v>2587</v>
      </c>
      <c r="I23" s="50">
        <f>IF(TbRegistroEntradas[[#This Row],[Data do Caixa Realizado]]="",0,MONTH(TbRegistroEntradas[[#This Row],[Data do Caixa Realizado]]))</f>
        <v>11</v>
      </c>
      <c r="J23" s="50">
        <f>IF(TbRegistroEntradas[[#This Row],[Data do Caixa Realizado]]="",0,YEAR(TbRegistroEntradas[[#This Row],[Data do Caixa Realizado]]))</f>
        <v>2017</v>
      </c>
      <c r="K23" s="50">
        <f>IF(TbRegistroEntradas[[#This Row],[Data da Competência]]="",0,MONTH(TbRegistroEntradas[[#This Row],[Data da Competência]]))</f>
        <v>10</v>
      </c>
      <c r="L23" s="50">
        <f>IF(TbRegistroEntradas[[#This Row],[Data da Competência]]="",0,YEAR(TbRegistroEntradas[[#This Row],[Data da Competência]]))</f>
        <v>2017</v>
      </c>
      <c r="M23" s="156">
        <f>IF(TbRegistroEntradas[[#This Row],[Data do Caixa Previsto]]="",0,MONTH(TbRegistroEntradas[[#This Row],[Data do Caixa Previsto]]))</f>
        <v>11</v>
      </c>
      <c r="N23" s="156">
        <f>IF(TbRegistroEntradas[[#This Row],[Data do Caixa Previsto]]="",0,YEAR(TbRegistroEntradas[[#This Row],[Data do Caixa Previsto]]))</f>
        <v>2017</v>
      </c>
      <c r="O23" s="156" t="str">
        <f ca="1">IF(AND(TbRegistroEntradas[[#This Row],[Data do Caixa Previsto]]&lt;TODAY(),TbRegistroEntradas[[#This Row],[Data do Caixa Realizado]]=""),"Vencida","Não Vencida")</f>
        <v>Não Vencida</v>
      </c>
      <c r="P23" s="156" t="str">
        <f>IF(TbRegistroEntradas[[#This Row],[Data da Competência]]=TbRegistroEntradas[[#This Row],[Data do Caixa Previsto]],"Vista","Prazo")</f>
        <v>Prazo</v>
      </c>
      <c r="Q2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4" spans="2:17" x14ac:dyDescent="0.25">
      <c r="B24" s="154" t="s">
        <v>67</v>
      </c>
      <c r="C24" s="154">
        <v>43023</v>
      </c>
      <c r="D24" s="154">
        <v>43045</v>
      </c>
      <c r="E24" s="50" t="s">
        <v>24</v>
      </c>
      <c r="F24" s="50" t="s">
        <v>33</v>
      </c>
      <c r="G24" s="50" t="s">
        <v>79</v>
      </c>
      <c r="H24" s="155">
        <v>3425</v>
      </c>
      <c r="I24" s="50">
        <f>IF(TbRegistroEntradas[[#This Row],[Data do Caixa Realizado]]="",0,MONTH(TbRegistroEntradas[[#This Row],[Data do Caixa Realizado]]))</f>
        <v>0</v>
      </c>
      <c r="J24" s="50">
        <f>IF(TbRegistroEntradas[[#This Row],[Data do Caixa Realizado]]="",0,YEAR(TbRegistroEntradas[[#This Row],[Data do Caixa Realizado]]))</f>
        <v>0</v>
      </c>
      <c r="K24" s="50">
        <f>IF(TbRegistroEntradas[[#This Row],[Data da Competência]]="",0,MONTH(TbRegistroEntradas[[#This Row],[Data da Competência]]))</f>
        <v>10</v>
      </c>
      <c r="L24" s="50">
        <f>IF(TbRegistroEntradas[[#This Row],[Data da Competência]]="",0,YEAR(TbRegistroEntradas[[#This Row],[Data da Competência]]))</f>
        <v>2017</v>
      </c>
      <c r="M24" s="156">
        <f>IF(TbRegistroEntradas[[#This Row],[Data do Caixa Previsto]]="",0,MONTH(TbRegistroEntradas[[#This Row],[Data do Caixa Previsto]]))</f>
        <v>11</v>
      </c>
      <c r="N24" s="156">
        <f>IF(TbRegistroEntradas[[#This Row],[Data do Caixa Previsto]]="",0,YEAR(TbRegistroEntradas[[#This Row],[Data do Caixa Previsto]]))</f>
        <v>2017</v>
      </c>
      <c r="O24" s="156" t="str">
        <f ca="1">IF(AND(TbRegistroEntradas[[#This Row],[Data do Caixa Previsto]]&lt;TODAY(),TbRegistroEntradas[[#This Row],[Data do Caixa Realizado]]=""),"Vencida","Não Vencida")</f>
        <v>Vencida</v>
      </c>
      <c r="P24" s="156" t="str">
        <f>IF(TbRegistroEntradas[[#This Row],[Data da Competência]]=TbRegistroEntradas[[#This Row],[Data do Caixa Previsto]],"Vista","Prazo")</f>
        <v>Prazo</v>
      </c>
      <c r="Q2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901</v>
      </c>
    </row>
    <row r="25" spans="2:17" x14ac:dyDescent="0.25">
      <c r="B25" s="154">
        <v>43113</v>
      </c>
      <c r="C25" s="154">
        <v>43026</v>
      </c>
      <c r="D25" s="154">
        <v>43026</v>
      </c>
      <c r="E25" s="50" t="s">
        <v>24</v>
      </c>
      <c r="F25" s="50" t="s">
        <v>34</v>
      </c>
      <c r="G25" s="50" t="s">
        <v>80</v>
      </c>
      <c r="H25" s="155">
        <v>4454</v>
      </c>
      <c r="I25" s="50">
        <f>IF(TbRegistroEntradas[[#This Row],[Data do Caixa Realizado]]="",0,MONTH(TbRegistroEntradas[[#This Row],[Data do Caixa Realizado]]))</f>
        <v>1</v>
      </c>
      <c r="J25" s="50">
        <f>IF(TbRegistroEntradas[[#This Row],[Data do Caixa Realizado]]="",0,YEAR(TbRegistroEntradas[[#This Row],[Data do Caixa Realizado]]))</f>
        <v>2018</v>
      </c>
      <c r="K25" s="50">
        <f>IF(TbRegistroEntradas[[#This Row],[Data da Competência]]="",0,MONTH(TbRegistroEntradas[[#This Row],[Data da Competência]]))</f>
        <v>10</v>
      </c>
      <c r="L25" s="50">
        <f>IF(TbRegistroEntradas[[#This Row],[Data da Competência]]="",0,YEAR(TbRegistroEntradas[[#This Row],[Data da Competência]]))</f>
        <v>2017</v>
      </c>
      <c r="M25" s="156">
        <f>IF(TbRegistroEntradas[[#This Row],[Data do Caixa Previsto]]="",0,MONTH(TbRegistroEntradas[[#This Row],[Data do Caixa Previsto]]))</f>
        <v>10</v>
      </c>
      <c r="N25" s="156">
        <f>IF(TbRegistroEntradas[[#This Row],[Data do Caixa Previsto]]="",0,YEAR(TbRegistroEntradas[[#This Row],[Data do Caixa Previsto]]))</f>
        <v>2017</v>
      </c>
      <c r="O25" s="156" t="str">
        <f ca="1">IF(AND(TbRegistroEntradas[[#This Row],[Data do Caixa Previsto]]&lt;TODAY(),TbRegistroEntradas[[#This Row],[Data do Caixa Realizado]]=""),"Vencida","Não Vencida")</f>
        <v>Não Vencida</v>
      </c>
      <c r="P25" s="156" t="str">
        <f>IF(TbRegistroEntradas[[#This Row],[Data da Competência]]=TbRegistroEntradas[[#This Row],[Data do Caixa Previsto]],"Vista","Prazo")</f>
        <v>Vista</v>
      </c>
      <c r="Q2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26" spans="2:17" x14ac:dyDescent="0.25">
      <c r="B26" s="154">
        <v>43030</v>
      </c>
      <c r="C26" s="154">
        <v>43030</v>
      </c>
      <c r="D26" s="154">
        <v>43030</v>
      </c>
      <c r="E26" s="50" t="s">
        <v>24</v>
      </c>
      <c r="F26" s="50" t="s">
        <v>31</v>
      </c>
      <c r="G26" s="50" t="s">
        <v>81</v>
      </c>
      <c r="H26" s="155">
        <v>2134</v>
      </c>
      <c r="I26" s="50">
        <f>IF(TbRegistroEntradas[[#This Row],[Data do Caixa Realizado]]="",0,MONTH(TbRegistroEntradas[[#This Row],[Data do Caixa Realizado]]))</f>
        <v>10</v>
      </c>
      <c r="J26" s="50">
        <f>IF(TbRegistroEntradas[[#This Row],[Data do Caixa Realizado]]="",0,YEAR(TbRegistroEntradas[[#This Row],[Data do Caixa Realizado]]))</f>
        <v>2017</v>
      </c>
      <c r="K26" s="50">
        <f>IF(TbRegistroEntradas[[#This Row],[Data da Competência]]="",0,MONTH(TbRegistroEntradas[[#This Row],[Data da Competência]]))</f>
        <v>10</v>
      </c>
      <c r="L26" s="50">
        <f>IF(TbRegistroEntradas[[#This Row],[Data da Competência]]="",0,YEAR(TbRegistroEntradas[[#This Row],[Data da Competência]]))</f>
        <v>2017</v>
      </c>
      <c r="M26" s="156">
        <f>IF(TbRegistroEntradas[[#This Row],[Data do Caixa Previsto]]="",0,MONTH(TbRegistroEntradas[[#This Row],[Data do Caixa Previsto]]))</f>
        <v>10</v>
      </c>
      <c r="N26" s="156">
        <f>IF(TbRegistroEntradas[[#This Row],[Data do Caixa Previsto]]="",0,YEAR(TbRegistroEntradas[[#This Row],[Data do Caixa Previsto]]))</f>
        <v>2017</v>
      </c>
      <c r="O26" s="156" t="str">
        <f ca="1">IF(AND(TbRegistroEntradas[[#This Row],[Data do Caixa Previsto]]&lt;TODAY(),TbRegistroEntradas[[#This Row],[Data do Caixa Realizado]]=""),"Vencida","Não Vencida")</f>
        <v>Não Vencida</v>
      </c>
      <c r="P26" s="156" t="str">
        <f>IF(TbRegistroEntradas[[#This Row],[Data da Competência]]=TbRegistroEntradas[[#This Row],[Data do Caixa Previsto]],"Vista","Prazo")</f>
        <v>Vista</v>
      </c>
      <c r="Q2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7" spans="2:17" x14ac:dyDescent="0.25">
      <c r="B27" s="154">
        <v>43032</v>
      </c>
      <c r="C27" s="154">
        <v>43032</v>
      </c>
      <c r="D27" s="154">
        <v>43032</v>
      </c>
      <c r="E27" s="50" t="s">
        <v>24</v>
      </c>
      <c r="F27" s="50" t="s">
        <v>30</v>
      </c>
      <c r="G27" s="50" t="s">
        <v>82</v>
      </c>
      <c r="H27" s="155">
        <v>257</v>
      </c>
      <c r="I27" s="50">
        <f>IF(TbRegistroEntradas[[#This Row],[Data do Caixa Realizado]]="",0,MONTH(TbRegistroEntradas[[#This Row],[Data do Caixa Realizado]]))</f>
        <v>10</v>
      </c>
      <c r="J27" s="50">
        <f>IF(TbRegistroEntradas[[#This Row],[Data do Caixa Realizado]]="",0,YEAR(TbRegistroEntradas[[#This Row],[Data do Caixa Realizado]]))</f>
        <v>2017</v>
      </c>
      <c r="K27" s="50">
        <f>IF(TbRegistroEntradas[[#This Row],[Data da Competência]]="",0,MONTH(TbRegistroEntradas[[#This Row],[Data da Competência]]))</f>
        <v>10</v>
      </c>
      <c r="L27" s="50">
        <f>IF(TbRegistroEntradas[[#This Row],[Data da Competência]]="",0,YEAR(TbRegistroEntradas[[#This Row],[Data da Competência]]))</f>
        <v>2017</v>
      </c>
      <c r="M27" s="156">
        <f>IF(TbRegistroEntradas[[#This Row],[Data do Caixa Previsto]]="",0,MONTH(TbRegistroEntradas[[#This Row],[Data do Caixa Previsto]]))</f>
        <v>10</v>
      </c>
      <c r="N27" s="156">
        <f>IF(TbRegistroEntradas[[#This Row],[Data do Caixa Previsto]]="",0,YEAR(TbRegistroEntradas[[#This Row],[Data do Caixa Previsto]]))</f>
        <v>2017</v>
      </c>
      <c r="O27" s="156" t="str">
        <f ca="1">IF(AND(TbRegistroEntradas[[#This Row],[Data do Caixa Previsto]]&lt;TODAY(),TbRegistroEntradas[[#This Row],[Data do Caixa Realizado]]=""),"Vencida","Não Vencida")</f>
        <v>Não Vencida</v>
      </c>
      <c r="P27" s="156" t="str">
        <f>IF(TbRegistroEntradas[[#This Row],[Data da Competência]]=TbRegistroEntradas[[#This Row],[Data do Caixa Previsto]],"Vista","Prazo")</f>
        <v>Vista</v>
      </c>
      <c r="Q2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8" spans="2:17" x14ac:dyDescent="0.25">
      <c r="B28" s="154">
        <v>43122</v>
      </c>
      <c r="C28" s="154">
        <v>43032</v>
      </c>
      <c r="D28" s="154">
        <v>43068</v>
      </c>
      <c r="E28" s="50" t="s">
        <v>24</v>
      </c>
      <c r="F28" s="50" t="s">
        <v>32</v>
      </c>
      <c r="G28" s="50" t="s">
        <v>83</v>
      </c>
      <c r="H28" s="155">
        <v>2019</v>
      </c>
      <c r="I28" s="50">
        <f>IF(TbRegistroEntradas[[#This Row],[Data do Caixa Realizado]]="",0,MONTH(TbRegistroEntradas[[#This Row],[Data do Caixa Realizado]]))</f>
        <v>1</v>
      </c>
      <c r="J28" s="50">
        <f>IF(TbRegistroEntradas[[#This Row],[Data do Caixa Realizado]]="",0,YEAR(TbRegistroEntradas[[#This Row],[Data do Caixa Realizado]]))</f>
        <v>2018</v>
      </c>
      <c r="K28" s="50">
        <f>IF(TbRegistroEntradas[[#This Row],[Data da Competência]]="",0,MONTH(TbRegistroEntradas[[#This Row],[Data da Competência]]))</f>
        <v>10</v>
      </c>
      <c r="L28" s="50">
        <f>IF(TbRegistroEntradas[[#This Row],[Data da Competência]]="",0,YEAR(TbRegistroEntradas[[#This Row],[Data da Competência]]))</f>
        <v>2017</v>
      </c>
      <c r="M28" s="156">
        <f>IF(TbRegistroEntradas[[#This Row],[Data do Caixa Previsto]]="",0,MONTH(TbRegistroEntradas[[#This Row],[Data do Caixa Previsto]]))</f>
        <v>11</v>
      </c>
      <c r="N28" s="156">
        <f>IF(TbRegistroEntradas[[#This Row],[Data do Caixa Previsto]]="",0,YEAR(TbRegistroEntradas[[#This Row],[Data do Caixa Previsto]]))</f>
        <v>2017</v>
      </c>
      <c r="O28" s="156" t="str">
        <f ca="1">IF(AND(TbRegistroEntradas[[#This Row],[Data do Caixa Previsto]]&lt;TODAY(),TbRegistroEntradas[[#This Row],[Data do Caixa Realizado]]=""),"Vencida","Não Vencida")</f>
        <v>Não Vencida</v>
      </c>
      <c r="P28" s="156" t="str">
        <f>IF(TbRegistroEntradas[[#This Row],[Data da Competência]]=TbRegistroEntradas[[#This Row],[Data do Caixa Previsto]],"Vista","Prazo")</f>
        <v>Prazo</v>
      </c>
      <c r="Q2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</v>
      </c>
    </row>
    <row r="29" spans="2:17" x14ac:dyDescent="0.25">
      <c r="B29" s="154">
        <v>43034</v>
      </c>
      <c r="C29" s="154">
        <v>43034</v>
      </c>
      <c r="D29" s="154">
        <v>43034</v>
      </c>
      <c r="E29" s="50" t="s">
        <v>24</v>
      </c>
      <c r="F29" s="50" t="s">
        <v>33</v>
      </c>
      <c r="G29" s="50" t="s">
        <v>84</v>
      </c>
      <c r="H29" s="155">
        <v>3696</v>
      </c>
      <c r="I29" s="50">
        <f>IF(TbRegistroEntradas[[#This Row],[Data do Caixa Realizado]]="",0,MONTH(TbRegistroEntradas[[#This Row],[Data do Caixa Realizado]]))</f>
        <v>10</v>
      </c>
      <c r="J29" s="50">
        <f>IF(TbRegistroEntradas[[#This Row],[Data do Caixa Realizado]]="",0,YEAR(TbRegistroEntradas[[#This Row],[Data do Caixa Realizado]]))</f>
        <v>2017</v>
      </c>
      <c r="K29" s="50">
        <f>IF(TbRegistroEntradas[[#This Row],[Data da Competência]]="",0,MONTH(TbRegistroEntradas[[#This Row],[Data da Competência]]))</f>
        <v>10</v>
      </c>
      <c r="L29" s="50">
        <f>IF(TbRegistroEntradas[[#This Row],[Data da Competência]]="",0,YEAR(TbRegistroEntradas[[#This Row],[Data da Competência]]))</f>
        <v>2017</v>
      </c>
      <c r="M29" s="156">
        <f>IF(TbRegistroEntradas[[#This Row],[Data do Caixa Previsto]]="",0,MONTH(TbRegistroEntradas[[#This Row],[Data do Caixa Previsto]]))</f>
        <v>10</v>
      </c>
      <c r="N29" s="156">
        <f>IF(TbRegistroEntradas[[#This Row],[Data do Caixa Previsto]]="",0,YEAR(TbRegistroEntradas[[#This Row],[Data do Caixa Previsto]]))</f>
        <v>2017</v>
      </c>
      <c r="O29" s="156" t="str">
        <f ca="1">IF(AND(TbRegistroEntradas[[#This Row],[Data do Caixa Previsto]]&lt;TODAY(),TbRegistroEntradas[[#This Row],[Data do Caixa Realizado]]=""),"Vencida","Não Vencida")</f>
        <v>Não Vencida</v>
      </c>
      <c r="P29" s="156" t="str">
        <f>IF(TbRegistroEntradas[[#This Row],[Data da Competência]]=TbRegistroEntradas[[#This Row],[Data do Caixa Previsto]],"Vista","Prazo")</f>
        <v>Vista</v>
      </c>
      <c r="Q2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0" spans="2:17" x14ac:dyDescent="0.25">
      <c r="B30" s="154">
        <v>43052</v>
      </c>
      <c r="C30" s="154">
        <v>43038</v>
      </c>
      <c r="D30" s="154">
        <v>43052</v>
      </c>
      <c r="E30" s="50" t="s">
        <v>24</v>
      </c>
      <c r="F30" s="50" t="s">
        <v>32</v>
      </c>
      <c r="G30" s="50" t="s">
        <v>85</v>
      </c>
      <c r="H30" s="155">
        <v>4446</v>
      </c>
      <c r="I30" s="50">
        <f>IF(TbRegistroEntradas[[#This Row],[Data do Caixa Realizado]]="",0,MONTH(TbRegistroEntradas[[#This Row],[Data do Caixa Realizado]]))</f>
        <v>11</v>
      </c>
      <c r="J30" s="50">
        <f>IF(TbRegistroEntradas[[#This Row],[Data do Caixa Realizado]]="",0,YEAR(TbRegistroEntradas[[#This Row],[Data do Caixa Realizado]]))</f>
        <v>2017</v>
      </c>
      <c r="K30" s="50">
        <f>IF(TbRegistroEntradas[[#This Row],[Data da Competência]]="",0,MONTH(TbRegistroEntradas[[#This Row],[Data da Competência]]))</f>
        <v>10</v>
      </c>
      <c r="L30" s="50">
        <f>IF(TbRegistroEntradas[[#This Row],[Data da Competência]]="",0,YEAR(TbRegistroEntradas[[#This Row],[Data da Competência]]))</f>
        <v>2017</v>
      </c>
      <c r="M30" s="156">
        <f>IF(TbRegistroEntradas[[#This Row],[Data do Caixa Previsto]]="",0,MONTH(TbRegistroEntradas[[#This Row],[Data do Caixa Previsto]]))</f>
        <v>11</v>
      </c>
      <c r="N30" s="156">
        <f>IF(TbRegistroEntradas[[#This Row],[Data do Caixa Previsto]]="",0,YEAR(TbRegistroEntradas[[#This Row],[Data do Caixa Previsto]]))</f>
        <v>2017</v>
      </c>
      <c r="O30" s="156" t="str">
        <f ca="1">IF(AND(TbRegistroEntradas[[#This Row],[Data do Caixa Previsto]]&lt;TODAY(),TbRegistroEntradas[[#This Row],[Data do Caixa Realizado]]=""),"Vencida","Não Vencida")</f>
        <v>Não Vencida</v>
      </c>
      <c r="P30" s="156" t="str">
        <f>IF(TbRegistroEntradas[[#This Row],[Data da Competência]]=TbRegistroEntradas[[#This Row],[Data do Caixa Previsto]],"Vista","Prazo")</f>
        <v>Prazo</v>
      </c>
      <c r="Q3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1" spans="2:17" x14ac:dyDescent="0.25">
      <c r="B31" s="154" t="s">
        <v>67</v>
      </c>
      <c r="C31" s="154">
        <v>43040</v>
      </c>
      <c r="D31" s="154">
        <v>43057</v>
      </c>
      <c r="E31" s="50" t="s">
        <v>24</v>
      </c>
      <c r="F31" s="50" t="s">
        <v>32</v>
      </c>
      <c r="G31" s="50" t="s">
        <v>86</v>
      </c>
      <c r="H31" s="155">
        <v>1445</v>
      </c>
      <c r="I31" s="50">
        <f>IF(TbRegistroEntradas[[#This Row],[Data do Caixa Realizado]]="",0,MONTH(TbRegistroEntradas[[#This Row],[Data do Caixa Realizado]]))</f>
        <v>0</v>
      </c>
      <c r="J31" s="50">
        <f>IF(TbRegistroEntradas[[#This Row],[Data do Caixa Realizado]]="",0,YEAR(TbRegistroEntradas[[#This Row],[Data do Caixa Realizado]]))</f>
        <v>0</v>
      </c>
      <c r="K31" s="50">
        <f>IF(TbRegistroEntradas[[#This Row],[Data da Competência]]="",0,MONTH(TbRegistroEntradas[[#This Row],[Data da Competência]]))</f>
        <v>11</v>
      </c>
      <c r="L31" s="50">
        <f>IF(TbRegistroEntradas[[#This Row],[Data da Competência]]="",0,YEAR(TbRegistroEntradas[[#This Row],[Data da Competência]]))</f>
        <v>2017</v>
      </c>
      <c r="M31" s="156">
        <f>IF(TbRegistroEntradas[[#This Row],[Data do Caixa Previsto]]="",0,MONTH(TbRegistroEntradas[[#This Row],[Data do Caixa Previsto]]))</f>
        <v>11</v>
      </c>
      <c r="N31" s="156">
        <f>IF(TbRegistroEntradas[[#This Row],[Data do Caixa Previsto]]="",0,YEAR(TbRegistroEntradas[[#This Row],[Data do Caixa Previsto]]))</f>
        <v>2017</v>
      </c>
      <c r="O31" s="156" t="str">
        <f ca="1">IF(AND(TbRegistroEntradas[[#This Row],[Data do Caixa Previsto]]&lt;TODAY(),TbRegistroEntradas[[#This Row],[Data do Caixa Realizado]]=""),"Vencida","Não Vencida")</f>
        <v>Vencida</v>
      </c>
      <c r="P31" s="156" t="str">
        <f>IF(TbRegistroEntradas[[#This Row],[Data da Competência]]=TbRegistroEntradas[[#This Row],[Data do Caixa Previsto]],"Vista","Prazo")</f>
        <v>Prazo</v>
      </c>
      <c r="Q3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889</v>
      </c>
    </row>
    <row r="32" spans="2:17" x14ac:dyDescent="0.25">
      <c r="B32" s="154">
        <v>43117</v>
      </c>
      <c r="C32" s="154">
        <v>43043</v>
      </c>
      <c r="D32" s="154">
        <v>43068</v>
      </c>
      <c r="E32" s="50" t="s">
        <v>24</v>
      </c>
      <c r="F32" s="50" t="s">
        <v>31</v>
      </c>
      <c r="G32" s="50" t="s">
        <v>87</v>
      </c>
      <c r="H32" s="155">
        <v>3559</v>
      </c>
      <c r="I32" s="50">
        <f>IF(TbRegistroEntradas[[#This Row],[Data do Caixa Realizado]]="",0,MONTH(TbRegistroEntradas[[#This Row],[Data do Caixa Realizado]]))</f>
        <v>1</v>
      </c>
      <c r="J32" s="50">
        <f>IF(TbRegistroEntradas[[#This Row],[Data do Caixa Realizado]]="",0,YEAR(TbRegistroEntradas[[#This Row],[Data do Caixa Realizado]]))</f>
        <v>2018</v>
      </c>
      <c r="K32" s="50">
        <f>IF(TbRegistroEntradas[[#This Row],[Data da Competência]]="",0,MONTH(TbRegistroEntradas[[#This Row],[Data da Competência]]))</f>
        <v>11</v>
      </c>
      <c r="L32" s="50">
        <f>IF(TbRegistroEntradas[[#This Row],[Data da Competência]]="",0,YEAR(TbRegistroEntradas[[#This Row],[Data da Competência]]))</f>
        <v>2017</v>
      </c>
      <c r="M32" s="156">
        <f>IF(TbRegistroEntradas[[#This Row],[Data do Caixa Previsto]]="",0,MONTH(TbRegistroEntradas[[#This Row],[Data do Caixa Previsto]]))</f>
        <v>11</v>
      </c>
      <c r="N32" s="156">
        <f>IF(TbRegistroEntradas[[#This Row],[Data do Caixa Previsto]]="",0,YEAR(TbRegistroEntradas[[#This Row],[Data do Caixa Previsto]]))</f>
        <v>2017</v>
      </c>
      <c r="O32" s="156" t="str">
        <f ca="1">IF(AND(TbRegistroEntradas[[#This Row],[Data do Caixa Previsto]]&lt;TODAY(),TbRegistroEntradas[[#This Row],[Data do Caixa Realizado]]=""),"Vencida","Não Vencida")</f>
        <v>Não Vencida</v>
      </c>
      <c r="P32" s="156" t="str">
        <f>IF(TbRegistroEntradas[[#This Row],[Data da Competência]]=TbRegistroEntradas[[#This Row],[Data do Caixa Previsto]],"Vista","Prazo")</f>
        <v>Prazo</v>
      </c>
      <c r="Q3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49</v>
      </c>
    </row>
    <row r="33" spans="2:17" x14ac:dyDescent="0.25">
      <c r="B33" s="154">
        <v>43047</v>
      </c>
      <c r="C33" s="154">
        <v>43047</v>
      </c>
      <c r="D33" s="154">
        <v>43047</v>
      </c>
      <c r="E33" s="50" t="s">
        <v>24</v>
      </c>
      <c r="F33" s="50" t="s">
        <v>33</v>
      </c>
      <c r="G33" s="50" t="s">
        <v>88</v>
      </c>
      <c r="H33" s="155">
        <v>547</v>
      </c>
      <c r="I33" s="50">
        <f>IF(TbRegistroEntradas[[#This Row],[Data do Caixa Realizado]]="",0,MONTH(TbRegistroEntradas[[#This Row],[Data do Caixa Realizado]]))</f>
        <v>11</v>
      </c>
      <c r="J33" s="50">
        <f>IF(TbRegistroEntradas[[#This Row],[Data do Caixa Realizado]]="",0,YEAR(TbRegistroEntradas[[#This Row],[Data do Caixa Realizado]]))</f>
        <v>2017</v>
      </c>
      <c r="K33" s="50">
        <f>IF(TbRegistroEntradas[[#This Row],[Data da Competência]]="",0,MONTH(TbRegistroEntradas[[#This Row],[Data da Competência]]))</f>
        <v>11</v>
      </c>
      <c r="L33" s="50">
        <f>IF(TbRegistroEntradas[[#This Row],[Data da Competência]]="",0,YEAR(TbRegistroEntradas[[#This Row],[Data da Competência]]))</f>
        <v>2017</v>
      </c>
      <c r="M33" s="156">
        <f>IF(TbRegistroEntradas[[#This Row],[Data do Caixa Previsto]]="",0,MONTH(TbRegistroEntradas[[#This Row],[Data do Caixa Previsto]]))</f>
        <v>11</v>
      </c>
      <c r="N33" s="156">
        <f>IF(TbRegistroEntradas[[#This Row],[Data do Caixa Previsto]]="",0,YEAR(TbRegistroEntradas[[#This Row],[Data do Caixa Previsto]]))</f>
        <v>2017</v>
      </c>
      <c r="O33" s="156" t="str">
        <f ca="1">IF(AND(TbRegistroEntradas[[#This Row],[Data do Caixa Previsto]]&lt;TODAY(),TbRegistroEntradas[[#This Row],[Data do Caixa Realizado]]=""),"Vencida","Não Vencida")</f>
        <v>Não Vencida</v>
      </c>
      <c r="P33" s="156" t="str">
        <f>IF(TbRegistroEntradas[[#This Row],[Data da Competência]]=TbRegistroEntradas[[#This Row],[Data do Caixa Previsto]],"Vista","Prazo")</f>
        <v>Vista</v>
      </c>
      <c r="Q3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4" spans="2:17" x14ac:dyDescent="0.25">
      <c r="B34" s="154">
        <v>43077</v>
      </c>
      <c r="C34" s="154">
        <v>43051</v>
      </c>
      <c r="D34" s="154">
        <v>43051</v>
      </c>
      <c r="E34" s="50" t="s">
        <v>24</v>
      </c>
      <c r="F34" s="50" t="s">
        <v>33</v>
      </c>
      <c r="G34" s="50" t="s">
        <v>89</v>
      </c>
      <c r="H34" s="155">
        <v>1221</v>
      </c>
      <c r="I34" s="50">
        <f>IF(TbRegistroEntradas[[#This Row],[Data do Caixa Realizado]]="",0,MONTH(TbRegistroEntradas[[#This Row],[Data do Caixa Realizado]]))</f>
        <v>12</v>
      </c>
      <c r="J34" s="50">
        <f>IF(TbRegistroEntradas[[#This Row],[Data do Caixa Realizado]]="",0,YEAR(TbRegistroEntradas[[#This Row],[Data do Caixa Realizado]]))</f>
        <v>2017</v>
      </c>
      <c r="K34" s="50">
        <f>IF(TbRegistroEntradas[[#This Row],[Data da Competência]]="",0,MONTH(TbRegistroEntradas[[#This Row],[Data da Competência]]))</f>
        <v>11</v>
      </c>
      <c r="L34" s="50">
        <f>IF(TbRegistroEntradas[[#This Row],[Data da Competência]]="",0,YEAR(TbRegistroEntradas[[#This Row],[Data da Competência]]))</f>
        <v>2017</v>
      </c>
      <c r="M34" s="156">
        <f>IF(TbRegistroEntradas[[#This Row],[Data do Caixa Previsto]]="",0,MONTH(TbRegistroEntradas[[#This Row],[Data do Caixa Previsto]]))</f>
        <v>11</v>
      </c>
      <c r="N34" s="156">
        <f>IF(TbRegistroEntradas[[#This Row],[Data do Caixa Previsto]]="",0,YEAR(TbRegistroEntradas[[#This Row],[Data do Caixa Previsto]]))</f>
        <v>2017</v>
      </c>
      <c r="O34" s="156" t="str">
        <f ca="1">IF(AND(TbRegistroEntradas[[#This Row],[Data do Caixa Previsto]]&lt;TODAY(),TbRegistroEntradas[[#This Row],[Data do Caixa Realizado]]=""),"Vencida","Não Vencida")</f>
        <v>Não Vencida</v>
      </c>
      <c r="P34" s="156" t="str">
        <f>IF(TbRegistroEntradas[[#This Row],[Data da Competência]]=TbRegistroEntradas[[#This Row],[Data do Caixa Previsto]],"Vista","Prazo")</f>
        <v>Vista</v>
      </c>
      <c r="Q3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26</v>
      </c>
    </row>
    <row r="35" spans="2:17" x14ac:dyDescent="0.25">
      <c r="B35" s="154">
        <v>43101</v>
      </c>
      <c r="C35" s="154">
        <v>43053</v>
      </c>
      <c r="D35" s="154">
        <v>43101</v>
      </c>
      <c r="E35" s="50" t="s">
        <v>24</v>
      </c>
      <c r="F35" s="50" t="s">
        <v>32</v>
      </c>
      <c r="G35" s="50" t="s">
        <v>90</v>
      </c>
      <c r="H35" s="155">
        <v>4108</v>
      </c>
      <c r="I35" s="50">
        <f>IF(TbRegistroEntradas[[#This Row],[Data do Caixa Realizado]]="",0,MONTH(TbRegistroEntradas[[#This Row],[Data do Caixa Realizado]]))</f>
        <v>1</v>
      </c>
      <c r="J35" s="50">
        <f>IF(TbRegistroEntradas[[#This Row],[Data do Caixa Realizado]]="",0,YEAR(TbRegistroEntradas[[#This Row],[Data do Caixa Realizado]]))</f>
        <v>2018</v>
      </c>
      <c r="K35" s="50">
        <f>IF(TbRegistroEntradas[[#This Row],[Data da Competência]]="",0,MONTH(TbRegistroEntradas[[#This Row],[Data da Competência]]))</f>
        <v>11</v>
      </c>
      <c r="L35" s="50">
        <f>IF(TbRegistroEntradas[[#This Row],[Data da Competência]]="",0,YEAR(TbRegistroEntradas[[#This Row],[Data da Competência]]))</f>
        <v>2017</v>
      </c>
      <c r="M35" s="156">
        <f>IF(TbRegistroEntradas[[#This Row],[Data do Caixa Previsto]]="",0,MONTH(TbRegistroEntradas[[#This Row],[Data do Caixa Previsto]]))</f>
        <v>1</v>
      </c>
      <c r="N35" s="156">
        <f>IF(TbRegistroEntradas[[#This Row],[Data do Caixa Previsto]]="",0,YEAR(TbRegistroEntradas[[#This Row],[Data do Caixa Previsto]]))</f>
        <v>2018</v>
      </c>
      <c r="O35" s="156" t="str">
        <f ca="1">IF(AND(TbRegistroEntradas[[#This Row],[Data do Caixa Previsto]]&lt;TODAY(),TbRegistroEntradas[[#This Row],[Data do Caixa Realizado]]=""),"Vencida","Não Vencida")</f>
        <v>Não Vencida</v>
      </c>
      <c r="P35" s="156" t="str">
        <f>IF(TbRegistroEntradas[[#This Row],[Data da Competência]]=TbRegistroEntradas[[#This Row],[Data do Caixa Previsto]],"Vista","Prazo")</f>
        <v>Prazo</v>
      </c>
      <c r="Q3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6" spans="2:17" x14ac:dyDescent="0.25">
      <c r="B36" s="154">
        <v>43055</v>
      </c>
      <c r="C36" s="154">
        <v>43055</v>
      </c>
      <c r="D36" s="154">
        <v>43055</v>
      </c>
      <c r="E36" s="50" t="s">
        <v>24</v>
      </c>
      <c r="F36" s="50" t="s">
        <v>33</v>
      </c>
      <c r="G36" s="50" t="s">
        <v>91</v>
      </c>
      <c r="H36" s="155">
        <v>3714</v>
      </c>
      <c r="I36" s="50">
        <f>IF(TbRegistroEntradas[[#This Row],[Data do Caixa Realizado]]="",0,MONTH(TbRegistroEntradas[[#This Row],[Data do Caixa Realizado]]))</f>
        <v>11</v>
      </c>
      <c r="J36" s="50">
        <f>IF(TbRegistroEntradas[[#This Row],[Data do Caixa Realizado]]="",0,YEAR(TbRegistroEntradas[[#This Row],[Data do Caixa Realizado]]))</f>
        <v>2017</v>
      </c>
      <c r="K36" s="50">
        <f>IF(TbRegistroEntradas[[#This Row],[Data da Competência]]="",0,MONTH(TbRegistroEntradas[[#This Row],[Data da Competência]]))</f>
        <v>11</v>
      </c>
      <c r="L36" s="50">
        <f>IF(TbRegistroEntradas[[#This Row],[Data da Competência]]="",0,YEAR(TbRegistroEntradas[[#This Row],[Data da Competência]]))</f>
        <v>2017</v>
      </c>
      <c r="M36" s="156">
        <f>IF(TbRegistroEntradas[[#This Row],[Data do Caixa Previsto]]="",0,MONTH(TbRegistroEntradas[[#This Row],[Data do Caixa Previsto]]))</f>
        <v>11</v>
      </c>
      <c r="N36" s="156">
        <f>IF(TbRegistroEntradas[[#This Row],[Data do Caixa Previsto]]="",0,YEAR(TbRegistroEntradas[[#This Row],[Data do Caixa Previsto]]))</f>
        <v>2017</v>
      </c>
      <c r="O36" s="156" t="str">
        <f ca="1">IF(AND(TbRegistroEntradas[[#This Row],[Data do Caixa Previsto]]&lt;TODAY(),TbRegistroEntradas[[#This Row],[Data do Caixa Realizado]]=""),"Vencida","Não Vencida")</f>
        <v>Não Vencida</v>
      </c>
      <c r="P36" s="156" t="str">
        <f>IF(TbRegistroEntradas[[#This Row],[Data da Competência]]=TbRegistroEntradas[[#This Row],[Data do Caixa Previsto]],"Vista","Prazo")</f>
        <v>Vista</v>
      </c>
      <c r="Q3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7" spans="2:17" x14ac:dyDescent="0.25">
      <c r="B37" s="154" t="s">
        <v>67</v>
      </c>
      <c r="C37" s="154">
        <v>43057</v>
      </c>
      <c r="D37" s="154">
        <v>43101</v>
      </c>
      <c r="E37" s="50" t="s">
        <v>24</v>
      </c>
      <c r="F37" s="50" t="s">
        <v>30</v>
      </c>
      <c r="G37" s="50" t="s">
        <v>92</v>
      </c>
      <c r="H37" s="155">
        <v>4843</v>
      </c>
      <c r="I37" s="50">
        <f>IF(TbRegistroEntradas[[#This Row],[Data do Caixa Realizado]]="",0,MONTH(TbRegistroEntradas[[#This Row],[Data do Caixa Realizado]]))</f>
        <v>0</v>
      </c>
      <c r="J37" s="50">
        <f>IF(TbRegistroEntradas[[#This Row],[Data do Caixa Realizado]]="",0,YEAR(TbRegistroEntradas[[#This Row],[Data do Caixa Realizado]]))</f>
        <v>0</v>
      </c>
      <c r="K37" s="50">
        <f>IF(TbRegistroEntradas[[#This Row],[Data da Competência]]="",0,MONTH(TbRegistroEntradas[[#This Row],[Data da Competência]]))</f>
        <v>11</v>
      </c>
      <c r="L37" s="50">
        <f>IF(TbRegistroEntradas[[#This Row],[Data da Competência]]="",0,YEAR(TbRegistroEntradas[[#This Row],[Data da Competência]]))</f>
        <v>2017</v>
      </c>
      <c r="M37" s="156">
        <f>IF(TbRegistroEntradas[[#This Row],[Data do Caixa Previsto]]="",0,MONTH(TbRegistroEntradas[[#This Row],[Data do Caixa Previsto]]))</f>
        <v>1</v>
      </c>
      <c r="N37" s="156">
        <f>IF(TbRegistroEntradas[[#This Row],[Data do Caixa Previsto]]="",0,YEAR(TbRegistroEntradas[[#This Row],[Data do Caixa Previsto]]))</f>
        <v>2018</v>
      </c>
      <c r="O37" s="156" t="str">
        <f ca="1">IF(AND(TbRegistroEntradas[[#This Row],[Data do Caixa Previsto]]&lt;TODAY(),TbRegistroEntradas[[#This Row],[Data do Caixa Realizado]]=""),"Vencida","Não Vencida")</f>
        <v>Vencida</v>
      </c>
      <c r="P37" s="156" t="str">
        <f>IF(TbRegistroEntradas[[#This Row],[Data da Competência]]=TbRegistroEntradas[[#This Row],[Data do Caixa Previsto]],"Vista","Prazo")</f>
        <v>Prazo</v>
      </c>
      <c r="Q3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845</v>
      </c>
    </row>
    <row r="38" spans="2:17" x14ac:dyDescent="0.25">
      <c r="B38" s="154">
        <v>43090</v>
      </c>
      <c r="C38" s="154">
        <v>43058</v>
      </c>
      <c r="D38" s="154">
        <v>43090</v>
      </c>
      <c r="E38" s="50" t="s">
        <v>24</v>
      </c>
      <c r="F38" s="50" t="s">
        <v>34</v>
      </c>
      <c r="G38" s="50" t="s">
        <v>93</v>
      </c>
      <c r="H38" s="155">
        <v>4831</v>
      </c>
      <c r="I38" s="50">
        <f>IF(TbRegistroEntradas[[#This Row],[Data do Caixa Realizado]]="",0,MONTH(TbRegistroEntradas[[#This Row],[Data do Caixa Realizado]]))</f>
        <v>12</v>
      </c>
      <c r="J38" s="50">
        <f>IF(TbRegistroEntradas[[#This Row],[Data do Caixa Realizado]]="",0,YEAR(TbRegistroEntradas[[#This Row],[Data do Caixa Realizado]]))</f>
        <v>2017</v>
      </c>
      <c r="K38" s="50">
        <f>IF(TbRegistroEntradas[[#This Row],[Data da Competência]]="",0,MONTH(TbRegistroEntradas[[#This Row],[Data da Competência]]))</f>
        <v>11</v>
      </c>
      <c r="L38" s="50">
        <f>IF(TbRegistroEntradas[[#This Row],[Data da Competência]]="",0,YEAR(TbRegistroEntradas[[#This Row],[Data da Competência]]))</f>
        <v>2017</v>
      </c>
      <c r="M38" s="156">
        <f>IF(TbRegistroEntradas[[#This Row],[Data do Caixa Previsto]]="",0,MONTH(TbRegistroEntradas[[#This Row],[Data do Caixa Previsto]]))</f>
        <v>12</v>
      </c>
      <c r="N38" s="156">
        <f>IF(TbRegistroEntradas[[#This Row],[Data do Caixa Previsto]]="",0,YEAR(TbRegistroEntradas[[#This Row],[Data do Caixa Previsto]]))</f>
        <v>2017</v>
      </c>
      <c r="O38" s="156" t="str">
        <f ca="1">IF(AND(TbRegistroEntradas[[#This Row],[Data do Caixa Previsto]]&lt;TODAY(),TbRegistroEntradas[[#This Row],[Data do Caixa Realizado]]=""),"Vencida","Não Vencida")</f>
        <v>Não Vencida</v>
      </c>
      <c r="P38" s="156" t="str">
        <f>IF(TbRegistroEntradas[[#This Row],[Data da Competência]]=TbRegistroEntradas[[#This Row],[Data do Caixa Previsto]],"Vista","Prazo")</f>
        <v>Prazo</v>
      </c>
      <c r="Q3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9" spans="2:17" x14ac:dyDescent="0.25">
      <c r="B39" s="154">
        <v>43059</v>
      </c>
      <c r="C39" s="154">
        <v>43059</v>
      </c>
      <c r="D39" s="154">
        <v>43059</v>
      </c>
      <c r="E39" s="50" t="s">
        <v>24</v>
      </c>
      <c r="F39" s="50" t="s">
        <v>33</v>
      </c>
      <c r="G39" s="50" t="s">
        <v>94</v>
      </c>
      <c r="H39" s="155">
        <v>2072</v>
      </c>
      <c r="I39" s="50">
        <f>IF(TbRegistroEntradas[[#This Row],[Data do Caixa Realizado]]="",0,MONTH(TbRegistroEntradas[[#This Row],[Data do Caixa Realizado]]))</f>
        <v>11</v>
      </c>
      <c r="J39" s="50">
        <f>IF(TbRegistroEntradas[[#This Row],[Data do Caixa Realizado]]="",0,YEAR(TbRegistroEntradas[[#This Row],[Data do Caixa Realizado]]))</f>
        <v>2017</v>
      </c>
      <c r="K39" s="50">
        <f>IF(TbRegistroEntradas[[#This Row],[Data da Competência]]="",0,MONTH(TbRegistroEntradas[[#This Row],[Data da Competência]]))</f>
        <v>11</v>
      </c>
      <c r="L39" s="50">
        <f>IF(TbRegistroEntradas[[#This Row],[Data da Competência]]="",0,YEAR(TbRegistroEntradas[[#This Row],[Data da Competência]]))</f>
        <v>2017</v>
      </c>
      <c r="M39" s="156">
        <f>IF(TbRegistroEntradas[[#This Row],[Data do Caixa Previsto]]="",0,MONTH(TbRegistroEntradas[[#This Row],[Data do Caixa Previsto]]))</f>
        <v>11</v>
      </c>
      <c r="N39" s="156">
        <f>IF(TbRegistroEntradas[[#This Row],[Data do Caixa Previsto]]="",0,YEAR(TbRegistroEntradas[[#This Row],[Data do Caixa Previsto]]))</f>
        <v>2017</v>
      </c>
      <c r="O39" s="156" t="str">
        <f ca="1">IF(AND(TbRegistroEntradas[[#This Row],[Data do Caixa Previsto]]&lt;TODAY(),TbRegistroEntradas[[#This Row],[Data do Caixa Realizado]]=""),"Vencida","Não Vencida")</f>
        <v>Não Vencida</v>
      </c>
      <c r="P39" s="156" t="str">
        <f>IF(TbRegistroEntradas[[#This Row],[Data da Competência]]=TbRegistroEntradas[[#This Row],[Data do Caixa Previsto]],"Vista","Prazo")</f>
        <v>Vista</v>
      </c>
      <c r="Q3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0" spans="2:17" x14ac:dyDescent="0.25">
      <c r="B40" s="154">
        <v>43122</v>
      </c>
      <c r="C40" s="154">
        <v>43063</v>
      </c>
      <c r="D40" s="154">
        <v>43122</v>
      </c>
      <c r="E40" s="50" t="s">
        <v>24</v>
      </c>
      <c r="F40" s="50" t="s">
        <v>31</v>
      </c>
      <c r="G40" s="50" t="s">
        <v>95</v>
      </c>
      <c r="H40" s="155">
        <v>3992</v>
      </c>
      <c r="I40" s="50">
        <f>IF(TbRegistroEntradas[[#This Row],[Data do Caixa Realizado]]="",0,MONTH(TbRegistroEntradas[[#This Row],[Data do Caixa Realizado]]))</f>
        <v>1</v>
      </c>
      <c r="J40" s="50">
        <f>IF(TbRegistroEntradas[[#This Row],[Data do Caixa Realizado]]="",0,YEAR(TbRegistroEntradas[[#This Row],[Data do Caixa Realizado]]))</f>
        <v>2018</v>
      </c>
      <c r="K40" s="50">
        <f>IF(TbRegistroEntradas[[#This Row],[Data da Competência]]="",0,MONTH(TbRegistroEntradas[[#This Row],[Data da Competência]]))</f>
        <v>11</v>
      </c>
      <c r="L40" s="50">
        <f>IF(TbRegistroEntradas[[#This Row],[Data da Competência]]="",0,YEAR(TbRegistroEntradas[[#This Row],[Data da Competência]]))</f>
        <v>2017</v>
      </c>
      <c r="M40" s="156">
        <f>IF(TbRegistroEntradas[[#This Row],[Data do Caixa Previsto]]="",0,MONTH(TbRegistroEntradas[[#This Row],[Data do Caixa Previsto]]))</f>
        <v>1</v>
      </c>
      <c r="N40" s="156">
        <f>IF(TbRegistroEntradas[[#This Row],[Data do Caixa Previsto]]="",0,YEAR(TbRegistroEntradas[[#This Row],[Data do Caixa Previsto]]))</f>
        <v>2018</v>
      </c>
      <c r="O40" s="156" t="str">
        <f ca="1">IF(AND(TbRegistroEntradas[[#This Row],[Data do Caixa Previsto]]&lt;TODAY(),TbRegistroEntradas[[#This Row],[Data do Caixa Realizado]]=""),"Vencida","Não Vencida")</f>
        <v>Não Vencida</v>
      </c>
      <c r="P40" s="156" t="str">
        <f>IF(TbRegistroEntradas[[#This Row],[Data da Competência]]=TbRegistroEntradas[[#This Row],[Data do Caixa Previsto]],"Vista","Prazo")</f>
        <v>Prazo</v>
      </c>
      <c r="Q4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1" spans="2:17" x14ac:dyDescent="0.25">
      <c r="B41" s="154">
        <v>43114</v>
      </c>
      <c r="C41" s="154">
        <v>43068</v>
      </c>
      <c r="D41" s="154">
        <v>43068</v>
      </c>
      <c r="E41" s="50" t="s">
        <v>24</v>
      </c>
      <c r="F41" s="50" t="s">
        <v>30</v>
      </c>
      <c r="G41" s="50" t="s">
        <v>96</v>
      </c>
      <c r="H41" s="155">
        <v>1284</v>
      </c>
      <c r="I41" s="50">
        <f>IF(TbRegistroEntradas[[#This Row],[Data do Caixa Realizado]]="",0,MONTH(TbRegistroEntradas[[#This Row],[Data do Caixa Realizado]]))</f>
        <v>1</v>
      </c>
      <c r="J41" s="50">
        <f>IF(TbRegistroEntradas[[#This Row],[Data do Caixa Realizado]]="",0,YEAR(TbRegistroEntradas[[#This Row],[Data do Caixa Realizado]]))</f>
        <v>2018</v>
      </c>
      <c r="K41" s="50">
        <f>IF(TbRegistroEntradas[[#This Row],[Data da Competência]]="",0,MONTH(TbRegistroEntradas[[#This Row],[Data da Competência]]))</f>
        <v>11</v>
      </c>
      <c r="L41" s="50">
        <f>IF(TbRegistroEntradas[[#This Row],[Data da Competência]]="",0,YEAR(TbRegistroEntradas[[#This Row],[Data da Competência]]))</f>
        <v>2017</v>
      </c>
      <c r="M41" s="156">
        <f>IF(TbRegistroEntradas[[#This Row],[Data do Caixa Previsto]]="",0,MONTH(TbRegistroEntradas[[#This Row],[Data do Caixa Previsto]]))</f>
        <v>11</v>
      </c>
      <c r="N41" s="156">
        <f>IF(TbRegistroEntradas[[#This Row],[Data do Caixa Previsto]]="",0,YEAR(TbRegistroEntradas[[#This Row],[Data do Caixa Previsto]]))</f>
        <v>2017</v>
      </c>
      <c r="O41" s="156" t="str">
        <f ca="1">IF(AND(TbRegistroEntradas[[#This Row],[Data do Caixa Previsto]]&lt;TODAY(),TbRegistroEntradas[[#This Row],[Data do Caixa Realizado]]=""),"Vencida","Não Vencida")</f>
        <v>Não Vencida</v>
      </c>
      <c r="P41" s="156" t="str">
        <f>IF(TbRegistroEntradas[[#This Row],[Data da Competência]]=TbRegistroEntradas[[#This Row],[Data do Caixa Previsto]],"Vista","Prazo")</f>
        <v>Vista</v>
      </c>
      <c r="Q4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46</v>
      </c>
    </row>
    <row r="42" spans="2:17" x14ac:dyDescent="0.25">
      <c r="B42" s="154">
        <v>43073</v>
      </c>
      <c r="C42" s="154">
        <v>43073</v>
      </c>
      <c r="D42" s="154">
        <v>43073</v>
      </c>
      <c r="E42" s="50" t="s">
        <v>24</v>
      </c>
      <c r="F42" s="50" t="s">
        <v>31</v>
      </c>
      <c r="G42" s="50" t="s">
        <v>97</v>
      </c>
      <c r="H42" s="155">
        <v>4073</v>
      </c>
      <c r="I42" s="50">
        <f>IF(TbRegistroEntradas[[#This Row],[Data do Caixa Realizado]]="",0,MONTH(TbRegistroEntradas[[#This Row],[Data do Caixa Realizado]]))</f>
        <v>12</v>
      </c>
      <c r="J42" s="50">
        <f>IF(TbRegistroEntradas[[#This Row],[Data do Caixa Realizado]]="",0,YEAR(TbRegistroEntradas[[#This Row],[Data do Caixa Realizado]]))</f>
        <v>2017</v>
      </c>
      <c r="K42" s="50">
        <f>IF(TbRegistroEntradas[[#This Row],[Data da Competência]]="",0,MONTH(TbRegistroEntradas[[#This Row],[Data da Competência]]))</f>
        <v>12</v>
      </c>
      <c r="L42" s="50">
        <f>IF(TbRegistroEntradas[[#This Row],[Data da Competência]]="",0,YEAR(TbRegistroEntradas[[#This Row],[Data da Competência]]))</f>
        <v>2017</v>
      </c>
      <c r="M42" s="156">
        <f>IF(TbRegistroEntradas[[#This Row],[Data do Caixa Previsto]]="",0,MONTH(TbRegistroEntradas[[#This Row],[Data do Caixa Previsto]]))</f>
        <v>12</v>
      </c>
      <c r="N42" s="156">
        <f>IF(TbRegistroEntradas[[#This Row],[Data do Caixa Previsto]]="",0,YEAR(TbRegistroEntradas[[#This Row],[Data do Caixa Previsto]]))</f>
        <v>2017</v>
      </c>
      <c r="O42" s="156" t="str">
        <f ca="1">IF(AND(TbRegistroEntradas[[#This Row],[Data do Caixa Previsto]]&lt;TODAY(),TbRegistroEntradas[[#This Row],[Data do Caixa Realizado]]=""),"Vencida","Não Vencida")</f>
        <v>Não Vencida</v>
      </c>
      <c r="P42" s="156" t="str">
        <f>IF(TbRegistroEntradas[[#This Row],[Data da Competência]]=TbRegistroEntradas[[#This Row],[Data do Caixa Previsto]],"Vista","Prazo")</f>
        <v>Vista</v>
      </c>
      <c r="Q4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3" spans="2:17" x14ac:dyDescent="0.25">
      <c r="B43" s="154">
        <v>43073</v>
      </c>
      <c r="C43" s="154">
        <v>43073</v>
      </c>
      <c r="D43" s="154">
        <v>43073</v>
      </c>
      <c r="E43" s="50" t="s">
        <v>24</v>
      </c>
      <c r="F43" s="50" t="s">
        <v>30</v>
      </c>
      <c r="G43" s="50" t="s">
        <v>98</v>
      </c>
      <c r="H43" s="155">
        <v>3008</v>
      </c>
      <c r="I43" s="50">
        <f>IF(TbRegistroEntradas[[#This Row],[Data do Caixa Realizado]]="",0,MONTH(TbRegistroEntradas[[#This Row],[Data do Caixa Realizado]]))</f>
        <v>12</v>
      </c>
      <c r="J43" s="50">
        <f>IF(TbRegistroEntradas[[#This Row],[Data do Caixa Realizado]]="",0,YEAR(TbRegistroEntradas[[#This Row],[Data do Caixa Realizado]]))</f>
        <v>2017</v>
      </c>
      <c r="K43" s="50">
        <f>IF(TbRegistroEntradas[[#This Row],[Data da Competência]]="",0,MONTH(TbRegistroEntradas[[#This Row],[Data da Competência]]))</f>
        <v>12</v>
      </c>
      <c r="L43" s="50">
        <f>IF(TbRegistroEntradas[[#This Row],[Data da Competência]]="",0,YEAR(TbRegistroEntradas[[#This Row],[Data da Competência]]))</f>
        <v>2017</v>
      </c>
      <c r="M43" s="156">
        <f>IF(TbRegistroEntradas[[#This Row],[Data do Caixa Previsto]]="",0,MONTH(TbRegistroEntradas[[#This Row],[Data do Caixa Previsto]]))</f>
        <v>12</v>
      </c>
      <c r="N43" s="156">
        <f>IF(TbRegistroEntradas[[#This Row],[Data do Caixa Previsto]]="",0,YEAR(TbRegistroEntradas[[#This Row],[Data do Caixa Previsto]]))</f>
        <v>2017</v>
      </c>
      <c r="O43" s="156" t="str">
        <f ca="1">IF(AND(TbRegistroEntradas[[#This Row],[Data do Caixa Previsto]]&lt;TODAY(),TbRegistroEntradas[[#This Row],[Data do Caixa Realizado]]=""),"Vencida","Não Vencida")</f>
        <v>Não Vencida</v>
      </c>
      <c r="P43" s="156" t="str">
        <f>IF(TbRegistroEntradas[[#This Row],[Data da Competência]]=TbRegistroEntradas[[#This Row],[Data do Caixa Previsto]],"Vista","Prazo")</f>
        <v>Vista</v>
      </c>
      <c r="Q4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4" spans="2:17" x14ac:dyDescent="0.25">
      <c r="B44" s="154">
        <v>43103</v>
      </c>
      <c r="C44" s="154">
        <v>43080</v>
      </c>
      <c r="D44" s="154">
        <v>43080</v>
      </c>
      <c r="E44" s="50" t="s">
        <v>24</v>
      </c>
      <c r="F44" s="50" t="s">
        <v>30</v>
      </c>
      <c r="G44" s="50" t="s">
        <v>99</v>
      </c>
      <c r="H44" s="155">
        <v>1267</v>
      </c>
      <c r="I44" s="50">
        <f>IF(TbRegistroEntradas[[#This Row],[Data do Caixa Realizado]]="",0,MONTH(TbRegistroEntradas[[#This Row],[Data do Caixa Realizado]]))</f>
        <v>1</v>
      </c>
      <c r="J44" s="50">
        <f>IF(TbRegistroEntradas[[#This Row],[Data do Caixa Realizado]]="",0,YEAR(TbRegistroEntradas[[#This Row],[Data do Caixa Realizado]]))</f>
        <v>2018</v>
      </c>
      <c r="K44" s="50">
        <f>IF(TbRegistroEntradas[[#This Row],[Data da Competência]]="",0,MONTH(TbRegistroEntradas[[#This Row],[Data da Competência]]))</f>
        <v>12</v>
      </c>
      <c r="L44" s="50">
        <f>IF(TbRegistroEntradas[[#This Row],[Data da Competência]]="",0,YEAR(TbRegistroEntradas[[#This Row],[Data da Competência]]))</f>
        <v>2017</v>
      </c>
      <c r="M44" s="156">
        <f>IF(TbRegistroEntradas[[#This Row],[Data do Caixa Previsto]]="",0,MONTH(TbRegistroEntradas[[#This Row],[Data do Caixa Previsto]]))</f>
        <v>12</v>
      </c>
      <c r="N44" s="156">
        <f>IF(TbRegistroEntradas[[#This Row],[Data do Caixa Previsto]]="",0,YEAR(TbRegistroEntradas[[#This Row],[Data do Caixa Previsto]]))</f>
        <v>2017</v>
      </c>
      <c r="O44" s="156" t="str">
        <f ca="1">IF(AND(TbRegistroEntradas[[#This Row],[Data do Caixa Previsto]]&lt;TODAY(),TbRegistroEntradas[[#This Row],[Data do Caixa Realizado]]=""),"Vencida","Não Vencida")</f>
        <v>Não Vencida</v>
      </c>
      <c r="P44" s="156" t="str">
        <f>IF(TbRegistroEntradas[[#This Row],[Data da Competência]]=TbRegistroEntradas[[#This Row],[Data do Caixa Previsto]],"Vista","Prazo")</f>
        <v>Vista</v>
      </c>
      <c r="Q4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23</v>
      </c>
    </row>
    <row r="45" spans="2:17" x14ac:dyDescent="0.25">
      <c r="B45" s="154">
        <v>43103</v>
      </c>
      <c r="C45" s="154">
        <v>43082</v>
      </c>
      <c r="D45" s="154">
        <v>43103</v>
      </c>
      <c r="E45" s="50" t="s">
        <v>24</v>
      </c>
      <c r="F45" s="50" t="s">
        <v>30</v>
      </c>
      <c r="G45" s="50" t="s">
        <v>100</v>
      </c>
      <c r="H45" s="155">
        <v>284</v>
      </c>
      <c r="I45" s="50">
        <f>IF(TbRegistroEntradas[[#This Row],[Data do Caixa Realizado]]="",0,MONTH(TbRegistroEntradas[[#This Row],[Data do Caixa Realizado]]))</f>
        <v>1</v>
      </c>
      <c r="J45" s="50">
        <f>IF(TbRegistroEntradas[[#This Row],[Data do Caixa Realizado]]="",0,YEAR(TbRegistroEntradas[[#This Row],[Data do Caixa Realizado]]))</f>
        <v>2018</v>
      </c>
      <c r="K45" s="50">
        <f>IF(TbRegistroEntradas[[#This Row],[Data da Competência]]="",0,MONTH(TbRegistroEntradas[[#This Row],[Data da Competência]]))</f>
        <v>12</v>
      </c>
      <c r="L45" s="50">
        <f>IF(TbRegistroEntradas[[#This Row],[Data da Competência]]="",0,YEAR(TbRegistroEntradas[[#This Row],[Data da Competência]]))</f>
        <v>2017</v>
      </c>
      <c r="M45" s="156">
        <f>IF(TbRegistroEntradas[[#This Row],[Data do Caixa Previsto]]="",0,MONTH(TbRegistroEntradas[[#This Row],[Data do Caixa Previsto]]))</f>
        <v>1</v>
      </c>
      <c r="N45" s="156">
        <f>IF(TbRegistroEntradas[[#This Row],[Data do Caixa Previsto]]="",0,YEAR(TbRegistroEntradas[[#This Row],[Data do Caixa Previsto]]))</f>
        <v>2018</v>
      </c>
      <c r="O45" s="156" t="str">
        <f ca="1">IF(AND(TbRegistroEntradas[[#This Row],[Data do Caixa Previsto]]&lt;TODAY(),TbRegistroEntradas[[#This Row],[Data do Caixa Realizado]]=""),"Vencida","Não Vencida")</f>
        <v>Não Vencida</v>
      </c>
      <c r="P45" s="156" t="str">
        <f>IF(TbRegistroEntradas[[#This Row],[Data da Competência]]=TbRegistroEntradas[[#This Row],[Data do Caixa Previsto]],"Vista","Prazo")</f>
        <v>Prazo</v>
      </c>
      <c r="Q4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6" spans="2:17" x14ac:dyDescent="0.25">
      <c r="B46" s="154">
        <v>43086</v>
      </c>
      <c r="C46" s="154">
        <v>43083</v>
      </c>
      <c r="D46" s="154">
        <v>43086</v>
      </c>
      <c r="E46" s="50" t="s">
        <v>24</v>
      </c>
      <c r="F46" s="50" t="s">
        <v>33</v>
      </c>
      <c r="G46" s="50" t="s">
        <v>101</v>
      </c>
      <c r="H46" s="155">
        <v>2046</v>
      </c>
      <c r="I46" s="50">
        <f>IF(TbRegistroEntradas[[#This Row],[Data do Caixa Realizado]]="",0,MONTH(TbRegistroEntradas[[#This Row],[Data do Caixa Realizado]]))</f>
        <v>12</v>
      </c>
      <c r="J46" s="50">
        <f>IF(TbRegistroEntradas[[#This Row],[Data do Caixa Realizado]]="",0,YEAR(TbRegistroEntradas[[#This Row],[Data do Caixa Realizado]]))</f>
        <v>2017</v>
      </c>
      <c r="K46" s="50">
        <f>IF(TbRegistroEntradas[[#This Row],[Data da Competência]]="",0,MONTH(TbRegistroEntradas[[#This Row],[Data da Competência]]))</f>
        <v>12</v>
      </c>
      <c r="L46" s="50">
        <f>IF(TbRegistroEntradas[[#This Row],[Data da Competência]]="",0,YEAR(TbRegistroEntradas[[#This Row],[Data da Competência]]))</f>
        <v>2017</v>
      </c>
      <c r="M46" s="156">
        <f>IF(TbRegistroEntradas[[#This Row],[Data do Caixa Previsto]]="",0,MONTH(TbRegistroEntradas[[#This Row],[Data do Caixa Previsto]]))</f>
        <v>12</v>
      </c>
      <c r="N46" s="156">
        <f>IF(TbRegistroEntradas[[#This Row],[Data do Caixa Previsto]]="",0,YEAR(TbRegistroEntradas[[#This Row],[Data do Caixa Previsto]]))</f>
        <v>2017</v>
      </c>
      <c r="O46" s="156" t="str">
        <f ca="1">IF(AND(TbRegistroEntradas[[#This Row],[Data do Caixa Previsto]]&lt;TODAY(),TbRegistroEntradas[[#This Row],[Data do Caixa Realizado]]=""),"Vencida","Não Vencida")</f>
        <v>Não Vencida</v>
      </c>
      <c r="P46" s="156" t="str">
        <f>IF(TbRegistroEntradas[[#This Row],[Data da Competência]]=TbRegistroEntradas[[#This Row],[Data do Caixa Previsto]],"Vista","Prazo")</f>
        <v>Prazo</v>
      </c>
      <c r="Q4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7" spans="2:17" x14ac:dyDescent="0.25">
      <c r="B47" s="154">
        <v>43122</v>
      </c>
      <c r="C47" s="154">
        <v>43085</v>
      </c>
      <c r="D47" s="154">
        <v>43122</v>
      </c>
      <c r="E47" s="50" t="s">
        <v>24</v>
      </c>
      <c r="F47" s="50" t="s">
        <v>31</v>
      </c>
      <c r="G47" s="50" t="s">
        <v>102</v>
      </c>
      <c r="H47" s="155">
        <v>3880</v>
      </c>
      <c r="I47" s="50">
        <f>IF(TbRegistroEntradas[[#This Row],[Data do Caixa Realizado]]="",0,MONTH(TbRegistroEntradas[[#This Row],[Data do Caixa Realizado]]))</f>
        <v>1</v>
      </c>
      <c r="J47" s="50">
        <f>IF(TbRegistroEntradas[[#This Row],[Data do Caixa Realizado]]="",0,YEAR(TbRegistroEntradas[[#This Row],[Data do Caixa Realizado]]))</f>
        <v>2018</v>
      </c>
      <c r="K47" s="50">
        <f>IF(TbRegistroEntradas[[#This Row],[Data da Competência]]="",0,MONTH(TbRegistroEntradas[[#This Row],[Data da Competência]]))</f>
        <v>12</v>
      </c>
      <c r="L47" s="50">
        <f>IF(TbRegistroEntradas[[#This Row],[Data da Competência]]="",0,YEAR(TbRegistroEntradas[[#This Row],[Data da Competência]]))</f>
        <v>2017</v>
      </c>
      <c r="M47" s="156">
        <f>IF(TbRegistroEntradas[[#This Row],[Data do Caixa Previsto]]="",0,MONTH(TbRegistroEntradas[[#This Row],[Data do Caixa Previsto]]))</f>
        <v>1</v>
      </c>
      <c r="N47" s="156">
        <f>IF(TbRegistroEntradas[[#This Row],[Data do Caixa Previsto]]="",0,YEAR(TbRegistroEntradas[[#This Row],[Data do Caixa Previsto]]))</f>
        <v>2018</v>
      </c>
      <c r="O47" s="156" t="str">
        <f ca="1">IF(AND(TbRegistroEntradas[[#This Row],[Data do Caixa Previsto]]&lt;TODAY(),TbRegistroEntradas[[#This Row],[Data do Caixa Realizado]]=""),"Vencida","Não Vencida")</f>
        <v>Não Vencida</v>
      </c>
      <c r="P47" s="156" t="str">
        <f>IF(TbRegistroEntradas[[#This Row],[Data da Competência]]=TbRegistroEntradas[[#This Row],[Data do Caixa Previsto]],"Vista","Prazo")</f>
        <v>Prazo</v>
      </c>
      <c r="Q4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8" spans="2:17" x14ac:dyDescent="0.25">
      <c r="B48" s="154">
        <v>43123</v>
      </c>
      <c r="C48" s="154">
        <v>43086</v>
      </c>
      <c r="D48" s="154">
        <v>43123</v>
      </c>
      <c r="E48" s="50" t="s">
        <v>24</v>
      </c>
      <c r="F48" s="50" t="s">
        <v>31</v>
      </c>
      <c r="G48" s="50" t="s">
        <v>103</v>
      </c>
      <c r="H48" s="155">
        <v>3149</v>
      </c>
      <c r="I48" s="50">
        <f>IF(TbRegistroEntradas[[#This Row],[Data do Caixa Realizado]]="",0,MONTH(TbRegistroEntradas[[#This Row],[Data do Caixa Realizado]]))</f>
        <v>1</v>
      </c>
      <c r="J48" s="50">
        <f>IF(TbRegistroEntradas[[#This Row],[Data do Caixa Realizado]]="",0,YEAR(TbRegistroEntradas[[#This Row],[Data do Caixa Realizado]]))</f>
        <v>2018</v>
      </c>
      <c r="K48" s="50">
        <f>IF(TbRegistroEntradas[[#This Row],[Data da Competência]]="",0,MONTH(TbRegistroEntradas[[#This Row],[Data da Competência]]))</f>
        <v>12</v>
      </c>
      <c r="L48" s="50">
        <f>IF(TbRegistroEntradas[[#This Row],[Data da Competência]]="",0,YEAR(TbRegistroEntradas[[#This Row],[Data da Competência]]))</f>
        <v>2017</v>
      </c>
      <c r="M48" s="156">
        <f>IF(TbRegistroEntradas[[#This Row],[Data do Caixa Previsto]]="",0,MONTH(TbRegistroEntradas[[#This Row],[Data do Caixa Previsto]]))</f>
        <v>1</v>
      </c>
      <c r="N48" s="156">
        <f>IF(TbRegistroEntradas[[#This Row],[Data do Caixa Previsto]]="",0,YEAR(TbRegistroEntradas[[#This Row],[Data do Caixa Previsto]]))</f>
        <v>2018</v>
      </c>
      <c r="O48" s="156" t="str">
        <f ca="1">IF(AND(TbRegistroEntradas[[#This Row],[Data do Caixa Previsto]]&lt;TODAY(),TbRegistroEntradas[[#This Row],[Data do Caixa Realizado]]=""),"Vencida","Não Vencida")</f>
        <v>Não Vencida</v>
      </c>
      <c r="P48" s="156" t="str">
        <f>IF(TbRegistroEntradas[[#This Row],[Data da Competência]]=TbRegistroEntradas[[#This Row],[Data do Caixa Previsto]],"Vista","Prazo")</f>
        <v>Prazo</v>
      </c>
      <c r="Q4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9" spans="2:17" x14ac:dyDescent="0.25">
      <c r="B49" s="154">
        <v>43125</v>
      </c>
      <c r="C49" s="154">
        <v>43088</v>
      </c>
      <c r="D49" s="154">
        <v>43125</v>
      </c>
      <c r="E49" s="50" t="s">
        <v>24</v>
      </c>
      <c r="F49" s="50" t="s">
        <v>33</v>
      </c>
      <c r="G49" s="50" t="s">
        <v>104</v>
      </c>
      <c r="H49" s="155">
        <v>668</v>
      </c>
      <c r="I49" s="50">
        <f>IF(TbRegistroEntradas[[#This Row],[Data do Caixa Realizado]]="",0,MONTH(TbRegistroEntradas[[#This Row],[Data do Caixa Realizado]]))</f>
        <v>1</v>
      </c>
      <c r="J49" s="50">
        <f>IF(TbRegistroEntradas[[#This Row],[Data do Caixa Realizado]]="",0,YEAR(TbRegistroEntradas[[#This Row],[Data do Caixa Realizado]]))</f>
        <v>2018</v>
      </c>
      <c r="K49" s="50">
        <f>IF(TbRegistroEntradas[[#This Row],[Data da Competência]]="",0,MONTH(TbRegistroEntradas[[#This Row],[Data da Competência]]))</f>
        <v>12</v>
      </c>
      <c r="L49" s="50">
        <f>IF(TbRegistroEntradas[[#This Row],[Data da Competência]]="",0,YEAR(TbRegistroEntradas[[#This Row],[Data da Competência]]))</f>
        <v>2017</v>
      </c>
      <c r="M49" s="156">
        <f>IF(TbRegistroEntradas[[#This Row],[Data do Caixa Previsto]]="",0,MONTH(TbRegistroEntradas[[#This Row],[Data do Caixa Previsto]]))</f>
        <v>1</v>
      </c>
      <c r="N49" s="156">
        <f>IF(TbRegistroEntradas[[#This Row],[Data do Caixa Previsto]]="",0,YEAR(TbRegistroEntradas[[#This Row],[Data do Caixa Previsto]]))</f>
        <v>2018</v>
      </c>
      <c r="O49" s="156" t="str">
        <f ca="1">IF(AND(TbRegistroEntradas[[#This Row],[Data do Caixa Previsto]]&lt;TODAY(),TbRegistroEntradas[[#This Row],[Data do Caixa Realizado]]=""),"Vencida","Não Vencida")</f>
        <v>Não Vencida</v>
      </c>
      <c r="P49" s="156" t="str">
        <f>IF(TbRegistroEntradas[[#This Row],[Data da Competência]]=TbRegistroEntradas[[#This Row],[Data do Caixa Previsto]],"Vista","Prazo")</f>
        <v>Prazo</v>
      </c>
      <c r="Q4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0" spans="2:17" x14ac:dyDescent="0.25">
      <c r="B50" s="154">
        <v>43089</v>
      </c>
      <c r="C50" s="154">
        <v>43089</v>
      </c>
      <c r="D50" s="154">
        <v>43089</v>
      </c>
      <c r="E50" s="50" t="s">
        <v>24</v>
      </c>
      <c r="F50" s="50" t="s">
        <v>34</v>
      </c>
      <c r="G50" s="50" t="s">
        <v>105</v>
      </c>
      <c r="H50" s="155">
        <v>3721</v>
      </c>
      <c r="I50" s="50">
        <f>IF(TbRegistroEntradas[[#This Row],[Data do Caixa Realizado]]="",0,MONTH(TbRegistroEntradas[[#This Row],[Data do Caixa Realizado]]))</f>
        <v>12</v>
      </c>
      <c r="J50" s="50">
        <f>IF(TbRegistroEntradas[[#This Row],[Data do Caixa Realizado]]="",0,YEAR(TbRegistroEntradas[[#This Row],[Data do Caixa Realizado]]))</f>
        <v>2017</v>
      </c>
      <c r="K50" s="50">
        <f>IF(TbRegistroEntradas[[#This Row],[Data da Competência]]="",0,MONTH(TbRegistroEntradas[[#This Row],[Data da Competência]]))</f>
        <v>12</v>
      </c>
      <c r="L50" s="50">
        <f>IF(TbRegistroEntradas[[#This Row],[Data da Competência]]="",0,YEAR(TbRegistroEntradas[[#This Row],[Data da Competência]]))</f>
        <v>2017</v>
      </c>
      <c r="M50" s="156">
        <f>IF(TbRegistroEntradas[[#This Row],[Data do Caixa Previsto]]="",0,MONTH(TbRegistroEntradas[[#This Row],[Data do Caixa Previsto]]))</f>
        <v>12</v>
      </c>
      <c r="N50" s="156">
        <f>IF(TbRegistroEntradas[[#This Row],[Data do Caixa Previsto]]="",0,YEAR(TbRegistroEntradas[[#This Row],[Data do Caixa Previsto]]))</f>
        <v>2017</v>
      </c>
      <c r="O50" s="156" t="str">
        <f ca="1">IF(AND(TbRegistroEntradas[[#This Row],[Data do Caixa Previsto]]&lt;TODAY(),TbRegistroEntradas[[#This Row],[Data do Caixa Realizado]]=""),"Vencida","Não Vencida")</f>
        <v>Não Vencida</v>
      </c>
      <c r="P50" s="156" t="str">
        <f>IF(TbRegistroEntradas[[#This Row],[Data da Competência]]=TbRegistroEntradas[[#This Row],[Data do Caixa Previsto]],"Vista","Prazo")</f>
        <v>Vista</v>
      </c>
      <c r="Q5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1" spans="2:17" x14ac:dyDescent="0.25">
      <c r="B51" s="154">
        <v>43133</v>
      </c>
      <c r="C51" s="154">
        <v>43091</v>
      </c>
      <c r="D51" s="154">
        <v>43133</v>
      </c>
      <c r="E51" s="50" t="s">
        <v>24</v>
      </c>
      <c r="F51" s="50" t="s">
        <v>31</v>
      </c>
      <c r="G51" s="50" t="s">
        <v>106</v>
      </c>
      <c r="H51" s="155">
        <v>3114</v>
      </c>
      <c r="I51" s="50">
        <f>IF(TbRegistroEntradas[[#This Row],[Data do Caixa Realizado]]="",0,MONTH(TbRegistroEntradas[[#This Row],[Data do Caixa Realizado]]))</f>
        <v>2</v>
      </c>
      <c r="J51" s="50">
        <f>IF(TbRegistroEntradas[[#This Row],[Data do Caixa Realizado]]="",0,YEAR(TbRegistroEntradas[[#This Row],[Data do Caixa Realizado]]))</f>
        <v>2018</v>
      </c>
      <c r="K51" s="50">
        <f>IF(TbRegistroEntradas[[#This Row],[Data da Competência]]="",0,MONTH(TbRegistroEntradas[[#This Row],[Data da Competência]]))</f>
        <v>12</v>
      </c>
      <c r="L51" s="50">
        <f>IF(TbRegistroEntradas[[#This Row],[Data da Competência]]="",0,YEAR(TbRegistroEntradas[[#This Row],[Data da Competência]]))</f>
        <v>2017</v>
      </c>
      <c r="M51" s="156">
        <f>IF(TbRegistroEntradas[[#This Row],[Data do Caixa Previsto]]="",0,MONTH(TbRegistroEntradas[[#This Row],[Data do Caixa Previsto]]))</f>
        <v>2</v>
      </c>
      <c r="N51" s="156">
        <f>IF(TbRegistroEntradas[[#This Row],[Data do Caixa Previsto]]="",0,YEAR(TbRegistroEntradas[[#This Row],[Data do Caixa Previsto]]))</f>
        <v>2018</v>
      </c>
      <c r="O51" s="156" t="str">
        <f ca="1">IF(AND(TbRegistroEntradas[[#This Row],[Data do Caixa Previsto]]&lt;TODAY(),TbRegistroEntradas[[#This Row],[Data do Caixa Realizado]]=""),"Vencida","Não Vencida")</f>
        <v>Não Vencida</v>
      </c>
      <c r="P51" s="156" t="str">
        <f>IF(TbRegistroEntradas[[#This Row],[Data da Competência]]=TbRegistroEntradas[[#This Row],[Data do Caixa Previsto]],"Vista","Prazo")</f>
        <v>Prazo</v>
      </c>
      <c r="Q5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2" spans="2:17" x14ac:dyDescent="0.25">
      <c r="B52" s="154">
        <v>43182</v>
      </c>
      <c r="C52" s="154">
        <v>43095</v>
      </c>
      <c r="D52" s="154">
        <v>43095</v>
      </c>
      <c r="E52" s="50" t="s">
        <v>24</v>
      </c>
      <c r="F52" s="50" t="s">
        <v>33</v>
      </c>
      <c r="G52" s="50" t="s">
        <v>107</v>
      </c>
      <c r="H52" s="155">
        <v>1436</v>
      </c>
      <c r="I52" s="50">
        <f>IF(TbRegistroEntradas[[#This Row],[Data do Caixa Realizado]]="",0,MONTH(TbRegistroEntradas[[#This Row],[Data do Caixa Realizado]]))</f>
        <v>3</v>
      </c>
      <c r="J52" s="50">
        <f>IF(TbRegistroEntradas[[#This Row],[Data do Caixa Realizado]]="",0,YEAR(TbRegistroEntradas[[#This Row],[Data do Caixa Realizado]]))</f>
        <v>2018</v>
      </c>
      <c r="K52" s="50">
        <f>IF(TbRegistroEntradas[[#This Row],[Data da Competência]]="",0,MONTH(TbRegistroEntradas[[#This Row],[Data da Competência]]))</f>
        <v>12</v>
      </c>
      <c r="L52" s="50">
        <f>IF(TbRegistroEntradas[[#This Row],[Data da Competência]]="",0,YEAR(TbRegistroEntradas[[#This Row],[Data da Competência]]))</f>
        <v>2017</v>
      </c>
      <c r="M52" s="156">
        <f>IF(TbRegistroEntradas[[#This Row],[Data do Caixa Previsto]]="",0,MONTH(TbRegistroEntradas[[#This Row],[Data do Caixa Previsto]]))</f>
        <v>12</v>
      </c>
      <c r="N52" s="156">
        <f>IF(TbRegistroEntradas[[#This Row],[Data do Caixa Previsto]]="",0,YEAR(TbRegistroEntradas[[#This Row],[Data do Caixa Previsto]]))</f>
        <v>2017</v>
      </c>
      <c r="O52" s="156" t="str">
        <f ca="1">IF(AND(TbRegistroEntradas[[#This Row],[Data do Caixa Previsto]]&lt;TODAY(),TbRegistroEntradas[[#This Row],[Data do Caixa Realizado]]=""),"Vencida","Não Vencida")</f>
        <v>Não Vencida</v>
      </c>
      <c r="P52" s="156" t="str">
        <f>IF(TbRegistroEntradas[[#This Row],[Data da Competência]]=TbRegistroEntradas[[#This Row],[Data do Caixa Previsto]],"Vista","Prazo")</f>
        <v>Vista</v>
      </c>
      <c r="Q5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53" spans="2:17" x14ac:dyDescent="0.25">
      <c r="B53" s="154">
        <v>43101</v>
      </c>
      <c r="C53" s="154">
        <v>43099</v>
      </c>
      <c r="D53" s="154">
        <v>43101</v>
      </c>
      <c r="E53" s="50" t="s">
        <v>24</v>
      </c>
      <c r="F53" s="50" t="s">
        <v>33</v>
      </c>
      <c r="G53" s="50" t="s">
        <v>108</v>
      </c>
      <c r="H53" s="155">
        <v>3192</v>
      </c>
      <c r="I53" s="50">
        <f>IF(TbRegistroEntradas[[#This Row],[Data do Caixa Realizado]]="",0,MONTH(TbRegistroEntradas[[#This Row],[Data do Caixa Realizado]]))</f>
        <v>1</v>
      </c>
      <c r="J53" s="50">
        <f>IF(TbRegistroEntradas[[#This Row],[Data do Caixa Realizado]]="",0,YEAR(TbRegistroEntradas[[#This Row],[Data do Caixa Realizado]]))</f>
        <v>2018</v>
      </c>
      <c r="K53" s="50">
        <f>IF(TbRegistroEntradas[[#This Row],[Data da Competência]]="",0,MONTH(TbRegistroEntradas[[#This Row],[Data da Competência]]))</f>
        <v>12</v>
      </c>
      <c r="L53" s="50">
        <f>IF(TbRegistroEntradas[[#This Row],[Data da Competência]]="",0,YEAR(TbRegistroEntradas[[#This Row],[Data da Competência]]))</f>
        <v>2017</v>
      </c>
      <c r="M53" s="156">
        <f>IF(TbRegistroEntradas[[#This Row],[Data do Caixa Previsto]]="",0,MONTH(TbRegistroEntradas[[#This Row],[Data do Caixa Previsto]]))</f>
        <v>1</v>
      </c>
      <c r="N53" s="156">
        <f>IF(TbRegistroEntradas[[#This Row],[Data do Caixa Previsto]]="",0,YEAR(TbRegistroEntradas[[#This Row],[Data do Caixa Previsto]]))</f>
        <v>2018</v>
      </c>
      <c r="O53" s="156" t="str">
        <f ca="1">IF(AND(TbRegistroEntradas[[#This Row],[Data do Caixa Previsto]]&lt;TODAY(),TbRegistroEntradas[[#This Row],[Data do Caixa Realizado]]=""),"Vencida","Não Vencida")</f>
        <v>Não Vencida</v>
      </c>
      <c r="P53" s="156" t="str">
        <f>IF(TbRegistroEntradas[[#This Row],[Data da Competência]]=TbRegistroEntradas[[#This Row],[Data do Caixa Previsto]],"Vista","Prazo")</f>
        <v>Prazo</v>
      </c>
      <c r="Q5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4" spans="2:17" x14ac:dyDescent="0.25">
      <c r="B54" s="154">
        <v>43144</v>
      </c>
      <c r="C54" s="154">
        <v>43100</v>
      </c>
      <c r="D54" s="154">
        <v>43144</v>
      </c>
      <c r="E54" s="50" t="s">
        <v>24</v>
      </c>
      <c r="F54" s="50" t="s">
        <v>34</v>
      </c>
      <c r="G54" s="50" t="s">
        <v>109</v>
      </c>
      <c r="H54" s="155">
        <v>2687</v>
      </c>
      <c r="I54" s="50">
        <f>IF(TbRegistroEntradas[[#This Row],[Data do Caixa Realizado]]="",0,MONTH(TbRegistroEntradas[[#This Row],[Data do Caixa Realizado]]))</f>
        <v>2</v>
      </c>
      <c r="J54" s="50">
        <f>IF(TbRegistroEntradas[[#This Row],[Data do Caixa Realizado]]="",0,YEAR(TbRegistroEntradas[[#This Row],[Data do Caixa Realizado]]))</f>
        <v>2018</v>
      </c>
      <c r="K54" s="50">
        <f>IF(TbRegistroEntradas[[#This Row],[Data da Competência]]="",0,MONTH(TbRegistroEntradas[[#This Row],[Data da Competência]]))</f>
        <v>12</v>
      </c>
      <c r="L54" s="50">
        <f>IF(TbRegistroEntradas[[#This Row],[Data da Competência]]="",0,YEAR(TbRegistroEntradas[[#This Row],[Data da Competência]]))</f>
        <v>2017</v>
      </c>
      <c r="M54" s="156">
        <f>IF(TbRegistroEntradas[[#This Row],[Data do Caixa Previsto]]="",0,MONTH(TbRegistroEntradas[[#This Row],[Data do Caixa Previsto]]))</f>
        <v>2</v>
      </c>
      <c r="N54" s="156">
        <f>IF(TbRegistroEntradas[[#This Row],[Data do Caixa Previsto]]="",0,YEAR(TbRegistroEntradas[[#This Row],[Data do Caixa Previsto]]))</f>
        <v>2018</v>
      </c>
      <c r="O54" s="156" t="str">
        <f ca="1">IF(AND(TbRegistroEntradas[[#This Row],[Data do Caixa Previsto]]&lt;TODAY(),TbRegistroEntradas[[#This Row],[Data do Caixa Realizado]]=""),"Vencida","Não Vencida")</f>
        <v>Não Vencida</v>
      </c>
      <c r="P54" s="156" t="str">
        <f>IF(TbRegistroEntradas[[#This Row],[Data da Competência]]=TbRegistroEntradas[[#This Row],[Data do Caixa Previsto]],"Vista","Prazo")</f>
        <v>Prazo</v>
      </c>
      <c r="Q5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5" spans="2:17" x14ac:dyDescent="0.25">
      <c r="B55" s="154" t="s">
        <v>67</v>
      </c>
      <c r="C55" s="154">
        <v>43103</v>
      </c>
      <c r="D55" s="154">
        <v>43159</v>
      </c>
      <c r="E55" s="50" t="s">
        <v>24</v>
      </c>
      <c r="F55" s="50" t="s">
        <v>33</v>
      </c>
      <c r="G55" s="50" t="s">
        <v>110</v>
      </c>
      <c r="H55" s="155">
        <v>1561</v>
      </c>
      <c r="I55" s="50">
        <f>IF(TbRegistroEntradas[[#This Row],[Data do Caixa Realizado]]="",0,MONTH(TbRegistroEntradas[[#This Row],[Data do Caixa Realizado]]))</f>
        <v>0</v>
      </c>
      <c r="J55" s="50">
        <f>IF(TbRegistroEntradas[[#This Row],[Data do Caixa Realizado]]="",0,YEAR(TbRegistroEntradas[[#This Row],[Data do Caixa Realizado]]))</f>
        <v>0</v>
      </c>
      <c r="K55" s="50">
        <f>IF(TbRegistroEntradas[[#This Row],[Data da Competência]]="",0,MONTH(TbRegistroEntradas[[#This Row],[Data da Competência]]))</f>
        <v>1</v>
      </c>
      <c r="L55" s="50">
        <f>IF(TbRegistroEntradas[[#This Row],[Data da Competência]]="",0,YEAR(TbRegistroEntradas[[#This Row],[Data da Competência]]))</f>
        <v>2018</v>
      </c>
      <c r="M55" s="156">
        <f>IF(TbRegistroEntradas[[#This Row],[Data do Caixa Previsto]]="",0,MONTH(TbRegistroEntradas[[#This Row],[Data do Caixa Previsto]]))</f>
        <v>2</v>
      </c>
      <c r="N55" s="156">
        <f>IF(TbRegistroEntradas[[#This Row],[Data do Caixa Previsto]]="",0,YEAR(TbRegistroEntradas[[#This Row],[Data do Caixa Previsto]]))</f>
        <v>2018</v>
      </c>
      <c r="O55" s="156" t="str">
        <f ca="1">IF(AND(TbRegistroEntradas[[#This Row],[Data do Caixa Previsto]]&lt;TODAY(),TbRegistroEntradas[[#This Row],[Data do Caixa Realizado]]=""),"Vencida","Não Vencida")</f>
        <v>Vencida</v>
      </c>
      <c r="P55" s="156" t="str">
        <f>IF(TbRegistroEntradas[[#This Row],[Data da Competência]]=TbRegistroEntradas[[#This Row],[Data do Caixa Previsto]],"Vista","Prazo")</f>
        <v>Prazo</v>
      </c>
      <c r="Q5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787</v>
      </c>
    </row>
    <row r="56" spans="2:17" x14ac:dyDescent="0.25">
      <c r="B56" s="154">
        <v>43155</v>
      </c>
      <c r="C56" s="154">
        <v>43109</v>
      </c>
      <c r="D56" s="154">
        <v>43113</v>
      </c>
      <c r="E56" s="50" t="s">
        <v>24</v>
      </c>
      <c r="F56" s="50" t="s">
        <v>33</v>
      </c>
      <c r="G56" s="50" t="s">
        <v>111</v>
      </c>
      <c r="H56" s="155">
        <v>1573</v>
      </c>
      <c r="I56" s="50">
        <f>IF(TbRegistroEntradas[[#This Row],[Data do Caixa Realizado]]="",0,MONTH(TbRegistroEntradas[[#This Row],[Data do Caixa Realizado]]))</f>
        <v>2</v>
      </c>
      <c r="J56" s="50">
        <f>IF(TbRegistroEntradas[[#This Row],[Data do Caixa Realizado]]="",0,YEAR(TbRegistroEntradas[[#This Row],[Data do Caixa Realizado]]))</f>
        <v>2018</v>
      </c>
      <c r="K56" s="50">
        <f>IF(TbRegistroEntradas[[#This Row],[Data da Competência]]="",0,MONTH(TbRegistroEntradas[[#This Row],[Data da Competência]]))</f>
        <v>1</v>
      </c>
      <c r="L56" s="50">
        <f>IF(TbRegistroEntradas[[#This Row],[Data da Competência]]="",0,YEAR(TbRegistroEntradas[[#This Row],[Data da Competência]]))</f>
        <v>2018</v>
      </c>
      <c r="M56" s="156">
        <f>IF(TbRegistroEntradas[[#This Row],[Data do Caixa Previsto]]="",0,MONTH(TbRegistroEntradas[[#This Row],[Data do Caixa Previsto]]))</f>
        <v>1</v>
      </c>
      <c r="N56" s="156">
        <f>IF(TbRegistroEntradas[[#This Row],[Data do Caixa Previsto]]="",0,YEAR(TbRegistroEntradas[[#This Row],[Data do Caixa Previsto]]))</f>
        <v>2018</v>
      </c>
      <c r="O56" s="156" t="str">
        <f ca="1">IF(AND(TbRegistroEntradas[[#This Row],[Data do Caixa Previsto]]&lt;TODAY(),TbRegistroEntradas[[#This Row],[Data do Caixa Realizado]]=""),"Vencida","Não Vencida")</f>
        <v>Não Vencida</v>
      </c>
      <c r="P56" s="156" t="str">
        <f>IF(TbRegistroEntradas[[#This Row],[Data da Competência]]=TbRegistroEntradas[[#This Row],[Data do Caixa Previsto]],"Vista","Prazo")</f>
        <v>Prazo</v>
      </c>
      <c r="Q5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</v>
      </c>
    </row>
    <row r="57" spans="2:17" x14ac:dyDescent="0.25">
      <c r="B57" s="154">
        <v>43117</v>
      </c>
      <c r="C57" s="154">
        <v>43117</v>
      </c>
      <c r="D57" s="154">
        <v>43117</v>
      </c>
      <c r="E57" s="50" t="s">
        <v>24</v>
      </c>
      <c r="F57" s="50" t="s">
        <v>33</v>
      </c>
      <c r="G57" s="50" t="s">
        <v>112</v>
      </c>
      <c r="H57" s="155">
        <v>1364</v>
      </c>
      <c r="I57" s="50">
        <f>IF(TbRegistroEntradas[[#This Row],[Data do Caixa Realizado]]="",0,MONTH(TbRegistroEntradas[[#This Row],[Data do Caixa Realizado]]))</f>
        <v>1</v>
      </c>
      <c r="J57" s="50">
        <f>IF(TbRegistroEntradas[[#This Row],[Data do Caixa Realizado]]="",0,YEAR(TbRegistroEntradas[[#This Row],[Data do Caixa Realizado]]))</f>
        <v>2018</v>
      </c>
      <c r="K57" s="50">
        <f>IF(TbRegistroEntradas[[#This Row],[Data da Competência]]="",0,MONTH(TbRegistroEntradas[[#This Row],[Data da Competência]]))</f>
        <v>1</v>
      </c>
      <c r="L57" s="50">
        <f>IF(TbRegistroEntradas[[#This Row],[Data da Competência]]="",0,YEAR(TbRegistroEntradas[[#This Row],[Data da Competência]]))</f>
        <v>2018</v>
      </c>
      <c r="M57" s="156">
        <f>IF(TbRegistroEntradas[[#This Row],[Data do Caixa Previsto]]="",0,MONTH(TbRegistroEntradas[[#This Row],[Data do Caixa Previsto]]))</f>
        <v>1</v>
      </c>
      <c r="N57" s="156">
        <f>IF(TbRegistroEntradas[[#This Row],[Data do Caixa Previsto]]="",0,YEAR(TbRegistroEntradas[[#This Row],[Data do Caixa Previsto]]))</f>
        <v>2018</v>
      </c>
      <c r="O57" s="156" t="str">
        <f ca="1">IF(AND(TbRegistroEntradas[[#This Row],[Data do Caixa Previsto]]&lt;TODAY(),TbRegistroEntradas[[#This Row],[Data do Caixa Realizado]]=""),"Vencida","Não Vencida")</f>
        <v>Não Vencida</v>
      </c>
      <c r="P57" s="156" t="str">
        <f>IF(TbRegistroEntradas[[#This Row],[Data da Competência]]=TbRegistroEntradas[[#This Row],[Data do Caixa Previsto]],"Vista","Prazo")</f>
        <v>Vista</v>
      </c>
      <c r="Q5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8" spans="2:17" x14ac:dyDescent="0.25">
      <c r="B58" s="154">
        <v>43166</v>
      </c>
      <c r="C58" s="154">
        <v>43121</v>
      </c>
      <c r="D58" s="154">
        <v>43166</v>
      </c>
      <c r="E58" s="50" t="s">
        <v>24</v>
      </c>
      <c r="F58" s="50" t="s">
        <v>34</v>
      </c>
      <c r="G58" s="50" t="s">
        <v>113</v>
      </c>
      <c r="H58" s="155">
        <v>783</v>
      </c>
      <c r="I58" s="50">
        <f>IF(TbRegistroEntradas[[#This Row],[Data do Caixa Realizado]]="",0,MONTH(TbRegistroEntradas[[#This Row],[Data do Caixa Realizado]]))</f>
        <v>3</v>
      </c>
      <c r="J58" s="50">
        <f>IF(TbRegistroEntradas[[#This Row],[Data do Caixa Realizado]]="",0,YEAR(TbRegistroEntradas[[#This Row],[Data do Caixa Realizado]]))</f>
        <v>2018</v>
      </c>
      <c r="K58" s="50">
        <f>IF(TbRegistroEntradas[[#This Row],[Data da Competência]]="",0,MONTH(TbRegistroEntradas[[#This Row],[Data da Competência]]))</f>
        <v>1</v>
      </c>
      <c r="L58" s="50">
        <f>IF(TbRegistroEntradas[[#This Row],[Data da Competência]]="",0,YEAR(TbRegistroEntradas[[#This Row],[Data da Competência]]))</f>
        <v>2018</v>
      </c>
      <c r="M58" s="156">
        <f>IF(TbRegistroEntradas[[#This Row],[Data do Caixa Previsto]]="",0,MONTH(TbRegistroEntradas[[#This Row],[Data do Caixa Previsto]]))</f>
        <v>3</v>
      </c>
      <c r="N58" s="156">
        <f>IF(TbRegistroEntradas[[#This Row],[Data do Caixa Previsto]]="",0,YEAR(TbRegistroEntradas[[#This Row],[Data do Caixa Previsto]]))</f>
        <v>2018</v>
      </c>
      <c r="O58" s="156" t="str">
        <f ca="1">IF(AND(TbRegistroEntradas[[#This Row],[Data do Caixa Previsto]]&lt;TODAY(),TbRegistroEntradas[[#This Row],[Data do Caixa Realizado]]=""),"Vencida","Não Vencida")</f>
        <v>Não Vencida</v>
      </c>
      <c r="P58" s="156" t="str">
        <f>IF(TbRegistroEntradas[[#This Row],[Data da Competência]]=TbRegistroEntradas[[#This Row],[Data do Caixa Previsto]],"Vista","Prazo")</f>
        <v>Prazo</v>
      </c>
      <c r="Q5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9" spans="2:17" x14ac:dyDescent="0.25">
      <c r="B59" s="154">
        <v>43145</v>
      </c>
      <c r="C59" s="154">
        <v>43122</v>
      </c>
      <c r="D59" s="154">
        <v>43145</v>
      </c>
      <c r="E59" s="50" t="s">
        <v>24</v>
      </c>
      <c r="F59" s="50" t="s">
        <v>34</v>
      </c>
      <c r="G59" s="50" t="s">
        <v>114</v>
      </c>
      <c r="H59" s="155">
        <v>3928</v>
      </c>
      <c r="I59" s="50">
        <f>IF(TbRegistroEntradas[[#This Row],[Data do Caixa Realizado]]="",0,MONTH(TbRegistroEntradas[[#This Row],[Data do Caixa Realizado]]))</f>
        <v>2</v>
      </c>
      <c r="J59" s="50">
        <f>IF(TbRegistroEntradas[[#This Row],[Data do Caixa Realizado]]="",0,YEAR(TbRegistroEntradas[[#This Row],[Data do Caixa Realizado]]))</f>
        <v>2018</v>
      </c>
      <c r="K59" s="50">
        <f>IF(TbRegistroEntradas[[#This Row],[Data da Competência]]="",0,MONTH(TbRegistroEntradas[[#This Row],[Data da Competência]]))</f>
        <v>1</v>
      </c>
      <c r="L59" s="50">
        <f>IF(TbRegistroEntradas[[#This Row],[Data da Competência]]="",0,YEAR(TbRegistroEntradas[[#This Row],[Data da Competência]]))</f>
        <v>2018</v>
      </c>
      <c r="M59" s="156">
        <f>IF(TbRegistroEntradas[[#This Row],[Data do Caixa Previsto]]="",0,MONTH(TbRegistroEntradas[[#This Row],[Data do Caixa Previsto]]))</f>
        <v>2</v>
      </c>
      <c r="N59" s="156">
        <f>IF(TbRegistroEntradas[[#This Row],[Data do Caixa Previsto]]="",0,YEAR(TbRegistroEntradas[[#This Row],[Data do Caixa Previsto]]))</f>
        <v>2018</v>
      </c>
      <c r="O59" s="156" t="str">
        <f ca="1">IF(AND(TbRegistroEntradas[[#This Row],[Data do Caixa Previsto]]&lt;TODAY(),TbRegistroEntradas[[#This Row],[Data do Caixa Realizado]]=""),"Vencida","Não Vencida")</f>
        <v>Não Vencida</v>
      </c>
      <c r="P59" s="156" t="str">
        <f>IF(TbRegistroEntradas[[#This Row],[Data da Competência]]=TbRegistroEntradas[[#This Row],[Data do Caixa Previsto]],"Vista","Prazo")</f>
        <v>Prazo</v>
      </c>
      <c r="Q5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0" spans="2:17" x14ac:dyDescent="0.25">
      <c r="B60" s="154">
        <v>43142</v>
      </c>
      <c r="C60" s="154">
        <v>43124</v>
      </c>
      <c r="D60" s="154">
        <v>43142</v>
      </c>
      <c r="E60" s="50" t="s">
        <v>24</v>
      </c>
      <c r="F60" s="50" t="s">
        <v>31</v>
      </c>
      <c r="G60" s="50" t="s">
        <v>115</v>
      </c>
      <c r="H60" s="155">
        <v>3843</v>
      </c>
      <c r="I60" s="50">
        <f>IF(TbRegistroEntradas[[#This Row],[Data do Caixa Realizado]]="",0,MONTH(TbRegistroEntradas[[#This Row],[Data do Caixa Realizado]]))</f>
        <v>2</v>
      </c>
      <c r="J60" s="50">
        <f>IF(TbRegistroEntradas[[#This Row],[Data do Caixa Realizado]]="",0,YEAR(TbRegistroEntradas[[#This Row],[Data do Caixa Realizado]]))</f>
        <v>2018</v>
      </c>
      <c r="K60" s="50">
        <f>IF(TbRegistroEntradas[[#This Row],[Data da Competência]]="",0,MONTH(TbRegistroEntradas[[#This Row],[Data da Competência]]))</f>
        <v>1</v>
      </c>
      <c r="L60" s="50">
        <f>IF(TbRegistroEntradas[[#This Row],[Data da Competência]]="",0,YEAR(TbRegistroEntradas[[#This Row],[Data da Competência]]))</f>
        <v>2018</v>
      </c>
      <c r="M60" s="156">
        <f>IF(TbRegistroEntradas[[#This Row],[Data do Caixa Previsto]]="",0,MONTH(TbRegistroEntradas[[#This Row],[Data do Caixa Previsto]]))</f>
        <v>2</v>
      </c>
      <c r="N60" s="156">
        <f>IF(TbRegistroEntradas[[#This Row],[Data do Caixa Previsto]]="",0,YEAR(TbRegistroEntradas[[#This Row],[Data do Caixa Previsto]]))</f>
        <v>2018</v>
      </c>
      <c r="O60" s="156" t="str">
        <f ca="1">IF(AND(TbRegistroEntradas[[#This Row],[Data do Caixa Previsto]]&lt;TODAY(),TbRegistroEntradas[[#This Row],[Data do Caixa Realizado]]=""),"Vencida","Não Vencida")</f>
        <v>Não Vencida</v>
      </c>
      <c r="P60" s="156" t="str">
        <f>IF(TbRegistroEntradas[[#This Row],[Data da Competência]]=TbRegistroEntradas[[#This Row],[Data do Caixa Previsto]],"Vista","Prazo")</f>
        <v>Prazo</v>
      </c>
      <c r="Q6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1" spans="2:17" x14ac:dyDescent="0.25">
      <c r="B61" s="154">
        <v>43206</v>
      </c>
      <c r="C61" s="154">
        <v>43125</v>
      </c>
      <c r="D61" s="154">
        <v>43129</v>
      </c>
      <c r="E61" s="50" t="s">
        <v>24</v>
      </c>
      <c r="F61" s="50" t="s">
        <v>30</v>
      </c>
      <c r="G61" s="50" t="s">
        <v>116</v>
      </c>
      <c r="H61" s="155">
        <v>1864</v>
      </c>
      <c r="I61" s="50">
        <f>IF(TbRegistroEntradas[[#This Row],[Data do Caixa Realizado]]="",0,MONTH(TbRegistroEntradas[[#This Row],[Data do Caixa Realizado]]))</f>
        <v>4</v>
      </c>
      <c r="J61" s="50">
        <f>IF(TbRegistroEntradas[[#This Row],[Data do Caixa Realizado]]="",0,YEAR(TbRegistroEntradas[[#This Row],[Data do Caixa Realizado]]))</f>
        <v>2018</v>
      </c>
      <c r="K61" s="50">
        <f>IF(TbRegistroEntradas[[#This Row],[Data da Competência]]="",0,MONTH(TbRegistroEntradas[[#This Row],[Data da Competência]]))</f>
        <v>1</v>
      </c>
      <c r="L61" s="50">
        <f>IF(TbRegistroEntradas[[#This Row],[Data da Competência]]="",0,YEAR(TbRegistroEntradas[[#This Row],[Data da Competência]]))</f>
        <v>2018</v>
      </c>
      <c r="M61" s="156">
        <f>IF(TbRegistroEntradas[[#This Row],[Data do Caixa Previsto]]="",0,MONTH(TbRegistroEntradas[[#This Row],[Data do Caixa Previsto]]))</f>
        <v>1</v>
      </c>
      <c r="N61" s="156">
        <f>IF(TbRegistroEntradas[[#This Row],[Data do Caixa Previsto]]="",0,YEAR(TbRegistroEntradas[[#This Row],[Data do Caixa Previsto]]))</f>
        <v>2018</v>
      </c>
      <c r="O61" s="156" t="str">
        <f ca="1">IF(AND(TbRegistroEntradas[[#This Row],[Data do Caixa Previsto]]&lt;TODAY(),TbRegistroEntradas[[#This Row],[Data do Caixa Realizado]]=""),"Vencida","Não Vencida")</f>
        <v>Não Vencida</v>
      </c>
      <c r="P61" s="156" t="str">
        <f>IF(TbRegistroEntradas[[#This Row],[Data da Competência]]=TbRegistroEntradas[[#This Row],[Data do Caixa Previsto]],"Vista","Prazo")</f>
        <v>Prazo</v>
      </c>
      <c r="Q6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77</v>
      </c>
    </row>
    <row r="62" spans="2:17" x14ac:dyDescent="0.25">
      <c r="B62" s="154">
        <v>43137</v>
      </c>
      <c r="C62" s="154">
        <v>43128</v>
      </c>
      <c r="D62" s="154">
        <v>43128</v>
      </c>
      <c r="E62" s="50" t="s">
        <v>24</v>
      </c>
      <c r="F62" s="50" t="s">
        <v>33</v>
      </c>
      <c r="G62" s="50" t="s">
        <v>117</v>
      </c>
      <c r="H62" s="155">
        <v>1184</v>
      </c>
      <c r="I62" s="50">
        <f>IF(TbRegistroEntradas[[#This Row],[Data do Caixa Realizado]]="",0,MONTH(TbRegistroEntradas[[#This Row],[Data do Caixa Realizado]]))</f>
        <v>2</v>
      </c>
      <c r="J62" s="50">
        <f>IF(TbRegistroEntradas[[#This Row],[Data do Caixa Realizado]]="",0,YEAR(TbRegistroEntradas[[#This Row],[Data do Caixa Realizado]]))</f>
        <v>2018</v>
      </c>
      <c r="K62" s="50">
        <f>IF(TbRegistroEntradas[[#This Row],[Data da Competência]]="",0,MONTH(TbRegistroEntradas[[#This Row],[Data da Competência]]))</f>
        <v>1</v>
      </c>
      <c r="L62" s="50">
        <f>IF(TbRegistroEntradas[[#This Row],[Data da Competência]]="",0,YEAR(TbRegistroEntradas[[#This Row],[Data da Competência]]))</f>
        <v>2018</v>
      </c>
      <c r="M62" s="156">
        <f>IF(TbRegistroEntradas[[#This Row],[Data do Caixa Previsto]]="",0,MONTH(TbRegistroEntradas[[#This Row],[Data do Caixa Previsto]]))</f>
        <v>1</v>
      </c>
      <c r="N62" s="156">
        <f>IF(TbRegistroEntradas[[#This Row],[Data do Caixa Previsto]]="",0,YEAR(TbRegistroEntradas[[#This Row],[Data do Caixa Previsto]]))</f>
        <v>2018</v>
      </c>
      <c r="O62" s="156" t="str">
        <f ca="1">IF(AND(TbRegistroEntradas[[#This Row],[Data do Caixa Previsto]]&lt;TODAY(),TbRegistroEntradas[[#This Row],[Data do Caixa Realizado]]=""),"Vencida","Não Vencida")</f>
        <v>Não Vencida</v>
      </c>
      <c r="P62" s="156" t="str">
        <f>IF(TbRegistroEntradas[[#This Row],[Data da Competência]]=TbRegistroEntradas[[#This Row],[Data do Caixa Previsto]],"Vista","Prazo")</f>
        <v>Vista</v>
      </c>
      <c r="Q6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</v>
      </c>
    </row>
    <row r="63" spans="2:17" x14ac:dyDescent="0.25">
      <c r="B63" s="154">
        <v>43161</v>
      </c>
      <c r="C63" s="154">
        <v>43129</v>
      </c>
      <c r="D63" s="154">
        <v>43161</v>
      </c>
      <c r="E63" s="50" t="s">
        <v>24</v>
      </c>
      <c r="F63" s="50" t="s">
        <v>33</v>
      </c>
      <c r="G63" s="50" t="s">
        <v>118</v>
      </c>
      <c r="H63" s="155">
        <v>4055</v>
      </c>
      <c r="I63" s="50">
        <f>IF(TbRegistroEntradas[[#This Row],[Data do Caixa Realizado]]="",0,MONTH(TbRegistroEntradas[[#This Row],[Data do Caixa Realizado]]))</f>
        <v>3</v>
      </c>
      <c r="J63" s="50">
        <f>IF(TbRegistroEntradas[[#This Row],[Data do Caixa Realizado]]="",0,YEAR(TbRegistroEntradas[[#This Row],[Data do Caixa Realizado]]))</f>
        <v>2018</v>
      </c>
      <c r="K63" s="50">
        <f>IF(TbRegistroEntradas[[#This Row],[Data da Competência]]="",0,MONTH(TbRegistroEntradas[[#This Row],[Data da Competência]]))</f>
        <v>1</v>
      </c>
      <c r="L63" s="50">
        <f>IF(TbRegistroEntradas[[#This Row],[Data da Competência]]="",0,YEAR(TbRegistroEntradas[[#This Row],[Data da Competência]]))</f>
        <v>2018</v>
      </c>
      <c r="M63" s="156">
        <f>IF(TbRegistroEntradas[[#This Row],[Data do Caixa Previsto]]="",0,MONTH(TbRegistroEntradas[[#This Row],[Data do Caixa Previsto]]))</f>
        <v>3</v>
      </c>
      <c r="N63" s="156">
        <f>IF(TbRegistroEntradas[[#This Row],[Data do Caixa Previsto]]="",0,YEAR(TbRegistroEntradas[[#This Row],[Data do Caixa Previsto]]))</f>
        <v>2018</v>
      </c>
      <c r="O63" s="156" t="str">
        <f ca="1">IF(AND(TbRegistroEntradas[[#This Row],[Data do Caixa Previsto]]&lt;TODAY(),TbRegistroEntradas[[#This Row],[Data do Caixa Realizado]]=""),"Vencida","Não Vencida")</f>
        <v>Não Vencida</v>
      </c>
      <c r="P63" s="156" t="str">
        <f>IF(TbRegistroEntradas[[#This Row],[Data da Competência]]=TbRegistroEntradas[[#This Row],[Data do Caixa Previsto]],"Vista","Prazo")</f>
        <v>Prazo</v>
      </c>
      <c r="Q6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4" spans="2:17" x14ac:dyDescent="0.25">
      <c r="B64" s="154">
        <v>43178</v>
      </c>
      <c r="C64" s="154">
        <v>43130</v>
      </c>
      <c r="D64" s="154">
        <v>43178</v>
      </c>
      <c r="E64" s="50" t="s">
        <v>24</v>
      </c>
      <c r="F64" s="50" t="s">
        <v>33</v>
      </c>
      <c r="G64" s="50" t="s">
        <v>119</v>
      </c>
      <c r="H64" s="155">
        <v>427</v>
      </c>
      <c r="I64" s="50">
        <f>IF(TbRegistroEntradas[[#This Row],[Data do Caixa Realizado]]="",0,MONTH(TbRegistroEntradas[[#This Row],[Data do Caixa Realizado]]))</f>
        <v>3</v>
      </c>
      <c r="J64" s="50">
        <f>IF(TbRegistroEntradas[[#This Row],[Data do Caixa Realizado]]="",0,YEAR(TbRegistroEntradas[[#This Row],[Data do Caixa Realizado]]))</f>
        <v>2018</v>
      </c>
      <c r="K64" s="50">
        <f>IF(TbRegistroEntradas[[#This Row],[Data da Competência]]="",0,MONTH(TbRegistroEntradas[[#This Row],[Data da Competência]]))</f>
        <v>1</v>
      </c>
      <c r="L64" s="50">
        <f>IF(TbRegistroEntradas[[#This Row],[Data da Competência]]="",0,YEAR(TbRegistroEntradas[[#This Row],[Data da Competência]]))</f>
        <v>2018</v>
      </c>
      <c r="M64" s="156">
        <f>IF(TbRegistroEntradas[[#This Row],[Data do Caixa Previsto]]="",0,MONTH(TbRegistroEntradas[[#This Row],[Data do Caixa Previsto]]))</f>
        <v>3</v>
      </c>
      <c r="N64" s="156">
        <f>IF(TbRegistroEntradas[[#This Row],[Data do Caixa Previsto]]="",0,YEAR(TbRegistroEntradas[[#This Row],[Data do Caixa Previsto]]))</f>
        <v>2018</v>
      </c>
      <c r="O64" s="156" t="str">
        <f ca="1">IF(AND(TbRegistroEntradas[[#This Row],[Data do Caixa Previsto]]&lt;TODAY(),TbRegistroEntradas[[#This Row],[Data do Caixa Realizado]]=""),"Vencida","Não Vencida")</f>
        <v>Não Vencida</v>
      </c>
      <c r="P64" s="156" t="str">
        <f>IF(TbRegistroEntradas[[#This Row],[Data da Competência]]=TbRegistroEntradas[[#This Row],[Data do Caixa Previsto]],"Vista","Prazo")</f>
        <v>Prazo</v>
      </c>
      <c r="Q6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5" spans="2:17" x14ac:dyDescent="0.25">
      <c r="B65" s="154">
        <v>43138</v>
      </c>
      <c r="C65" s="154">
        <v>43133</v>
      </c>
      <c r="D65" s="154">
        <v>43138</v>
      </c>
      <c r="E65" s="50" t="s">
        <v>24</v>
      </c>
      <c r="F65" s="50" t="s">
        <v>32</v>
      </c>
      <c r="G65" s="50" t="s">
        <v>120</v>
      </c>
      <c r="H65" s="155">
        <v>460</v>
      </c>
      <c r="I65" s="50">
        <f>IF(TbRegistroEntradas[[#This Row],[Data do Caixa Realizado]]="",0,MONTH(TbRegistroEntradas[[#This Row],[Data do Caixa Realizado]]))</f>
        <v>2</v>
      </c>
      <c r="J65" s="50">
        <f>IF(TbRegistroEntradas[[#This Row],[Data do Caixa Realizado]]="",0,YEAR(TbRegistroEntradas[[#This Row],[Data do Caixa Realizado]]))</f>
        <v>2018</v>
      </c>
      <c r="K65" s="50">
        <f>IF(TbRegistroEntradas[[#This Row],[Data da Competência]]="",0,MONTH(TbRegistroEntradas[[#This Row],[Data da Competência]]))</f>
        <v>2</v>
      </c>
      <c r="L65" s="50">
        <f>IF(TbRegistroEntradas[[#This Row],[Data da Competência]]="",0,YEAR(TbRegistroEntradas[[#This Row],[Data da Competência]]))</f>
        <v>2018</v>
      </c>
      <c r="M65" s="156">
        <f>IF(TbRegistroEntradas[[#This Row],[Data do Caixa Previsto]]="",0,MONTH(TbRegistroEntradas[[#This Row],[Data do Caixa Previsto]]))</f>
        <v>2</v>
      </c>
      <c r="N65" s="156">
        <f>IF(TbRegistroEntradas[[#This Row],[Data do Caixa Previsto]]="",0,YEAR(TbRegistroEntradas[[#This Row],[Data do Caixa Previsto]]))</f>
        <v>2018</v>
      </c>
      <c r="O65" s="156" t="str">
        <f ca="1">IF(AND(TbRegistroEntradas[[#This Row],[Data do Caixa Previsto]]&lt;TODAY(),TbRegistroEntradas[[#This Row],[Data do Caixa Realizado]]=""),"Vencida","Não Vencida")</f>
        <v>Não Vencida</v>
      </c>
      <c r="P65" s="156" t="str">
        <f>IF(TbRegistroEntradas[[#This Row],[Data da Competência]]=TbRegistroEntradas[[#This Row],[Data do Caixa Previsto]],"Vista","Prazo")</f>
        <v>Prazo</v>
      </c>
      <c r="Q6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6" spans="2:17" x14ac:dyDescent="0.25">
      <c r="B66" s="154" t="s">
        <v>67</v>
      </c>
      <c r="C66" s="154">
        <v>43136</v>
      </c>
      <c r="D66" s="154">
        <v>43190</v>
      </c>
      <c r="E66" s="50" t="s">
        <v>24</v>
      </c>
      <c r="F66" s="50" t="s">
        <v>34</v>
      </c>
      <c r="G66" s="50" t="s">
        <v>121</v>
      </c>
      <c r="H66" s="155">
        <v>964</v>
      </c>
      <c r="I66" s="50">
        <f>IF(TbRegistroEntradas[[#This Row],[Data do Caixa Realizado]]="",0,MONTH(TbRegistroEntradas[[#This Row],[Data do Caixa Realizado]]))</f>
        <v>0</v>
      </c>
      <c r="J66" s="50">
        <f>IF(TbRegistroEntradas[[#This Row],[Data do Caixa Realizado]]="",0,YEAR(TbRegistroEntradas[[#This Row],[Data do Caixa Realizado]]))</f>
        <v>0</v>
      </c>
      <c r="K66" s="50">
        <f>IF(TbRegistroEntradas[[#This Row],[Data da Competência]]="",0,MONTH(TbRegistroEntradas[[#This Row],[Data da Competência]]))</f>
        <v>2</v>
      </c>
      <c r="L66" s="50">
        <f>IF(TbRegistroEntradas[[#This Row],[Data da Competência]]="",0,YEAR(TbRegistroEntradas[[#This Row],[Data da Competência]]))</f>
        <v>2018</v>
      </c>
      <c r="M66" s="156">
        <f>IF(TbRegistroEntradas[[#This Row],[Data do Caixa Previsto]]="",0,MONTH(TbRegistroEntradas[[#This Row],[Data do Caixa Previsto]]))</f>
        <v>3</v>
      </c>
      <c r="N66" s="156">
        <f>IF(TbRegistroEntradas[[#This Row],[Data do Caixa Previsto]]="",0,YEAR(TbRegistroEntradas[[#This Row],[Data do Caixa Previsto]]))</f>
        <v>2018</v>
      </c>
      <c r="O66" s="156" t="str">
        <f ca="1">IF(AND(TbRegistroEntradas[[#This Row],[Data do Caixa Previsto]]&lt;TODAY(),TbRegistroEntradas[[#This Row],[Data do Caixa Realizado]]=""),"Vencida","Não Vencida")</f>
        <v>Vencida</v>
      </c>
      <c r="P66" s="156" t="str">
        <f>IF(TbRegistroEntradas[[#This Row],[Data da Competência]]=TbRegistroEntradas[[#This Row],[Data do Caixa Previsto]],"Vista","Prazo")</f>
        <v>Prazo</v>
      </c>
      <c r="Q6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756</v>
      </c>
    </row>
    <row r="67" spans="2:17" x14ac:dyDescent="0.25">
      <c r="B67" s="154">
        <v>43145</v>
      </c>
      <c r="C67" s="154">
        <v>43140</v>
      </c>
      <c r="D67" s="154">
        <v>43145</v>
      </c>
      <c r="E67" s="50" t="s">
        <v>24</v>
      </c>
      <c r="F67" s="50" t="s">
        <v>33</v>
      </c>
      <c r="G67" s="50" t="s">
        <v>122</v>
      </c>
      <c r="H67" s="155">
        <v>3412</v>
      </c>
      <c r="I67" s="50">
        <f>IF(TbRegistroEntradas[[#This Row],[Data do Caixa Realizado]]="",0,MONTH(TbRegistroEntradas[[#This Row],[Data do Caixa Realizado]]))</f>
        <v>2</v>
      </c>
      <c r="J67" s="50">
        <f>IF(TbRegistroEntradas[[#This Row],[Data do Caixa Realizado]]="",0,YEAR(TbRegistroEntradas[[#This Row],[Data do Caixa Realizado]]))</f>
        <v>2018</v>
      </c>
      <c r="K67" s="50">
        <f>IF(TbRegistroEntradas[[#This Row],[Data da Competência]]="",0,MONTH(TbRegistroEntradas[[#This Row],[Data da Competência]]))</f>
        <v>2</v>
      </c>
      <c r="L67" s="50">
        <f>IF(TbRegistroEntradas[[#This Row],[Data da Competência]]="",0,YEAR(TbRegistroEntradas[[#This Row],[Data da Competência]]))</f>
        <v>2018</v>
      </c>
      <c r="M67" s="156">
        <f>IF(TbRegistroEntradas[[#This Row],[Data do Caixa Previsto]]="",0,MONTH(TbRegistroEntradas[[#This Row],[Data do Caixa Previsto]]))</f>
        <v>2</v>
      </c>
      <c r="N67" s="156">
        <f>IF(TbRegistroEntradas[[#This Row],[Data do Caixa Previsto]]="",0,YEAR(TbRegistroEntradas[[#This Row],[Data do Caixa Previsto]]))</f>
        <v>2018</v>
      </c>
      <c r="O67" s="156" t="str">
        <f ca="1">IF(AND(TbRegistroEntradas[[#This Row],[Data do Caixa Previsto]]&lt;TODAY(),TbRegistroEntradas[[#This Row],[Data do Caixa Realizado]]=""),"Vencida","Não Vencida")</f>
        <v>Não Vencida</v>
      </c>
      <c r="P67" s="156" t="str">
        <f>IF(TbRegistroEntradas[[#This Row],[Data da Competência]]=TbRegistroEntradas[[#This Row],[Data do Caixa Previsto]],"Vista","Prazo")</f>
        <v>Prazo</v>
      </c>
      <c r="Q6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8" spans="2:17" x14ac:dyDescent="0.25">
      <c r="B68" s="154">
        <v>43146</v>
      </c>
      <c r="C68" s="154">
        <v>43142</v>
      </c>
      <c r="D68" s="154">
        <v>43146</v>
      </c>
      <c r="E68" s="50" t="s">
        <v>24</v>
      </c>
      <c r="F68" s="50" t="s">
        <v>31</v>
      </c>
      <c r="G68" s="50" t="s">
        <v>123</v>
      </c>
      <c r="H68" s="155">
        <v>3095</v>
      </c>
      <c r="I68" s="50">
        <f>IF(TbRegistroEntradas[[#This Row],[Data do Caixa Realizado]]="",0,MONTH(TbRegistroEntradas[[#This Row],[Data do Caixa Realizado]]))</f>
        <v>2</v>
      </c>
      <c r="J68" s="50">
        <f>IF(TbRegistroEntradas[[#This Row],[Data do Caixa Realizado]]="",0,YEAR(TbRegistroEntradas[[#This Row],[Data do Caixa Realizado]]))</f>
        <v>2018</v>
      </c>
      <c r="K68" s="50">
        <f>IF(TbRegistroEntradas[[#This Row],[Data da Competência]]="",0,MONTH(TbRegistroEntradas[[#This Row],[Data da Competência]]))</f>
        <v>2</v>
      </c>
      <c r="L68" s="50">
        <f>IF(TbRegistroEntradas[[#This Row],[Data da Competência]]="",0,YEAR(TbRegistroEntradas[[#This Row],[Data da Competência]]))</f>
        <v>2018</v>
      </c>
      <c r="M68" s="156">
        <f>IF(TbRegistroEntradas[[#This Row],[Data do Caixa Previsto]]="",0,MONTH(TbRegistroEntradas[[#This Row],[Data do Caixa Previsto]]))</f>
        <v>2</v>
      </c>
      <c r="N68" s="156">
        <f>IF(TbRegistroEntradas[[#This Row],[Data do Caixa Previsto]]="",0,YEAR(TbRegistroEntradas[[#This Row],[Data do Caixa Previsto]]))</f>
        <v>2018</v>
      </c>
      <c r="O68" s="156" t="str">
        <f ca="1">IF(AND(TbRegistroEntradas[[#This Row],[Data do Caixa Previsto]]&lt;TODAY(),TbRegistroEntradas[[#This Row],[Data do Caixa Realizado]]=""),"Vencida","Não Vencida")</f>
        <v>Não Vencida</v>
      </c>
      <c r="P68" s="156" t="str">
        <f>IF(TbRegistroEntradas[[#This Row],[Data da Competência]]=TbRegistroEntradas[[#This Row],[Data do Caixa Previsto]],"Vista","Prazo")</f>
        <v>Prazo</v>
      </c>
      <c r="Q6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9" spans="2:17" x14ac:dyDescent="0.25">
      <c r="B69" s="154">
        <v>43193</v>
      </c>
      <c r="C69" s="154">
        <v>43148</v>
      </c>
      <c r="D69" s="154">
        <v>43193</v>
      </c>
      <c r="E69" s="50" t="s">
        <v>24</v>
      </c>
      <c r="F69" s="50" t="s">
        <v>32</v>
      </c>
      <c r="G69" s="50" t="s">
        <v>124</v>
      </c>
      <c r="H69" s="155">
        <v>1532</v>
      </c>
      <c r="I69" s="50">
        <f>IF(TbRegistroEntradas[[#This Row],[Data do Caixa Realizado]]="",0,MONTH(TbRegistroEntradas[[#This Row],[Data do Caixa Realizado]]))</f>
        <v>4</v>
      </c>
      <c r="J69" s="50">
        <f>IF(TbRegistroEntradas[[#This Row],[Data do Caixa Realizado]]="",0,YEAR(TbRegistroEntradas[[#This Row],[Data do Caixa Realizado]]))</f>
        <v>2018</v>
      </c>
      <c r="K69" s="50">
        <f>IF(TbRegistroEntradas[[#This Row],[Data da Competência]]="",0,MONTH(TbRegistroEntradas[[#This Row],[Data da Competência]]))</f>
        <v>2</v>
      </c>
      <c r="L69" s="50">
        <f>IF(TbRegistroEntradas[[#This Row],[Data da Competência]]="",0,YEAR(TbRegistroEntradas[[#This Row],[Data da Competência]]))</f>
        <v>2018</v>
      </c>
      <c r="M69" s="156">
        <f>IF(TbRegistroEntradas[[#This Row],[Data do Caixa Previsto]]="",0,MONTH(TbRegistroEntradas[[#This Row],[Data do Caixa Previsto]]))</f>
        <v>4</v>
      </c>
      <c r="N69" s="156">
        <f>IF(TbRegistroEntradas[[#This Row],[Data do Caixa Previsto]]="",0,YEAR(TbRegistroEntradas[[#This Row],[Data do Caixa Previsto]]))</f>
        <v>2018</v>
      </c>
      <c r="O69" s="156" t="str">
        <f ca="1">IF(AND(TbRegistroEntradas[[#This Row],[Data do Caixa Previsto]]&lt;TODAY(),TbRegistroEntradas[[#This Row],[Data do Caixa Realizado]]=""),"Vencida","Não Vencida")</f>
        <v>Não Vencida</v>
      </c>
      <c r="P69" s="156" t="str">
        <f>IF(TbRegistroEntradas[[#This Row],[Data da Competência]]=TbRegistroEntradas[[#This Row],[Data do Caixa Previsto]],"Vista","Prazo")</f>
        <v>Prazo</v>
      </c>
      <c r="Q6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0" spans="2:17" x14ac:dyDescent="0.25">
      <c r="B70" s="154">
        <v>43193</v>
      </c>
      <c r="C70" s="154">
        <v>43151</v>
      </c>
      <c r="D70" s="154">
        <v>43193</v>
      </c>
      <c r="E70" s="50" t="s">
        <v>24</v>
      </c>
      <c r="F70" s="50" t="s">
        <v>32</v>
      </c>
      <c r="G70" s="50" t="s">
        <v>125</v>
      </c>
      <c r="H70" s="155">
        <v>3726</v>
      </c>
      <c r="I70" s="50">
        <f>IF(TbRegistroEntradas[[#This Row],[Data do Caixa Realizado]]="",0,MONTH(TbRegistroEntradas[[#This Row],[Data do Caixa Realizado]]))</f>
        <v>4</v>
      </c>
      <c r="J70" s="50">
        <f>IF(TbRegistroEntradas[[#This Row],[Data do Caixa Realizado]]="",0,YEAR(TbRegistroEntradas[[#This Row],[Data do Caixa Realizado]]))</f>
        <v>2018</v>
      </c>
      <c r="K70" s="50">
        <f>IF(TbRegistroEntradas[[#This Row],[Data da Competência]]="",0,MONTH(TbRegistroEntradas[[#This Row],[Data da Competência]]))</f>
        <v>2</v>
      </c>
      <c r="L70" s="50">
        <f>IF(TbRegistroEntradas[[#This Row],[Data da Competência]]="",0,YEAR(TbRegistroEntradas[[#This Row],[Data da Competência]]))</f>
        <v>2018</v>
      </c>
      <c r="M70" s="156">
        <f>IF(TbRegistroEntradas[[#This Row],[Data do Caixa Previsto]]="",0,MONTH(TbRegistroEntradas[[#This Row],[Data do Caixa Previsto]]))</f>
        <v>4</v>
      </c>
      <c r="N70" s="156">
        <f>IF(TbRegistroEntradas[[#This Row],[Data do Caixa Previsto]]="",0,YEAR(TbRegistroEntradas[[#This Row],[Data do Caixa Previsto]]))</f>
        <v>2018</v>
      </c>
      <c r="O70" s="156" t="str">
        <f ca="1">IF(AND(TbRegistroEntradas[[#This Row],[Data do Caixa Previsto]]&lt;TODAY(),TbRegistroEntradas[[#This Row],[Data do Caixa Realizado]]=""),"Vencida","Não Vencida")</f>
        <v>Não Vencida</v>
      </c>
      <c r="P70" s="156" t="str">
        <f>IF(TbRegistroEntradas[[#This Row],[Data da Competência]]=TbRegistroEntradas[[#This Row],[Data do Caixa Previsto]],"Vista","Prazo")</f>
        <v>Prazo</v>
      </c>
      <c r="Q7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1" spans="2:17" x14ac:dyDescent="0.25">
      <c r="B71" s="154">
        <v>43154</v>
      </c>
      <c r="C71" s="154">
        <v>43154</v>
      </c>
      <c r="D71" s="154">
        <v>43154</v>
      </c>
      <c r="E71" s="50" t="s">
        <v>24</v>
      </c>
      <c r="F71" s="50" t="s">
        <v>33</v>
      </c>
      <c r="G71" s="50" t="s">
        <v>126</v>
      </c>
      <c r="H71" s="155">
        <v>4322</v>
      </c>
      <c r="I71" s="50">
        <f>IF(TbRegistroEntradas[[#This Row],[Data do Caixa Realizado]]="",0,MONTH(TbRegistroEntradas[[#This Row],[Data do Caixa Realizado]]))</f>
        <v>2</v>
      </c>
      <c r="J71" s="50">
        <f>IF(TbRegistroEntradas[[#This Row],[Data do Caixa Realizado]]="",0,YEAR(TbRegistroEntradas[[#This Row],[Data do Caixa Realizado]]))</f>
        <v>2018</v>
      </c>
      <c r="K71" s="50">
        <f>IF(TbRegistroEntradas[[#This Row],[Data da Competência]]="",0,MONTH(TbRegistroEntradas[[#This Row],[Data da Competência]]))</f>
        <v>2</v>
      </c>
      <c r="L71" s="50">
        <f>IF(TbRegistroEntradas[[#This Row],[Data da Competência]]="",0,YEAR(TbRegistroEntradas[[#This Row],[Data da Competência]]))</f>
        <v>2018</v>
      </c>
      <c r="M71" s="156">
        <f>IF(TbRegistroEntradas[[#This Row],[Data do Caixa Previsto]]="",0,MONTH(TbRegistroEntradas[[#This Row],[Data do Caixa Previsto]]))</f>
        <v>2</v>
      </c>
      <c r="N71" s="156">
        <f>IF(TbRegistroEntradas[[#This Row],[Data do Caixa Previsto]]="",0,YEAR(TbRegistroEntradas[[#This Row],[Data do Caixa Previsto]]))</f>
        <v>2018</v>
      </c>
      <c r="O71" s="156" t="str">
        <f ca="1">IF(AND(TbRegistroEntradas[[#This Row],[Data do Caixa Previsto]]&lt;TODAY(),TbRegistroEntradas[[#This Row],[Data do Caixa Realizado]]=""),"Vencida","Não Vencida")</f>
        <v>Não Vencida</v>
      </c>
      <c r="P71" s="156" t="str">
        <f>IF(TbRegistroEntradas[[#This Row],[Data da Competência]]=TbRegistroEntradas[[#This Row],[Data do Caixa Previsto]],"Vista","Prazo")</f>
        <v>Vista</v>
      </c>
      <c r="Q7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2" spans="2:17" x14ac:dyDescent="0.25">
      <c r="B72" s="154" t="s">
        <v>67</v>
      </c>
      <c r="C72" s="154">
        <v>43156</v>
      </c>
      <c r="D72" s="154">
        <v>43205</v>
      </c>
      <c r="E72" s="50" t="s">
        <v>24</v>
      </c>
      <c r="F72" s="50" t="s">
        <v>31</v>
      </c>
      <c r="G72" s="50" t="s">
        <v>127</v>
      </c>
      <c r="H72" s="155">
        <v>3998</v>
      </c>
      <c r="I72" s="50">
        <f>IF(TbRegistroEntradas[[#This Row],[Data do Caixa Realizado]]="",0,MONTH(TbRegistroEntradas[[#This Row],[Data do Caixa Realizado]]))</f>
        <v>0</v>
      </c>
      <c r="J72" s="50">
        <f>IF(TbRegistroEntradas[[#This Row],[Data do Caixa Realizado]]="",0,YEAR(TbRegistroEntradas[[#This Row],[Data do Caixa Realizado]]))</f>
        <v>0</v>
      </c>
      <c r="K72" s="50">
        <f>IF(TbRegistroEntradas[[#This Row],[Data da Competência]]="",0,MONTH(TbRegistroEntradas[[#This Row],[Data da Competência]]))</f>
        <v>2</v>
      </c>
      <c r="L72" s="50">
        <f>IF(TbRegistroEntradas[[#This Row],[Data da Competência]]="",0,YEAR(TbRegistroEntradas[[#This Row],[Data da Competência]]))</f>
        <v>2018</v>
      </c>
      <c r="M72" s="156">
        <f>IF(TbRegistroEntradas[[#This Row],[Data do Caixa Previsto]]="",0,MONTH(TbRegistroEntradas[[#This Row],[Data do Caixa Previsto]]))</f>
        <v>4</v>
      </c>
      <c r="N72" s="156">
        <f>IF(TbRegistroEntradas[[#This Row],[Data do Caixa Previsto]]="",0,YEAR(TbRegistroEntradas[[#This Row],[Data do Caixa Previsto]]))</f>
        <v>2018</v>
      </c>
      <c r="O72" s="156" t="str">
        <f ca="1">IF(AND(TbRegistroEntradas[[#This Row],[Data do Caixa Previsto]]&lt;TODAY(),TbRegistroEntradas[[#This Row],[Data do Caixa Realizado]]=""),"Vencida","Não Vencida")</f>
        <v>Vencida</v>
      </c>
      <c r="P72" s="156" t="str">
        <f>IF(TbRegistroEntradas[[#This Row],[Data da Competência]]=TbRegistroEntradas[[#This Row],[Data do Caixa Previsto]],"Vista","Prazo")</f>
        <v>Prazo</v>
      </c>
      <c r="Q7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741</v>
      </c>
    </row>
    <row r="73" spans="2:17" x14ac:dyDescent="0.25">
      <c r="B73" s="154">
        <v>43246</v>
      </c>
      <c r="C73" s="154">
        <v>43158</v>
      </c>
      <c r="D73" s="154">
        <v>43188</v>
      </c>
      <c r="E73" s="50" t="s">
        <v>24</v>
      </c>
      <c r="F73" s="50" t="s">
        <v>31</v>
      </c>
      <c r="G73" s="50" t="s">
        <v>128</v>
      </c>
      <c r="H73" s="155">
        <v>3252</v>
      </c>
      <c r="I73" s="50">
        <f>IF(TbRegistroEntradas[[#This Row],[Data do Caixa Realizado]]="",0,MONTH(TbRegistroEntradas[[#This Row],[Data do Caixa Realizado]]))</f>
        <v>5</v>
      </c>
      <c r="J73" s="50">
        <f>IF(TbRegistroEntradas[[#This Row],[Data do Caixa Realizado]]="",0,YEAR(TbRegistroEntradas[[#This Row],[Data do Caixa Realizado]]))</f>
        <v>2018</v>
      </c>
      <c r="K73" s="50">
        <f>IF(TbRegistroEntradas[[#This Row],[Data da Competência]]="",0,MONTH(TbRegistroEntradas[[#This Row],[Data da Competência]]))</f>
        <v>2</v>
      </c>
      <c r="L73" s="50">
        <f>IF(TbRegistroEntradas[[#This Row],[Data da Competência]]="",0,YEAR(TbRegistroEntradas[[#This Row],[Data da Competência]]))</f>
        <v>2018</v>
      </c>
      <c r="M73" s="156">
        <f>IF(TbRegistroEntradas[[#This Row],[Data do Caixa Previsto]]="",0,MONTH(TbRegistroEntradas[[#This Row],[Data do Caixa Previsto]]))</f>
        <v>3</v>
      </c>
      <c r="N73" s="156">
        <f>IF(TbRegistroEntradas[[#This Row],[Data do Caixa Previsto]]="",0,YEAR(TbRegistroEntradas[[#This Row],[Data do Caixa Previsto]]))</f>
        <v>2018</v>
      </c>
      <c r="O73" s="156" t="str">
        <f ca="1">IF(AND(TbRegistroEntradas[[#This Row],[Data do Caixa Previsto]]&lt;TODAY(),TbRegistroEntradas[[#This Row],[Data do Caixa Realizado]]=""),"Vencida","Não Vencida")</f>
        <v>Não Vencida</v>
      </c>
      <c r="P73" s="156" t="str">
        <f>IF(TbRegistroEntradas[[#This Row],[Data da Competência]]=TbRegistroEntradas[[#This Row],[Data do Caixa Previsto]],"Vista","Prazo")</f>
        <v>Prazo</v>
      </c>
      <c r="Q7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74" spans="2:17" x14ac:dyDescent="0.25">
      <c r="B74" s="154">
        <v>43169</v>
      </c>
      <c r="C74" s="154">
        <v>43160</v>
      </c>
      <c r="D74" s="154">
        <v>43169</v>
      </c>
      <c r="E74" s="50" t="s">
        <v>24</v>
      </c>
      <c r="F74" s="50" t="s">
        <v>32</v>
      </c>
      <c r="G74" s="50" t="s">
        <v>129</v>
      </c>
      <c r="H74" s="155">
        <v>3701</v>
      </c>
      <c r="I74" s="50">
        <f>IF(TbRegistroEntradas[[#This Row],[Data do Caixa Realizado]]="",0,MONTH(TbRegistroEntradas[[#This Row],[Data do Caixa Realizado]]))</f>
        <v>3</v>
      </c>
      <c r="J74" s="50">
        <f>IF(TbRegistroEntradas[[#This Row],[Data do Caixa Realizado]]="",0,YEAR(TbRegistroEntradas[[#This Row],[Data do Caixa Realizado]]))</f>
        <v>2018</v>
      </c>
      <c r="K74" s="50">
        <f>IF(TbRegistroEntradas[[#This Row],[Data da Competência]]="",0,MONTH(TbRegistroEntradas[[#This Row],[Data da Competência]]))</f>
        <v>3</v>
      </c>
      <c r="L74" s="50">
        <f>IF(TbRegistroEntradas[[#This Row],[Data da Competência]]="",0,YEAR(TbRegistroEntradas[[#This Row],[Data da Competência]]))</f>
        <v>2018</v>
      </c>
      <c r="M74" s="156">
        <f>IF(TbRegistroEntradas[[#This Row],[Data do Caixa Previsto]]="",0,MONTH(TbRegistroEntradas[[#This Row],[Data do Caixa Previsto]]))</f>
        <v>3</v>
      </c>
      <c r="N74" s="156">
        <f>IF(TbRegistroEntradas[[#This Row],[Data do Caixa Previsto]]="",0,YEAR(TbRegistroEntradas[[#This Row],[Data do Caixa Previsto]]))</f>
        <v>2018</v>
      </c>
      <c r="O74" s="156" t="str">
        <f ca="1">IF(AND(TbRegistroEntradas[[#This Row],[Data do Caixa Previsto]]&lt;TODAY(),TbRegistroEntradas[[#This Row],[Data do Caixa Realizado]]=""),"Vencida","Não Vencida")</f>
        <v>Não Vencida</v>
      </c>
      <c r="P74" s="156" t="str">
        <f>IF(TbRegistroEntradas[[#This Row],[Data da Competência]]=TbRegistroEntradas[[#This Row],[Data do Caixa Previsto]],"Vista","Prazo")</f>
        <v>Prazo</v>
      </c>
      <c r="Q7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5" spans="2:17" x14ac:dyDescent="0.25">
      <c r="B75" s="154" t="s">
        <v>67</v>
      </c>
      <c r="C75" s="154">
        <v>43162</v>
      </c>
      <c r="D75" s="154">
        <v>43202</v>
      </c>
      <c r="E75" s="50" t="s">
        <v>24</v>
      </c>
      <c r="F75" s="50" t="s">
        <v>34</v>
      </c>
      <c r="G75" s="50" t="s">
        <v>130</v>
      </c>
      <c r="H75" s="155">
        <v>1977</v>
      </c>
      <c r="I75" s="50">
        <f>IF(TbRegistroEntradas[[#This Row],[Data do Caixa Realizado]]="",0,MONTH(TbRegistroEntradas[[#This Row],[Data do Caixa Realizado]]))</f>
        <v>0</v>
      </c>
      <c r="J75" s="50">
        <f>IF(TbRegistroEntradas[[#This Row],[Data do Caixa Realizado]]="",0,YEAR(TbRegistroEntradas[[#This Row],[Data do Caixa Realizado]]))</f>
        <v>0</v>
      </c>
      <c r="K75" s="50">
        <f>IF(TbRegistroEntradas[[#This Row],[Data da Competência]]="",0,MONTH(TbRegistroEntradas[[#This Row],[Data da Competência]]))</f>
        <v>3</v>
      </c>
      <c r="L75" s="50">
        <f>IF(TbRegistroEntradas[[#This Row],[Data da Competência]]="",0,YEAR(TbRegistroEntradas[[#This Row],[Data da Competência]]))</f>
        <v>2018</v>
      </c>
      <c r="M75" s="156">
        <f>IF(TbRegistroEntradas[[#This Row],[Data do Caixa Previsto]]="",0,MONTH(TbRegistroEntradas[[#This Row],[Data do Caixa Previsto]]))</f>
        <v>4</v>
      </c>
      <c r="N75" s="156">
        <f>IF(TbRegistroEntradas[[#This Row],[Data do Caixa Previsto]]="",0,YEAR(TbRegistroEntradas[[#This Row],[Data do Caixa Previsto]]))</f>
        <v>2018</v>
      </c>
      <c r="O75" s="156" t="str">
        <f ca="1">IF(AND(TbRegistroEntradas[[#This Row],[Data do Caixa Previsto]]&lt;TODAY(),TbRegistroEntradas[[#This Row],[Data do Caixa Realizado]]=""),"Vencida","Não Vencida")</f>
        <v>Vencida</v>
      </c>
      <c r="P75" s="156" t="str">
        <f>IF(TbRegistroEntradas[[#This Row],[Data da Competência]]=TbRegistroEntradas[[#This Row],[Data do Caixa Previsto]],"Vista","Prazo")</f>
        <v>Prazo</v>
      </c>
      <c r="Q7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744</v>
      </c>
    </row>
    <row r="76" spans="2:17" x14ac:dyDescent="0.25">
      <c r="B76" s="154">
        <v>43287</v>
      </c>
      <c r="C76" s="154">
        <v>43163</v>
      </c>
      <c r="D76" s="154">
        <v>43211</v>
      </c>
      <c r="E76" s="50" t="s">
        <v>24</v>
      </c>
      <c r="F76" s="50" t="s">
        <v>32</v>
      </c>
      <c r="G76" s="50" t="s">
        <v>131</v>
      </c>
      <c r="H76" s="155">
        <v>1217</v>
      </c>
      <c r="I76" s="50">
        <f>IF(TbRegistroEntradas[[#This Row],[Data do Caixa Realizado]]="",0,MONTH(TbRegistroEntradas[[#This Row],[Data do Caixa Realizado]]))</f>
        <v>7</v>
      </c>
      <c r="J76" s="50">
        <f>IF(TbRegistroEntradas[[#This Row],[Data do Caixa Realizado]]="",0,YEAR(TbRegistroEntradas[[#This Row],[Data do Caixa Realizado]]))</f>
        <v>2018</v>
      </c>
      <c r="K76" s="50">
        <f>IF(TbRegistroEntradas[[#This Row],[Data da Competência]]="",0,MONTH(TbRegistroEntradas[[#This Row],[Data da Competência]]))</f>
        <v>3</v>
      </c>
      <c r="L76" s="50">
        <f>IF(TbRegistroEntradas[[#This Row],[Data da Competência]]="",0,YEAR(TbRegistroEntradas[[#This Row],[Data da Competência]]))</f>
        <v>2018</v>
      </c>
      <c r="M76" s="156">
        <f>IF(TbRegistroEntradas[[#This Row],[Data do Caixa Previsto]]="",0,MONTH(TbRegistroEntradas[[#This Row],[Data do Caixa Previsto]]))</f>
        <v>4</v>
      </c>
      <c r="N76" s="156">
        <f>IF(TbRegistroEntradas[[#This Row],[Data do Caixa Previsto]]="",0,YEAR(TbRegistroEntradas[[#This Row],[Data do Caixa Previsto]]))</f>
        <v>2018</v>
      </c>
      <c r="O76" s="156" t="str">
        <f ca="1">IF(AND(TbRegistroEntradas[[#This Row],[Data do Caixa Previsto]]&lt;TODAY(),TbRegistroEntradas[[#This Row],[Data do Caixa Realizado]]=""),"Vencida","Não Vencida")</f>
        <v>Não Vencida</v>
      </c>
      <c r="P76" s="156" t="str">
        <f>IF(TbRegistroEntradas[[#This Row],[Data da Competência]]=TbRegistroEntradas[[#This Row],[Data do Caixa Previsto]],"Vista","Prazo")</f>
        <v>Prazo</v>
      </c>
      <c r="Q7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76</v>
      </c>
    </row>
    <row r="77" spans="2:17" x14ac:dyDescent="0.25">
      <c r="B77" s="154">
        <v>43203</v>
      </c>
      <c r="C77" s="154">
        <v>43166</v>
      </c>
      <c r="D77" s="154">
        <v>43203</v>
      </c>
      <c r="E77" s="50" t="s">
        <v>24</v>
      </c>
      <c r="F77" s="50" t="s">
        <v>30</v>
      </c>
      <c r="G77" s="50" t="s">
        <v>132</v>
      </c>
      <c r="H77" s="155">
        <v>1660</v>
      </c>
      <c r="I77" s="50">
        <f>IF(TbRegistroEntradas[[#This Row],[Data do Caixa Realizado]]="",0,MONTH(TbRegistroEntradas[[#This Row],[Data do Caixa Realizado]]))</f>
        <v>4</v>
      </c>
      <c r="J77" s="50">
        <f>IF(TbRegistroEntradas[[#This Row],[Data do Caixa Realizado]]="",0,YEAR(TbRegistroEntradas[[#This Row],[Data do Caixa Realizado]]))</f>
        <v>2018</v>
      </c>
      <c r="K77" s="50">
        <f>IF(TbRegistroEntradas[[#This Row],[Data da Competência]]="",0,MONTH(TbRegistroEntradas[[#This Row],[Data da Competência]]))</f>
        <v>3</v>
      </c>
      <c r="L77" s="50">
        <f>IF(TbRegistroEntradas[[#This Row],[Data da Competência]]="",0,YEAR(TbRegistroEntradas[[#This Row],[Data da Competência]]))</f>
        <v>2018</v>
      </c>
      <c r="M77" s="156">
        <f>IF(TbRegistroEntradas[[#This Row],[Data do Caixa Previsto]]="",0,MONTH(TbRegistroEntradas[[#This Row],[Data do Caixa Previsto]]))</f>
        <v>4</v>
      </c>
      <c r="N77" s="156">
        <f>IF(TbRegistroEntradas[[#This Row],[Data do Caixa Previsto]]="",0,YEAR(TbRegistroEntradas[[#This Row],[Data do Caixa Previsto]]))</f>
        <v>2018</v>
      </c>
      <c r="O77" s="156" t="str">
        <f ca="1">IF(AND(TbRegistroEntradas[[#This Row],[Data do Caixa Previsto]]&lt;TODAY(),TbRegistroEntradas[[#This Row],[Data do Caixa Realizado]]=""),"Vencida","Não Vencida")</f>
        <v>Não Vencida</v>
      </c>
      <c r="P77" s="156" t="str">
        <f>IF(TbRegistroEntradas[[#This Row],[Data da Competência]]=TbRegistroEntradas[[#This Row],[Data do Caixa Previsto]],"Vista","Prazo")</f>
        <v>Prazo</v>
      </c>
      <c r="Q7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8" spans="2:17" x14ac:dyDescent="0.25">
      <c r="B78" s="154">
        <v>43169</v>
      </c>
      <c r="C78" s="154">
        <v>43169</v>
      </c>
      <c r="D78" s="154">
        <v>43169</v>
      </c>
      <c r="E78" s="50" t="s">
        <v>24</v>
      </c>
      <c r="F78" s="50" t="s">
        <v>30</v>
      </c>
      <c r="G78" s="50" t="s">
        <v>133</v>
      </c>
      <c r="H78" s="155">
        <v>837</v>
      </c>
      <c r="I78" s="50">
        <f>IF(TbRegistroEntradas[[#This Row],[Data do Caixa Realizado]]="",0,MONTH(TbRegistroEntradas[[#This Row],[Data do Caixa Realizado]]))</f>
        <v>3</v>
      </c>
      <c r="J78" s="50">
        <f>IF(TbRegistroEntradas[[#This Row],[Data do Caixa Realizado]]="",0,YEAR(TbRegistroEntradas[[#This Row],[Data do Caixa Realizado]]))</f>
        <v>2018</v>
      </c>
      <c r="K78" s="50">
        <f>IF(TbRegistroEntradas[[#This Row],[Data da Competência]]="",0,MONTH(TbRegistroEntradas[[#This Row],[Data da Competência]]))</f>
        <v>3</v>
      </c>
      <c r="L78" s="50">
        <f>IF(TbRegistroEntradas[[#This Row],[Data da Competência]]="",0,YEAR(TbRegistroEntradas[[#This Row],[Data da Competência]]))</f>
        <v>2018</v>
      </c>
      <c r="M78" s="156">
        <f>IF(TbRegistroEntradas[[#This Row],[Data do Caixa Previsto]]="",0,MONTH(TbRegistroEntradas[[#This Row],[Data do Caixa Previsto]]))</f>
        <v>3</v>
      </c>
      <c r="N78" s="156">
        <f>IF(TbRegistroEntradas[[#This Row],[Data do Caixa Previsto]]="",0,YEAR(TbRegistroEntradas[[#This Row],[Data do Caixa Previsto]]))</f>
        <v>2018</v>
      </c>
      <c r="O78" s="156" t="str">
        <f ca="1">IF(AND(TbRegistroEntradas[[#This Row],[Data do Caixa Previsto]]&lt;TODAY(),TbRegistroEntradas[[#This Row],[Data do Caixa Realizado]]=""),"Vencida","Não Vencida")</f>
        <v>Não Vencida</v>
      </c>
      <c r="P78" s="156" t="str">
        <f>IF(TbRegistroEntradas[[#This Row],[Data da Competência]]=TbRegistroEntradas[[#This Row],[Data do Caixa Previsto]],"Vista","Prazo")</f>
        <v>Vista</v>
      </c>
      <c r="Q7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9" spans="2:17" x14ac:dyDescent="0.25">
      <c r="B79" s="154">
        <v>43274</v>
      </c>
      <c r="C79" s="154">
        <v>43171</v>
      </c>
      <c r="D79" s="154">
        <v>43200</v>
      </c>
      <c r="E79" s="50" t="s">
        <v>24</v>
      </c>
      <c r="F79" s="50" t="s">
        <v>33</v>
      </c>
      <c r="G79" s="50" t="s">
        <v>134</v>
      </c>
      <c r="H79" s="155">
        <v>1838</v>
      </c>
      <c r="I79" s="50">
        <f>IF(TbRegistroEntradas[[#This Row],[Data do Caixa Realizado]]="",0,MONTH(TbRegistroEntradas[[#This Row],[Data do Caixa Realizado]]))</f>
        <v>6</v>
      </c>
      <c r="J79" s="50">
        <f>IF(TbRegistroEntradas[[#This Row],[Data do Caixa Realizado]]="",0,YEAR(TbRegistroEntradas[[#This Row],[Data do Caixa Realizado]]))</f>
        <v>2018</v>
      </c>
      <c r="K79" s="50">
        <f>IF(TbRegistroEntradas[[#This Row],[Data da Competência]]="",0,MONTH(TbRegistroEntradas[[#This Row],[Data da Competência]]))</f>
        <v>3</v>
      </c>
      <c r="L79" s="50">
        <f>IF(TbRegistroEntradas[[#This Row],[Data da Competência]]="",0,YEAR(TbRegistroEntradas[[#This Row],[Data da Competência]]))</f>
        <v>2018</v>
      </c>
      <c r="M79" s="156">
        <f>IF(TbRegistroEntradas[[#This Row],[Data do Caixa Previsto]]="",0,MONTH(TbRegistroEntradas[[#This Row],[Data do Caixa Previsto]]))</f>
        <v>4</v>
      </c>
      <c r="N79" s="156">
        <f>IF(TbRegistroEntradas[[#This Row],[Data do Caixa Previsto]]="",0,YEAR(TbRegistroEntradas[[#This Row],[Data do Caixa Previsto]]))</f>
        <v>2018</v>
      </c>
      <c r="O79" s="156" t="str">
        <f ca="1">IF(AND(TbRegistroEntradas[[#This Row],[Data do Caixa Previsto]]&lt;TODAY(),TbRegistroEntradas[[#This Row],[Data do Caixa Realizado]]=""),"Vencida","Não Vencida")</f>
        <v>Não Vencida</v>
      </c>
      <c r="P79" s="156" t="str">
        <f>IF(TbRegistroEntradas[[#This Row],[Data da Competência]]=TbRegistroEntradas[[#This Row],[Data do Caixa Previsto]],"Vista","Prazo")</f>
        <v>Prazo</v>
      </c>
      <c r="Q7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</v>
      </c>
    </row>
    <row r="80" spans="2:17" x14ac:dyDescent="0.25">
      <c r="B80" s="154">
        <v>43176</v>
      </c>
      <c r="C80" s="154">
        <v>43176</v>
      </c>
      <c r="D80" s="154">
        <v>43176</v>
      </c>
      <c r="E80" s="50" t="s">
        <v>24</v>
      </c>
      <c r="F80" s="50" t="s">
        <v>34</v>
      </c>
      <c r="G80" s="50" t="s">
        <v>135</v>
      </c>
      <c r="H80" s="155">
        <v>4471</v>
      </c>
      <c r="I80" s="50">
        <f>IF(TbRegistroEntradas[[#This Row],[Data do Caixa Realizado]]="",0,MONTH(TbRegistroEntradas[[#This Row],[Data do Caixa Realizado]]))</f>
        <v>3</v>
      </c>
      <c r="J80" s="50">
        <f>IF(TbRegistroEntradas[[#This Row],[Data do Caixa Realizado]]="",0,YEAR(TbRegistroEntradas[[#This Row],[Data do Caixa Realizado]]))</f>
        <v>2018</v>
      </c>
      <c r="K80" s="50">
        <f>IF(TbRegistroEntradas[[#This Row],[Data da Competência]]="",0,MONTH(TbRegistroEntradas[[#This Row],[Data da Competência]]))</f>
        <v>3</v>
      </c>
      <c r="L80" s="50">
        <f>IF(TbRegistroEntradas[[#This Row],[Data da Competência]]="",0,YEAR(TbRegistroEntradas[[#This Row],[Data da Competência]]))</f>
        <v>2018</v>
      </c>
      <c r="M80" s="156">
        <f>IF(TbRegistroEntradas[[#This Row],[Data do Caixa Previsto]]="",0,MONTH(TbRegistroEntradas[[#This Row],[Data do Caixa Previsto]]))</f>
        <v>3</v>
      </c>
      <c r="N80" s="156">
        <f>IF(TbRegistroEntradas[[#This Row],[Data do Caixa Previsto]]="",0,YEAR(TbRegistroEntradas[[#This Row],[Data do Caixa Previsto]]))</f>
        <v>2018</v>
      </c>
      <c r="O80" s="156" t="str">
        <f ca="1">IF(AND(TbRegistroEntradas[[#This Row],[Data do Caixa Previsto]]&lt;TODAY(),TbRegistroEntradas[[#This Row],[Data do Caixa Realizado]]=""),"Vencida","Não Vencida")</f>
        <v>Não Vencida</v>
      </c>
      <c r="P80" s="156" t="str">
        <f>IF(TbRegistroEntradas[[#This Row],[Data da Competência]]=TbRegistroEntradas[[#This Row],[Data do Caixa Previsto]],"Vista","Prazo")</f>
        <v>Vista</v>
      </c>
      <c r="Q8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1" spans="2:17" x14ac:dyDescent="0.25">
      <c r="B81" s="154">
        <v>43177</v>
      </c>
      <c r="C81" s="154">
        <v>43177</v>
      </c>
      <c r="D81" s="154">
        <v>43177</v>
      </c>
      <c r="E81" s="50" t="s">
        <v>24</v>
      </c>
      <c r="F81" s="50" t="s">
        <v>33</v>
      </c>
      <c r="G81" s="50" t="s">
        <v>136</v>
      </c>
      <c r="H81" s="155">
        <v>3540</v>
      </c>
      <c r="I81" s="50">
        <f>IF(TbRegistroEntradas[[#This Row],[Data do Caixa Realizado]]="",0,MONTH(TbRegistroEntradas[[#This Row],[Data do Caixa Realizado]]))</f>
        <v>3</v>
      </c>
      <c r="J81" s="50">
        <f>IF(TbRegistroEntradas[[#This Row],[Data do Caixa Realizado]]="",0,YEAR(TbRegistroEntradas[[#This Row],[Data do Caixa Realizado]]))</f>
        <v>2018</v>
      </c>
      <c r="K81" s="50">
        <f>IF(TbRegistroEntradas[[#This Row],[Data da Competência]]="",0,MONTH(TbRegistroEntradas[[#This Row],[Data da Competência]]))</f>
        <v>3</v>
      </c>
      <c r="L81" s="50">
        <f>IF(TbRegistroEntradas[[#This Row],[Data da Competência]]="",0,YEAR(TbRegistroEntradas[[#This Row],[Data da Competência]]))</f>
        <v>2018</v>
      </c>
      <c r="M81" s="156">
        <f>IF(TbRegistroEntradas[[#This Row],[Data do Caixa Previsto]]="",0,MONTH(TbRegistroEntradas[[#This Row],[Data do Caixa Previsto]]))</f>
        <v>3</v>
      </c>
      <c r="N81" s="156">
        <f>IF(TbRegistroEntradas[[#This Row],[Data do Caixa Previsto]]="",0,YEAR(TbRegistroEntradas[[#This Row],[Data do Caixa Previsto]]))</f>
        <v>2018</v>
      </c>
      <c r="O81" s="156" t="str">
        <f ca="1">IF(AND(TbRegistroEntradas[[#This Row],[Data do Caixa Previsto]]&lt;TODAY(),TbRegistroEntradas[[#This Row],[Data do Caixa Realizado]]=""),"Vencida","Não Vencida")</f>
        <v>Não Vencida</v>
      </c>
      <c r="P81" s="156" t="str">
        <f>IF(TbRegistroEntradas[[#This Row],[Data da Competência]]=TbRegistroEntradas[[#This Row],[Data do Caixa Previsto]],"Vista","Prazo")</f>
        <v>Vista</v>
      </c>
      <c r="Q8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2" spans="2:17" x14ac:dyDescent="0.25">
      <c r="B82" s="154">
        <v>43225</v>
      </c>
      <c r="C82" s="154">
        <v>43180</v>
      </c>
      <c r="D82" s="154">
        <v>43180</v>
      </c>
      <c r="E82" s="50" t="s">
        <v>24</v>
      </c>
      <c r="F82" s="50" t="s">
        <v>33</v>
      </c>
      <c r="G82" s="50" t="s">
        <v>137</v>
      </c>
      <c r="H82" s="155">
        <v>4606</v>
      </c>
      <c r="I82" s="50">
        <f>IF(TbRegistroEntradas[[#This Row],[Data do Caixa Realizado]]="",0,MONTH(TbRegistroEntradas[[#This Row],[Data do Caixa Realizado]]))</f>
        <v>5</v>
      </c>
      <c r="J82" s="50">
        <f>IF(TbRegistroEntradas[[#This Row],[Data do Caixa Realizado]]="",0,YEAR(TbRegistroEntradas[[#This Row],[Data do Caixa Realizado]]))</f>
        <v>2018</v>
      </c>
      <c r="K82" s="50">
        <f>IF(TbRegistroEntradas[[#This Row],[Data da Competência]]="",0,MONTH(TbRegistroEntradas[[#This Row],[Data da Competência]]))</f>
        <v>3</v>
      </c>
      <c r="L82" s="50">
        <f>IF(TbRegistroEntradas[[#This Row],[Data da Competência]]="",0,YEAR(TbRegistroEntradas[[#This Row],[Data da Competência]]))</f>
        <v>2018</v>
      </c>
      <c r="M82" s="156">
        <f>IF(TbRegistroEntradas[[#This Row],[Data do Caixa Previsto]]="",0,MONTH(TbRegistroEntradas[[#This Row],[Data do Caixa Previsto]]))</f>
        <v>3</v>
      </c>
      <c r="N82" s="156">
        <f>IF(TbRegistroEntradas[[#This Row],[Data do Caixa Previsto]]="",0,YEAR(TbRegistroEntradas[[#This Row],[Data do Caixa Previsto]]))</f>
        <v>2018</v>
      </c>
      <c r="O82" s="156" t="str">
        <f ca="1">IF(AND(TbRegistroEntradas[[#This Row],[Data do Caixa Previsto]]&lt;TODAY(),TbRegistroEntradas[[#This Row],[Data do Caixa Realizado]]=""),"Vencida","Não Vencida")</f>
        <v>Não Vencida</v>
      </c>
      <c r="P82" s="156" t="str">
        <f>IF(TbRegistroEntradas[[#This Row],[Data da Competência]]=TbRegistroEntradas[[#This Row],[Data do Caixa Previsto]],"Vista","Prazo")</f>
        <v>Vista</v>
      </c>
      <c r="Q8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</v>
      </c>
    </row>
    <row r="83" spans="2:17" x14ac:dyDescent="0.25">
      <c r="B83" s="154">
        <v>43199</v>
      </c>
      <c r="C83" s="154">
        <v>43182</v>
      </c>
      <c r="D83" s="154">
        <v>43199</v>
      </c>
      <c r="E83" s="50" t="s">
        <v>24</v>
      </c>
      <c r="F83" s="50" t="s">
        <v>31</v>
      </c>
      <c r="G83" s="50" t="s">
        <v>138</v>
      </c>
      <c r="H83" s="155">
        <v>2388</v>
      </c>
      <c r="I83" s="50">
        <f>IF(TbRegistroEntradas[[#This Row],[Data do Caixa Realizado]]="",0,MONTH(TbRegistroEntradas[[#This Row],[Data do Caixa Realizado]]))</f>
        <v>4</v>
      </c>
      <c r="J83" s="50">
        <f>IF(TbRegistroEntradas[[#This Row],[Data do Caixa Realizado]]="",0,YEAR(TbRegistroEntradas[[#This Row],[Data do Caixa Realizado]]))</f>
        <v>2018</v>
      </c>
      <c r="K83" s="50">
        <f>IF(TbRegistroEntradas[[#This Row],[Data da Competência]]="",0,MONTH(TbRegistroEntradas[[#This Row],[Data da Competência]]))</f>
        <v>3</v>
      </c>
      <c r="L83" s="50">
        <f>IF(TbRegistroEntradas[[#This Row],[Data da Competência]]="",0,YEAR(TbRegistroEntradas[[#This Row],[Data da Competência]]))</f>
        <v>2018</v>
      </c>
      <c r="M83" s="156">
        <f>IF(TbRegistroEntradas[[#This Row],[Data do Caixa Previsto]]="",0,MONTH(TbRegistroEntradas[[#This Row],[Data do Caixa Previsto]]))</f>
        <v>4</v>
      </c>
      <c r="N83" s="156">
        <f>IF(TbRegistroEntradas[[#This Row],[Data do Caixa Previsto]]="",0,YEAR(TbRegistroEntradas[[#This Row],[Data do Caixa Previsto]]))</f>
        <v>2018</v>
      </c>
      <c r="O83" s="156" t="str">
        <f ca="1">IF(AND(TbRegistroEntradas[[#This Row],[Data do Caixa Previsto]]&lt;TODAY(),TbRegistroEntradas[[#This Row],[Data do Caixa Realizado]]=""),"Vencida","Não Vencida")</f>
        <v>Não Vencida</v>
      </c>
      <c r="P83" s="156" t="str">
        <f>IF(TbRegistroEntradas[[#This Row],[Data da Competência]]=TbRegistroEntradas[[#This Row],[Data do Caixa Previsto]],"Vista","Prazo")</f>
        <v>Prazo</v>
      </c>
      <c r="Q8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4" spans="2:17" x14ac:dyDescent="0.25">
      <c r="B84" s="154">
        <v>43187</v>
      </c>
      <c r="C84" s="154">
        <v>43184</v>
      </c>
      <c r="D84" s="154">
        <v>43187</v>
      </c>
      <c r="E84" s="50" t="s">
        <v>24</v>
      </c>
      <c r="F84" s="50" t="s">
        <v>30</v>
      </c>
      <c r="G84" s="50" t="s">
        <v>139</v>
      </c>
      <c r="H84" s="155">
        <v>2303</v>
      </c>
      <c r="I84" s="50">
        <f>IF(TbRegistroEntradas[[#This Row],[Data do Caixa Realizado]]="",0,MONTH(TbRegistroEntradas[[#This Row],[Data do Caixa Realizado]]))</f>
        <v>3</v>
      </c>
      <c r="J84" s="50">
        <f>IF(TbRegistroEntradas[[#This Row],[Data do Caixa Realizado]]="",0,YEAR(TbRegistroEntradas[[#This Row],[Data do Caixa Realizado]]))</f>
        <v>2018</v>
      </c>
      <c r="K84" s="50">
        <f>IF(TbRegistroEntradas[[#This Row],[Data da Competência]]="",0,MONTH(TbRegistroEntradas[[#This Row],[Data da Competência]]))</f>
        <v>3</v>
      </c>
      <c r="L84" s="50">
        <f>IF(TbRegistroEntradas[[#This Row],[Data da Competência]]="",0,YEAR(TbRegistroEntradas[[#This Row],[Data da Competência]]))</f>
        <v>2018</v>
      </c>
      <c r="M84" s="156">
        <f>IF(TbRegistroEntradas[[#This Row],[Data do Caixa Previsto]]="",0,MONTH(TbRegistroEntradas[[#This Row],[Data do Caixa Previsto]]))</f>
        <v>3</v>
      </c>
      <c r="N84" s="156">
        <f>IF(TbRegistroEntradas[[#This Row],[Data do Caixa Previsto]]="",0,YEAR(TbRegistroEntradas[[#This Row],[Data do Caixa Previsto]]))</f>
        <v>2018</v>
      </c>
      <c r="O84" s="156" t="str">
        <f ca="1">IF(AND(TbRegistroEntradas[[#This Row],[Data do Caixa Previsto]]&lt;TODAY(),TbRegistroEntradas[[#This Row],[Data do Caixa Realizado]]=""),"Vencida","Não Vencida")</f>
        <v>Não Vencida</v>
      </c>
      <c r="P84" s="156" t="str">
        <f>IF(TbRegistroEntradas[[#This Row],[Data da Competência]]=TbRegistroEntradas[[#This Row],[Data do Caixa Previsto]],"Vista","Prazo")</f>
        <v>Prazo</v>
      </c>
      <c r="Q8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5" spans="2:17" x14ac:dyDescent="0.25">
      <c r="B85" s="154">
        <v>43257</v>
      </c>
      <c r="C85" s="154">
        <v>43187</v>
      </c>
      <c r="D85" s="154">
        <v>43205</v>
      </c>
      <c r="E85" s="50" t="s">
        <v>24</v>
      </c>
      <c r="F85" s="50" t="s">
        <v>34</v>
      </c>
      <c r="G85" s="50" t="s">
        <v>140</v>
      </c>
      <c r="H85" s="155">
        <v>1662</v>
      </c>
      <c r="I85" s="50">
        <f>IF(TbRegistroEntradas[[#This Row],[Data do Caixa Realizado]]="",0,MONTH(TbRegistroEntradas[[#This Row],[Data do Caixa Realizado]]))</f>
        <v>6</v>
      </c>
      <c r="J85" s="50">
        <f>IF(TbRegistroEntradas[[#This Row],[Data do Caixa Realizado]]="",0,YEAR(TbRegistroEntradas[[#This Row],[Data do Caixa Realizado]]))</f>
        <v>2018</v>
      </c>
      <c r="K85" s="50">
        <f>IF(TbRegistroEntradas[[#This Row],[Data da Competência]]="",0,MONTH(TbRegistroEntradas[[#This Row],[Data da Competência]]))</f>
        <v>3</v>
      </c>
      <c r="L85" s="50">
        <f>IF(TbRegistroEntradas[[#This Row],[Data da Competência]]="",0,YEAR(TbRegistroEntradas[[#This Row],[Data da Competência]]))</f>
        <v>2018</v>
      </c>
      <c r="M85" s="156">
        <f>IF(TbRegistroEntradas[[#This Row],[Data do Caixa Previsto]]="",0,MONTH(TbRegistroEntradas[[#This Row],[Data do Caixa Previsto]]))</f>
        <v>4</v>
      </c>
      <c r="N85" s="156">
        <f>IF(TbRegistroEntradas[[#This Row],[Data do Caixa Previsto]]="",0,YEAR(TbRegistroEntradas[[#This Row],[Data do Caixa Previsto]]))</f>
        <v>2018</v>
      </c>
      <c r="O85" s="156" t="str">
        <f ca="1">IF(AND(TbRegistroEntradas[[#This Row],[Data do Caixa Previsto]]&lt;TODAY(),TbRegistroEntradas[[#This Row],[Data do Caixa Realizado]]=""),"Vencida","Não Vencida")</f>
        <v>Não Vencida</v>
      </c>
      <c r="P85" s="156" t="str">
        <f>IF(TbRegistroEntradas[[#This Row],[Data da Competência]]=TbRegistroEntradas[[#This Row],[Data do Caixa Previsto]],"Vista","Prazo")</f>
        <v>Prazo</v>
      </c>
      <c r="Q8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86" spans="2:17" x14ac:dyDescent="0.25">
      <c r="B86" s="154">
        <v>43214</v>
      </c>
      <c r="C86" s="154">
        <v>43189</v>
      </c>
      <c r="D86" s="154">
        <v>43189</v>
      </c>
      <c r="E86" s="50" t="s">
        <v>24</v>
      </c>
      <c r="F86" s="50" t="s">
        <v>31</v>
      </c>
      <c r="G86" s="50" t="s">
        <v>141</v>
      </c>
      <c r="H86" s="155">
        <v>3241</v>
      </c>
      <c r="I86" s="50">
        <f>IF(TbRegistroEntradas[[#This Row],[Data do Caixa Realizado]]="",0,MONTH(TbRegistroEntradas[[#This Row],[Data do Caixa Realizado]]))</f>
        <v>4</v>
      </c>
      <c r="J86" s="50">
        <f>IF(TbRegistroEntradas[[#This Row],[Data do Caixa Realizado]]="",0,YEAR(TbRegistroEntradas[[#This Row],[Data do Caixa Realizado]]))</f>
        <v>2018</v>
      </c>
      <c r="K86" s="50">
        <f>IF(TbRegistroEntradas[[#This Row],[Data da Competência]]="",0,MONTH(TbRegistroEntradas[[#This Row],[Data da Competência]]))</f>
        <v>3</v>
      </c>
      <c r="L86" s="50">
        <f>IF(TbRegistroEntradas[[#This Row],[Data da Competência]]="",0,YEAR(TbRegistroEntradas[[#This Row],[Data da Competência]]))</f>
        <v>2018</v>
      </c>
      <c r="M86" s="156">
        <f>IF(TbRegistroEntradas[[#This Row],[Data do Caixa Previsto]]="",0,MONTH(TbRegistroEntradas[[#This Row],[Data do Caixa Previsto]]))</f>
        <v>3</v>
      </c>
      <c r="N86" s="156">
        <f>IF(TbRegistroEntradas[[#This Row],[Data do Caixa Previsto]]="",0,YEAR(TbRegistroEntradas[[#This Row],[Data do Caixa Previsto]]))</f>
        <v>2018</v>
      </c>
      <c r="O86" s="156" t="str">
        <f ca="1">IF(AND(TbRegistroEntradas[[#This Row],[Data do Caixa Previsto]]&lt;TODAY(),TbRegistroEntradas[[#This Row],[Data do Caixa Realizado]]=""),"Vencida","Não Vencida")</f>
        <v>Não Vencida</v>
      </c>
      <c r="P86" s="156" t="str">
        <f>IF(TbRegistroEntradas[[#This Row],[Data da Competência]]=TbRegistroEntradas[[#This Row],[Data do Caixa Previsto]],"Vista","Prazo")</f>
        <v>Vista</v>
      </c>
      <c r="Q8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25</v>
      </c>
    </row>
    <row r="87" spans="2:17" x14ac:dyDescent="0.25">
      <c r="B87" s="154">
        <v>43306</v>
      </c>
      <c r="C87" s="154">
        <v>43190</v>
      </c>
      <c r="D87" s="154">
        <v>43228</v>
      </c>
      <c r="E87" s="50" t="s">
        <v>24</v>
      </c>
      <c r="F87" s="50" t="s">
        <v>34</v>
      </c>
      <c r="G87" s="50" t="s">
        <v>142</v>
      </c>
      <c r="H87" s="155">
        <v>4017</v>
      </c>
      <c r="I87" s="50">
        <f>IF(TbRegistroEntradas[[#This Row],[Data do Caixa Realizado]]="",0,MONTH(TbRegistroEntradas[[#This Row],[Data do Caixa Realizado]]))</f>
        <v>7</v>
      </c>
      <c r="J87" s="50">
        <f>IF(TbRegistroEntradas[[#This Row],[Data do Caixa Realizado]]="",0,YEAR(TbRegistroEntradas[[#This Row],[Data do Caixa Realizado]]))</f>
        <v>2018</v>
      </c>
      <c r="K87" s="50">
        <f>IF(TbRegistroEntradas[[#This Row],[Data da Competência]]="",0,MONTH(TbRegistroEntradas[[#This Row],[Data da Competência]]))</f>
        <v>3</v>
      </c>
      <c r="L87" s="50">
        <f>IF(TbRegistroEntradas[[#This Row],[Data da Competência]]="",0,YEAR(TbRegistroEntradas[[#This Row],[Data da Competência]]))</f>
        <v>2018</v>
      </c>
      <c r="M87" s="156">
        <f>IF(TbRegistroEntradas[[#This Row],[Data do Caixa Previsto]]="",0,MONTH(TbRegistroEntradas[[#This Row],[Data do Caixa Previsto]]))</f>
        <v>5</v>
      </c>
      <c r="N87" s="156">
        <f>IF(TbRegistroEntradas[[#This Row],[Data do Caixa Previsto]]="",0,YEAR(TbRegistroEntradas[[#This Row],[Data do Caixa Previsto]]))</f>
        <v>2018</v>
      </c>
      <c r="O87" s="156" t="str">
        <f ca="1">IF(AND(TbRegistroEntradas[[#This Row],[Data do Caixa Previsto]]&lt;TODAY(),TbRegistroEntradas[[#This Row],[Data do Caixa Realizado]]=""),"Vencida","Não Vencida")</f>
        <v>Não Vencida</v>
      </c>
      <c r="P87" s="156" t="str">
        <f>IF(TbRegistroEntradas[[#This Row],[Data da Competência]]=TbRegistroEntradas[[#This Row],[Data do Caixa Previsto]],"Vista","Prazo")</f>
        <v>Prazo</v>
      </c>
      <c r="Q8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88" spans="2:17" x14ac:dyDescent="0.25">
      <c r="B88" s="154">
        <v>43193</v>
      </c>
      <c r="C88" s="154">
        <v>43193</v>
      </c>
      <c r="D88" s="154">
        <v>43193</v>
      </c>
      <c r="E88" s="50" t="s">
        <v>24</v>
      </c>
      <c r="F88" s="50" t="s">
        <v>33</v>
      </c>
      <c r="G88" s="50" t="s">
        <v>143</v>
      </c>
      <c r="H88" s="155">
        <v>3586</v>
      </c>
      <c r="I88" s="50">
        <f>IF(TbRegistroEntradas[[#This Row],[Data do Caixa Realizado]]="",0,MONTH(TbRegistroEntradas[[#This Row],[Data do Caixa Realizado]]))</f>
        <v>4</v>
      </c>
      <c r="J88" s="50">
        <f>IF(TbRegistroEntradas[[#This Row],[Data do Caixa Realizado]]="",0,YEAR(TbRegistroEntradas[[#This Row],[Data do Caixa Realizado]]))</f>
        <v>2018</v>
      </c>
      <c r="K88" s="50">
        <f>IF(TbRegistroEntradas[[#This Row],[Data da Competência]]="",0,MONTH(TbRegistroEntradas[[#This Row],[Data da Competência]]))</f>
        <v>4</v>
      </c>
      <c r="L88" s="50">
        <f>IF(TbRegistroEntradas[[#This Row],[Data da Competência]]="",0,YEAR(TbRegistroEntradas[[#This Row],[Data da Competência]]))</f>
        <v>2018</v>
      </c>
      <c r="M88" s="156">
        <f>IF(TbRegistroEntradas[[#This Row],[Data do Caixa Previsto]]="",0,MONTH(TbRegistroEntradas[[#This Row],[Data do Caixa Previsto]]))</f>
        <v>4</v>
      </c>
      <c r="N88" s="156">
        <f>IF(TbRegistroEntradas[[#This Row],[Data do Caixa Previsto]]="",0,YEAR(TbRegistroEntradas[[#This Row],[Data do Caixa Previsto]]))</f>
        <v>2018</v>
      </c>
      <c r="O88" s="156" t="str">
        <f ca="1">IF(AND(TbRegistroEntradas[[#This Row],[Data do Caixa Previsto]]&lt;TODAY(),TbRegistroEntradas[[#This Row],[Data do Caixa Realizado]]=""),"Vencida","Não Vencida")</f>
        <v>Não Vencida</v>
      </c>
      <c r="P88" s="156" t="str">
        <f>IF(TbRegistroEntradas[[#This Row],[Data da Competência]]=TbRegistroEntradas[[#This Row],[Data do Caixa Previsto]],"Vista","Prazo")</f>
        <v>Vista</v>
      </c>
      <c r="Q8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9" spans="2:17" x14ac:dyDescent="0.25">
      <c r="B89" s="154">
        <v>43196</v>
      </c>
      <c r="C89" s="154">
        <v>43196</v>
      </c>
      <c r="D89" s="154">
        <v>43196</v>
      </c>
      <c r="E89" s="50" t="s">
        <v>24</v>
      </c>
      <c r="F89" s="50" t="s">
        <v>31</v>
      </c>
      <c r="G89" s="50" t="s">
        <v>144</v>
      </c>
      <c r="H89" s="155">
        <v>4467</v>
      </c>
      <c r="I89" s="50">
        <f>IF(TbRegistroEntradas[[#This Row],[Data do Caixa Realizado]]="",0,MONTH(TbRegistroEntradas[[#This Row],[Data do Caixa Realizado]]))</f>
        <v>4</v>
      </c>
      <c r="J89" s="50">
        <f>IF(TbRegistroEntradas[[#This Row],[Data do Caixa Realizado]]="",0,YEAR(TbRegistroEntradas[[#This Row],[Data do Caixa Realizado]]))</f>
        <v>2018</v>
      </c>
      <c r="K89" s="50">
        <f>IF(TbRegistroEntradas[[#This Row],[Data da Competência]]="",0,MONTH(TbRegistroEntradas[[#This Row],[Data da Competência]]))</f>
        <v>4</v>
      </c>
      <c r="L89" s="50">
        <f>IF(TbRegistroEntradas[[#This Row],[Data da Competência]]="",0,YEAR(TbRegistroEntradas[[#This Row],[Data da Competência]]))</f>
        <v>2018</v>
      </c>
      <c r="M89" s="156">
        <f>IF(TbRegistroEntradas[[#This Row],[Data do Caixa Previsto]]="",0,MONTH(TbRegistroEntradas[[#This Row],[Data do Caixa Previsto]]))</f>
        <v>4</v>
      </c>
      <c r="N89" s="156">
        <f>IF(TbRegistroEntradas[[#This Row],[Data do Caixa Previsto]]="",0,YEAR(TbRegistroEntradas[[#This Row],[Data do Caixa Previsto]]))</f>
        <v>2018</v>
      </c>
      <c r="O89" s="156" t="str">
        <f ca="1">IF(AND(TbRegistroEntradas[[#This Row],[Data do Caixa Previsto]]&lt;TODAY(),TbRegistroEntradas[[#This Row],[Data do Caixa Realizado]]=""),"Vencida","Não Vencida")</f>
        <v>Não Vencida</v>
      </c>
      <c r="P89" s="156" t="str">
        <f>IF(TbRegistroEntradas[[#This Row],[Data da Competência]]=TbRegistroEntradas[[#This Row],[Data do Caixa Previsto]],"Vista","Prazo")</f>
        <v>Vista</v>
      </c>
      <c r="Q8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0" spans="2:17" x14ac:dyDescent="0.25">
      <c r="B90" s="154">
        <v>43251</v>
      </c>
      <c r="C90" s="154">
        <v>43199</v>
      </c>
      <c r="D90" s="154">
        <v>43251</v>
      </c>
      <c r="E90" s="50" t="s">
        <v>24</v>
      </c>
      <c r="F90" s="50" t="s">
        <v>33</v>
      </c>
      <c r="G90" s="50" t="s">
        <v>145</v>
      </c>
      <c r="H90" s="155">
        <v>4262</v>
      </c>
      <c r="I90" s="50">
        <f>IF(TbRegistroEntradas[[#This Row],[Data do Caixa Realizado]]="",0,MONTH(TbRegistroEntradas[[#This Row],[Data do Caixa Realizado]]))</f>
        <v>5</v>
      </c>
      <c r="J90" s="50">
        <f>IF(TbRegistroEntradas[[#This Row],[Data do Caixa Realizado]]="",0,YEAR(TbRegistroEntradas[[#This Row],[Data do Caixa Realizado]]))</f>
        <v>2018</v>
      </c>
      <c r="K90" s="50">
        <f>IF(TbRegistroEntradas[[#This Row],[Data da Competência]]="",0,MONTH(TbRegistroEntradas[[#This Row],[Data da Competência]]))</f>
        <v>4</v>
      </c>
      <c r="L90" s="50">
        <f>IF(TbRegistroEntradas[[#This Row],[Data da Competência]]="",0,YEAR(TbRegistroEntradas[[#This Row],[Data da Competência]]))</f>
        <v>2018</v>
      </c>
      <c r="M90" s="156">
        <f>IF(TbRegistroEntradas[[#This Row],[Data do Caixa Previsto]]="",0,MONTH(TbRegistroEntradas[[#This Row],[Data do Caixa Previsto]]))</f>
        <v>5</v>
      </c>
      <c r="N90" s="156">
        <f>IF(TbRegistroEntradas[[#This Row],[Data do Caixa Previsto]]="",0,YEAR(TbRegistroEntradas[[#This Row],[Data do Caixa Previsto]]))</f>
        <v>2018</v>
      </c>
      <c r="O90" s="156" t="str">
        <f ca="1">IF(AND(TbRegistroEntradas[[#This Row],[Data do Caixa Previsto]]&lt;TODAY(),TbRegistroEntradas[[#This Row],[Data do Caixa Realizado]]=""),"Vencida","Não Vencida")</f>
        <v>Não Vencida</v>
      </c>
      <c r="P90" s="156" t="str">
        <f>IF(TbRegistroEntradas[[#This Row],[Data da Competência]]=TbRegistroEntradas[[#This Row],[Data do Caixa Previsto]],"Vista","Prazo")</f>
        <v>Prazo</v>
      </c>
      <c r="Q9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1" spans="2:17" x14ac:dyDescent="0.25">
      <c r="B91" s="154" t="s">
        <v>67</v>
      </c>
      <c r="C91" s="154">
        <v>43201</v>
      </c>
      <c r="D91" s="154">
        <v>43260</v>
      </c>
      <c r="E91" s="50" t="s">
        <v>24</v>
      </c>
      <c r="F91" s="50" t="s">
        <v>33</v>
      </c>
      <c r="G91" s="50" t="s">
        <v>146</v>
      </c>
      <c r="H91" s="155">
        <v>2593</v>
      </c>
      <c r="I91" s="50">
        <f>IF(TbRegistroEntradas[[#This Row],[Data do Caixa Realizado]]="",0,MONTH(TbRegistroEntradas[[#This Row],[Data do Caixa Realizado]]))</f>
        <v>0</v>
      </c>
      <c r="J91" s="50">
        <f>IF(TbRegistroEntradas[[#This Row],[Data do Caixa Realizado]]="",0,YEAR(TbRegistroEntradas[[#This Row],[Data do Caixa Realizado]]))</f>
        <v>0</v>
      </c>
      <c r="K91" s="50">
        <f>IF(TbRegistroEntradas[[#This Row],[Data da Competência]]="",0,MONTH(TbRegistroEntradas[[#This Row],[Data da Competência]]))</f>
        <v>4</v>
      </c>
      <c r="L91" s="50">
        <f>IF(TbRegistroEntradas[[#This Row],[Data da Competência]]="",0,YEAR(TbRegistroEntradas[[#This Row],[Data da Competência]]))</f>
        <v>2018</v>
      </c>
      <c r="M91" s="156">
        <f>IF(TbRegistroEntradas[[#This Row],[Data do Caixa Previsto]]="",0,MONTH(TbRegistroEntradas[[#This Row],[Data do Caixa Previsto]]))</f>
        <v>6</v>
      </c>
      <c r="N91" s="156">
        <f>IF(TbRegistroEntradas[[#This Row],[Data do Caixa Previsto]]="",0,YEAR(TbRegistroEntradas[[#This Row],[Data do Caixa Previsto]]))</f>
        <v>2018</v>
      </c>
      <c r="O91" s="156" t="str">
        <f ca="1">IF(AND(TbRegistroEntradas[[#This Row],[Data do Caixa Previsto]]&lt;TODAY(),TbRegistroEntradas[[#This Row],[Data do Caixa Realizado]]=""),"Vencida","Não Vencida")</f>
        <v>Vencida</v>
      </c>
      <c r="P91" s="156" t="str">
        <f>IF(TbRegistroEntradas[[#This Row],[Data da Competência]]=TbRegistroEntradas[[#This Row],[Data do Caixa Previsto]],"Vista","Prazo")</f>
        <v>Prazo</v>
      </c>
      <c r="Q9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686</v>
      </c>
    </row>
    <row r="92" spans="2:17" x14ac:dyDescent="0.25">
      <c r="B92" s="154">
        <v>43224</v>
      </c>
      <c r="C92" s="154">
        <v>43204</v>
      </c>
      <c r="D92" s="154">
        <v>43224</v>
      </c>
      <c r="E92" s="50" t="s">
        <v>24</v>
      </c>
      <c r="F92" s="50" t="s">
        <v>33</v>
      </c>
      <c r="G92" s="50" t="s">
        <v>147</v>
      </c>
      <c r="H92" s="155">
        <v>1885</v>
      </c>
      <c r="I92" s="50">
        <f>IF(TbRegistroEntradas[[#This Row],[Data do Caixa Realizado]]="",0,MONTH(TbRegistroEntradas[[#This Row],[Data do Caixa Realizado]]))</f>
        <v>5</v>
      </c>
      <c r="J92" s="50">
        <f>IF(TbRegistroEntradas[[#This Row],[Data do Caixa Realizado]]="",0,YEAR(TbRegistroEntradas[[#This Row],[Data do Caixa Realizado]]))</f>
        <v>2018</v>
      </c>
      <c r="K92" s="50">
        <f>IF(TbRegistroEntradas[[#This Row],[Data da Competência]]="",0,MONTH(TbRegistroEntradas[[#This Row],[Data da Competência]]))</f>
        <v>4</v>
      </c>
      <c r="L92" s="50">
        <f>IF(TbRegistroEntradas[[#This Row],[Data da Competência]]="",0,YEAR(TbRegistroEntradas[[#This Row],[Data da Competência]]))</f>
        <v>2018</v>
      </c>
      <c r="M92" s="156">
        <f>IF(TbRegistroEntradas[[#This Row],[Data do Caixa Previsto]]="",0,MONTH(TbRegistroEntradas[[#This Row],[Data do Caixa Previsto]]))</f>
        <v>5</v>
      </c>
      <c r="N92" s="156">
        <f>IF(TbRegistroEntradas[[#This Row],[Data do Caixa Previsto]]="",0,YEAR(TbRegistroEntradas[[#This Row],[Data do Caixa Previsto]]))</f>
        <v>2018</v>
      </c>
      <c r="O92" s="156" t="str">
        <f ca="1">IF(AND(TbRegistroEntradas[[#This Row],[Data do Caixa Previsto]]&lt;TODAY(),TbRegistroEntradas[[#This Row],[Data do Caixa Realizado]]=""),"Vencida","Não Vencida")</f>
        <v>Não Vencida</v>
      </c>
      <c r="P92" s="156" t="str">
        <f>IF(TbRegistroEntradas[[#This Row],[Data da Competência]]=TbRegistroEntradas[[#This Row],[Data do Caixa Previsto]],"Vista","Prazo")</f>
        <v>Prazo</v>
      </c>
      <c r="Q9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3" spans="2:17" x14ac:dyDescent="0.25">
      <c r="B93" s="154">
        <v>43295</v>
      </c>
      <c r="C93" s="154">
        <v>43209</v>
      </c>
      <c r="D93" s="154">
        <v>43209</v>
      </c>
      <c r="E93" s="50" t="s">
        <v>24</v>
      </c>
      <c r="F93" s="50" t="s">
        <v>33</v>
      </c>
      <c r="G93" s="50" t="s">
        <v>148</v>
      </c>
      <c r="H93" s="155">
        <v>2224</v>
      </c>
      <c r="I93" s="50">
        <f>IF(TbRegistroEntradas[[#This Row],[Data do Caixa Realizado]]="",0,MONTH(TbRegistroEntradas[[#This Row],[Data do Caixa Realizado]]))</f>
        <v>7</v>
      </c>
      <c r="J93" s="50">
        <f>IF(TbRegistroEntradas[[#This Row],[Data do Caixa Realizado]]="",0,YEAR(TbRegistroEntradas[[#This Row],[Data do Caixa Realizado]]))</f>
        <v>2018</v>
      </c>
      <c r="K93" s="50">
        <f>IF(TbRegistroEntradas[[#This Row],[Data da Competência]]="",0,MONTH(TbRegistroEntradas[[#This Row],[Data da Competência]]))</f>
        <v>4</v>
      </c>
      <c r="L93" s="50">
        <f>IF(TbRegistroEntradas[[#This Row],[Data da Competência]]="",0,YEAR(TbRegistroEntradas[[#This Row],[Data da Competência]]))</f>
        <v>2018</v>
      </c>
      <c r="M93" s="156">
        <f>IF(TbRegistroEntradas[[#This Row],[Data do Caixa Previsto]]="",0,MONTH(TbRegistroEntradas[[#This Row],[Data do Caixa Previsto]]))</f>
        <v>4</v>
      </c>
      <c r="N93" s="156">
        <f>IF(TbRegistroEntradas[[#This Row],[Data do Caixa Previsto]]="",0,YEAR(TbRegistroEntradas[[#This Row],[Data do Caixa Previsto]]))</f>
        <v>2018</v>
      </c>
      <c r="O93" s="156" t="str">
        <f ca="1">IF(AND(TbRegistroEntradas[[#This Row],[Data do Caixa Previsto]]&lt;TODAY(),TbRegistroEntradas[[#This Row],[Data do Caixa Realizado]]=""),"Vencida","Não Vencida")</f>
        <v>Não Vencida</v>
      </c>
      <c r="P93" s="156" t="str">
        <f>IF(TbRegistroEntradas[[#This Row],[Data da Competência]]=TbRegistroEntradas[[#This Row],[Data do Caixa Previsto]],"Vista","Prazo")</f>
        <v>Vista</v>
      </c>
      <c r="Q9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86</v>
      </c>
    </row>
    <row r="94" spans="2:17" x14ac:dyDescent="0.25">
      <c r="B94" s="154">
        <v>43234</v>
      </c>
      <c r="C94" s="154">
        <v>43213</v>
      </c>
      <c r="D94" s="154">
        <v>43234</v>
      </c>
      <c r="E94" s="50" t="s">
        <v>24</v>
      </c>
      <c r="F94" s="50" t="s">
        <v>33</v>
      </c>
      <c r="G94" s="50" t="s">
        <v>149</v>
      </c>
      <c r="H94" s="155">
        <v>3223</v>
      </c>
      <c r="I94" s="50">
        <f>IF(TbRegistroEntradas[[#This Row],[Data do Caixa Realizado]]="",0,MONTH(TbRegistroEntradas[[#This Row],[Data do Caixa Realizado]]))</f>
        <v>5</v>
      </c>
      <c r="J94" s="50">
        <f>IF(TbRegistroEntradas[[#This Row],[Data do Caixa Realizado]]="",0,YEAR(TbRegistroEntradas[[#This Row],[Data do Caixa Realizado]]))</f>
        <v>2018</v>
      </c>
      <c r="K94" s="50">
        <f>IF(TbRegistroEntradas[[#This Row],[Data da Competência]]="",0,MONTH(TbRegistroEntradas[[#This Row],[Data da Competência]]))</f>
        <v>4</v>
      </c>
      <c r="L94" s="50">
        <f>IF(TbRegistroEntradas[[#This Row],[Data da Competência]]="",0,YEAR(TbRegistroEntradas[[#This Row],[Data da Competência]]))</f>
        <v>2018</v>
      </c>
      <c r="M94" s="156">
        <f>IF(TbRegistroEntradas[[#This Row],[Data do Caixa Previsto]]="",0,MONTH(TbRegistroEntradas[[#This Row],[Data do Caixa Previsto]]))</f>
        <v>5</v>
      </c>
      <c r="N94" s="156">
        <f>IF(TbRegistroEntradas[[#This Row],[Data do Caixa Previsto]]="",0,YEAR(TbRegistroEntradas[[#This Row],[Data do Caixa Previsto]]))</f>
        <v>2018</v>
      </c>
      <c r="O94" s="156" t="str">
        <f ca="1">IF(AND(TbRegistroEntradas[[#This Row],[Data do Caixa Previsto]]&lt;TODAY(),TbRegistroEntradas[[#This Row],[Data do Caixa Realizado]]=""),"Vencida","Não Vencida")</f>
        <v>Não Vencida</v>
      </c>
      <c r="P94" s="156" t="str">
        <f>IF(TbRegistroEntradas[[#This Row],[Data da Competência]]=TbRegistroEntradas[[#This Row],[Data do Caixa Previsto]],"Vista","Prazo")</f>
        <v>Prazo</v>
      </c>
      <c r="Q9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5" spans="2:17" x14ac:dyDescent="0.25">
      <c r="B95" s="154">
        <v>43216</v>
      </c>
      <c r="C95" s="154">
        <v>43216</v>
      </c>
      <c r="D95" s="154">
        <v>43216</v>
      </c>
      <c r="E95" s="50" t="s">
        <v>24</v>
      </c>
      <c r="F95" s="50" t="s">
        <v>32</v>
      </c>
      <c r="G95" s="50" t="s">
        <v>150</v>
      </c>
      <c r="H95" s="155">
        <v>3446</v>
      </c>
      <c r="I95" s="50">
        <f>IF(TbRegistroEntradas[[#This Row],[Data do Caixa Realizado]]="",0,MONTH(TbRegistroEntradas[[#This Row],[Data do Caixa Realizado]]))</f>
        <v>4</v>
      </c>
      <c r="J95" s="50">
        <f>IF(TbRegistroEntradas[[#This Row],[Data do Caixa Realizado]]="",0,YEAR(TbRegistroEntradas[[#This Row],[Data do Caixa Realizado]]))</f>
        <v>2018</v>
      </c>
      <c r="K95" s="50">
        <f>IF(TbRegistroEntradas[[#This Row],[Data da Competência]]="",0,MONTH(TbRegistroEntradas[[#This Row],[Data da Competência]]))</f>
        <v>4</v>
      </c>
      <c r="L95" s="50">
        <f>IF(TbRegistroEntradas[[#This Row],[Data da Competência]]="",0,YEAR(TbRegistroEntradas[[#This Row],[Data da Competência]]))</f>
        <v>2018</v>
      </c>
      <c r="M95" s="156">
        <f>IF(TbRegistroEntradas[[#This Row],[Data do Caixa Previsto]]="",0,MONTH(TbRegistroEntradas[[#This Row],[Data do Caixa Previsto]]))</f>
        <v>4</v>
      </c>
      <c r="N95" s="156">
        <f>IF(TbRegistroEntradas[[#This Row],[Data do Caixa Previsto]]="",0,YEAR(TbRegistroEntradas[[#This Row],[Data do Caixa Previsto]]))</f>
        <v>2018</v>
      </c>
      <c r="O95" s="156" t="str">
        <f ca="1">IF(AND(TbRegistroEntradas[[#This Row],[Data do Caixa Previsto]]&lt;TODAY(),TbRegistroEntradas[[#This Row],[Data do Caixa Realizado]]=""),"Vencida","Não Vencida")</f>
        <v>Não Vencida</v>
      </c>
      <c r="P95" s="156" t="str">
        <f>IF(TbRegistroEntradas[[#This Row],[Data da Competência]]=TbRegistroEntradas[[#This Row],[Data do Caixa Previsto]],"Vista","Prazo")</f>
        <v>Vista</v>
      </c>
      <c r="Q9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6" spans="2:17" x14ac:dyDescent="0.25">
      <c r="B96" s="154">
        <v>43226</v>
      </c>
      <c r="C96" s="154">
        <v>43220</v>
      </c>
      <c r="D96" s="154">
        <v>43220</v>
      </c>
      <c r="E96" s="50" t="s">
        <v>24</v>
      </c>
      <c r="F96" s="50" t="s">
        <v>33</v>
      </c>
      <c r="G96" s="50" t="s">
        <v>151</v>
      </c>
      <c r="H96" s="155">
        <v>4540</v>
      </c>
      <c r="I96" s="50">
        <f>IF(TbRegistroEntradas[[#This Row],[Data do Caixa Realizado]]="",0,MONTH(TbRegistroEntradas[[#This Row],[Data do Caixa Realizado]]))</f>
        <v>5</v>
      </c>
      <c r="J96" s="50">
        <f>IF(TbRegistroEntradas[[#This Row],[Data do Caixa Realizado]]="",0,YEAR(TbRegistroEntradas[[#This Row],[Data do Caixa Realizado]]))</f>
        <v>2018</v>
      </c>
      <c r="K96" s="50">
        <f>IF(TbRegistroEntradas[[#This Row],[Data da Competência]]="",0,MONTH(TbRegistroEntradas[[#This Row],[Data da Competência]]))</f>
        <v>4</v>
      </c>
      <c r="L96" s="50">
        <f>IF(TbRegistroEntradas[[#This Row],[Data da Competência]]="",0,YEAR(TbRegistroEntradas[[#This Row],[Data da Competência]]))</f>
        <v>2018</v>
      </c>
      <c r="M96" s="156">
        <f>IF(TbRegistroEntradas[[#This Row],[Data do Caixa Previsto]]="",0,MONTH(TbRegistroEntradas[[#This Row],[Data do Caixa Previsto]]))</f>
        <v>4</v>
      </c>
      <c r="N96" s="156">
        <f>IF(TbRegistroEntradas[[#This Row],[Data do Caixa Previsto]]="",0,YEAR(TbRegistroEntradas[[#This Row],[Data do Caixa Previsto]]))</f>
        <v>2018</v>
      </c>
      <c r="O96" s="156" t="str">
        <f ca="1">IF(AND(TbRegistroEntradas[[#This Row],[Data do Caixa Previsto]]&lt;TODAY(),TbRegistroEntradas[[#This Row],[Data do Caixa Realizado]]=""),"Vencida","Não Vencida")</f>
        <v>Não Vencida</v>
      </c>
      <c r="P96" s="156" t="str">
        <f>IF(TbRegistroEntradas[[#This Row],[Data da Competência]]=TbRegistroEntradas[[#This Row],[Data do Caixa Previsto]],"Vista","Prazo")</f>
        <v>Vista</v>
      </c>
      <c r="Q9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97" spans="2:17" x14ac:dyDescent="0.25">
      <c r="B97" s="154">
        <v>43283</v>
      </c>
      <c r="C97" s="154">
        <v>43228</v>
      </c>
      <c r="D97" s="154">
        <v>43283</v>
      </c>
      <c r="E97" s="50" t="s">
        <v>24</v>
      </c>
      <c r="F97" s="50" t="s">
        <v>34</v>
      </c>
      <c r="G97" s="50" t="s">
        <v>152</v>
      </c>
      <c r="H97" s="155">
        <v>3862</v>
      </c>
      <c r="I97" s="50">
        <f>IF(TbRegistroEntradas[[#This Row],[Data do Caixa Realizado]]="",0,MONTH(TbRegistroEntradas[[#This Row],[Data do Caixa Realizado]]))</f>
        <v>7</v>
      </c>
      <c r="J97" s="50">
        <f>IF(TbRegistroEntradas[[#This Row],[Data do Caixa Realizado]]="",0,YEAR(TbRegistroEntradas[[#This Row],[Data do Caixa Realizado]]))</f>
        <v>2018</v>
      </c>
      <c r="K97" s="50">
        <f>IF(TbRegistroEntradas[[#This Row],[Data da Competência]]="",0,MONTH(TbRegistroEntradas[[#This Row],[Data da Competência]]))</f>
        <v>5</v>
      </c>
      <c r="L97" s="50">
        <f>IF(TbRegistroEntradas[[#This Row],[Data da Competência]]="",0,YEAR(TbRegistroEntradas[[#This Row],[Data da Competência]]))</f>
        <v>2018</v>
      </c>
      <c r="M97" s="156">
        <f>IF(TbRegistroEntradas[[#This Row],[Data do Caixa Previsto]]="",0,MONTH(TbRegistroEntradas[[#This Row],[Data do Caixa Previsto]]))</f>
        <v>7</v>
      </c>
      <c r="N97" s="156">
        <f>IF(TbRegistroEntradas[[#This Row],[Data do Caixa Previsto]]="",0,YEAR(TbRegistroEntradas[[#This Row],[Data do Caixa Previsto]]))</f>
        <v>2018</v>
      </c>
      <c r="O97" s="156" t="str">
        <f ca="1">IF(AND(TbRegistroEntradas[[#This Row],[Data do Caixa Previsto]]&lt;TODAY(),TbRegistroEntradas[[#This Row],[Data do Caixa Realizado]]=""),"Vencida","Não Vencida")</f>
        <v>Não Vencida</v>
      </c>
      <c r="P97" s="156" t="str">
        <f>IF(TbRegistroEntradas[[#This Row],[Data da Competência]]=TbRegistroEntradas[[#This Row],[Data do Caixa Previsto]],"Vista","Prazo")</f>
        <v>Prazo</v>
      </c>
      <c r="Q9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8" spans="2:17" x14ac:dyDescent="0.25">
      <c r="B98" s="154">
        <v>43311</v>
      </c>
      <c r="C98" s="154">
        <v>43231</v>
      </c>
      <c r="D98" s="154">
        <v>43279</v>
      </c>
      <c r="E98" s="50" t="s">
        <v>24</v>
      </c>
      <c r="F98" s="50" t="s">
        <v>32</v>
      </c>
      <c r="G98" s="50" t="s">
        <v>153</v>
      </c>
      <c r="H98" s="155">
        <v>611</v>
      </c>
      <c r="I98" s="50">
        <f>IF(TbRegistroEntradas[[#This Row],[Data do Caixa Realizado]]="",0,MONTH(TbRegistroEntradas[[#This Row],[Data do Caixa Realizado]]))</f>
        <v>7</v>
      </c>
      <c r="J98" s="50">
        <f>IF(TbRegistroEntradas[[#This Row],[Data do Caixa Realizado]]="",0,YEAR(TbRegistroEntradas[[#This Row],[Data do Caixa Realizado]]))</f>
        <v>2018</v>
      </c>
      <c r="K98" s="50">
        <f>IF(TbRegistroEntradas[[#This Row],[Data da Competência]]="",0,MONTH(TbRegistroEntradas[[#This Row],[Data da Competência]]))</f>
        <v>5</v>
      </c>
      <c r="L98" s="50">
        <f>IF(TbRegistroEntradas[[#This Row],[Data da Competência]]="",0,YEAR(TbRegistroEntradas[[#This Row],[Data da Competência]]))</f>
        <v>2018</v>
      </c>
      <c r="M98" s="156">
        <f>IF(TbRegistroEntradas[[#This Row],[Data do Caixa Previsto]]="",0,MONTH(TbRegistroEntradas[[#This Row],[Data do Caixa Previsto]]))</f>
        <v>6</v>
      </c>
      <c r="N98" s="156">
        <f>IF(TbRegistroEntradas[[#This Row],[Data do Caixa Previsto]]="",0,YEAR(TbRegistroEntradas[[#This Row],[Data do Caixa Previsto]]))</f>
        <v>2018</v>
      </c>
      <c r="O98" s="156" t="str">
        <f ca="1">IF(AND(TbRegistroEntradas[[#This Row],[Data do Caixa Previsto]]&lt;TODAY(),TbRegistroEntradas[[#This Row],[Data do Caixa Realizado]]=""),"Vencida","Não Vencida")</f>
        <v>Não Vencida</v>
      </c>
      <c r="P98" s="156" t="str">
        <f>IF(TbRegistroEntradas[[#This Row],[Data da Competência]]=TbRegistroEntradas[[#This Row],[Data do Caixa Previsto]],"Vista","Prazo")</f>
        <v>Prazo</v>
      </c>
      <c r="Q9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32</v>
      </c>
    </row>
    <row r="99" spans="2:17" x14ac:dyDescent="0.25">
      <c r="B99" s="154">
        <v>43233</v>
      </c>
      <c r="C99" s="154">
        <v>43233</v>
      </c>
      <c r="D99" s="154">
        <v>43233</v>
      </c>
      <c r="E99" s="50" t="s">
        <v>24</v>
      </c>
      <c r="F99" s="50" t="s">
        <v>30</v>
      </c>
      <c r="G99" s="50" t="s">
        <v>154</v>
      </c>
      <c r="H99" s="155">
        <v>1486</v>
      </c>
      <c r="I99" s="50">
        <f>IF(TbRegistroEntradas[[#This Row],[Data do Caixa Realizado]]="",0,MONTH(TbRegistroEntradas[[#This Row],[Data do Caixa Realizado]]))</f>
        <v>5</v>
      </c>
      <c r="J99" s="50">
        <f>IF(TbRegistroEntradas[[#This Row],[Data do Caixa Realizado]]="",0,YEAR(TbRegistroEntradas[[#This Row],[Data do Caixa Realizado]]))</f>
        <v>2018</v>
      </c>
      <c r="K99" s="50">
        <f>IF(TbRegistroEntradas[[#This Row],[Data da Competência]]="",0,MONTH(TbRegistroEntradas[[#This Row],[Data da Competência]]))</f>
        <v>5</v>
      </c>
      <c r="L99" s="50">
        <f>IF(TbRegistroEntradas[[#This Row],[Data da Competência]]="",0,YEAR(TbRegistroEntradas[[#This Row],[Data da Competência]]))</f>
        <v>2018</v>
      </c>
      <c r="M99" s="156">
        <f>IF(TbRegistroEntradas[[#This Row],[Data do Caixa Previsto]]="",0,MONTH(TbRegistroEntradas[[#This Row],[Data do Caixa Previsto]]))</f>
        <v>5</v>
      </c>
      <c r="N99" s="156">
        <f>IF(TbRegistroEntradas[[#This Row],[Data do Caixa Previsto]]="",0,YEAR(TbRegistroEntradas[[#This Row],[Data do Caixa Previsto]]))</f>
        <v>2018</v>
      </c>
      <c r="O99" s="156" t="str">
        <f ca="1">IF(AND(TbRegistroEntradas[[#This Row],[Data do Caixa Previsto]]&lt;TODAY(),TbRegistroEntradas[[#This Row],[Data do Caixa Realizado]]=""),"Vencida","Não Vencida")</f>
        <v>Não Vencida</v>
      </c>
      <c r="P99" s="156" t="str">
        <f>IF(TbRegistroEntradas[[#This Row],[Data da Competência]]=TbRegistroEntradas[[#This Row],[Data do Caixa Previsto]],"Vista","Prazo")</f>
        <v>Vista</v>
      </c>
      <c r="Q9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0" spans="2:17" x14ac:dyDescent="0.25">
      <c r="B100" s="154">
        <v>43252</v>
      </c>
      <c r="C100" s="154">
        <v>43241</v>
      </c>
      <c r="D100" s="154">
        <v>43252</v>
      </c>
      <c r="E100" s="50" t="s">
        <v>24</v>
      </c>
      <c r="F100" s="50" t="s">
        <v>33</v>
      </c>
      <c r="G100" s="50" t="s">
        <v>155</v>
      </c>
      <c r="H100" s="155">
        <v>4850</v>
      </c>
      <c r="I100" s="50">
        <f>IF(TbRegistroEntradas[[#This Row],[Data do Caixa Realizado]]="",0,MONTH(TbRegistroEntradas[[#This Row],[Data do Caixa Realizado]]))</f>
        <v>6</v>
      </c>
      <c r="J100" s="50">
        <f>IF(TbRegistroEntradas[[#This Row],[Data do Caixa Realizado]]="",0,YEAR(TbRegistroEntradas[[#This Row],[Data do Caixa Realizado]]))</f>
        <v>2018</v>
      </c>
      <c r="K100" s="50">
        <f>IF(TbRegistroEntradas[[#This Row],[Data da Competência]]="",0,MONTH(TbRegistroEntradas[[#This Row],[Data da Competência]]))</f>
        <v>5</v>
      </c>
      <c r="L100" s="50">
        <f>IF(TbRegistroEntradas[[#This Row],[Data da Competência]]="",0,YEAR(TbRegistroEntradas[[#This Row],[Data da Competência]]))</f>
        <v>2018</v>
      </c>
      <c r="M100" s="156">
        <f>IF(TbRegistroEntradas[[#This Row],[Data do Caixa Previsto]]="",0,MONTH(TbRegistroEntradas[[#This Row],[Data do Caixa Previsto]]))</f>
        <v>6</v>
      </c>
      <c r="N100" s="156">
        <f>IF(TbRegistroEntradas[[#This Row],[Data do Caixa Previsto]]="",0,YEAR(TbRegistroEntradas[[#This Row],[Data do Caixa Previsto]]))</f>
        <v>2018</v>
      </c>
      <c r="O100" s="156" t="str">
        <f ca="1">IF(AND(TbRegistroEntradas[[#This Row],[Data do Caixa Previsto]]&lt;TODAY(),TbRegistroEntradas[[#This Row],[Data do Caixa Realizado]]=""),"Vencida","Não Vencida")</f>
        <v>Não Vencida</v>
      </c>
      <c r="P100" s="156" t="str">
        <f>IF(TbRegistroEntradas[[#This Row],[Data da Competência]]=TbRegistroEntradas[[#This Row],[Data do Caixa Previsto]],"Vista","Prazo")</f>
        <v>Prazo</v>
      </c>
      <c r="Q10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1" spans="2:17" x14ac:dyDescent="0.25">
      <c r="B101" s="154">
        <v>43275</v>
      </c>
      <c r="C101" s="154">
        <v>43244</v>
      </c>
      <c r="D101" s="154">
        <v>43275</v>
      </c>
      <c r="E101" s="50" t="s">
        <v>24</v>
      </c>
      <c r="F101" s="50" t="s">
        <v>30</v>
      </c>
      <c r="G101" s="50" t="s">
        <v>94</v>
      </c>
      <c r="H101" s="155">
        <v>3878</v>
      </c>
      <c r="I101" s="50">
        <f>IF(TbRegistroEntradas[[#This Row],[Data do Caixa Realizado]]="",0,MONTH(TbRegistroEntradas[[#This Row],[Data do Caixa Realizado]]))</f>
        <v>6</v>
      </c>
      <c r="J101" s="50">
        <f>IF(TbRegistroEntradas[[#This Row],[Data do Caixa Realizado]]="",0,YEAR(TbRegistroEntradas[[#This Row],[Data do Caixa Realizado]]))</f>
        <v>2018</v>
      </c>
      <c r="K101" s="50">
        <f>IF(TbRegistroEntradas[[#This Row],[Data da Competência]]="",0,MONTH(TbRegistroEntradas[[#This Row],[Data da Competência]]))</f>
        <v>5</v>
      </c>
      <c r="L101" s="50">
        <f>IF(TbRegistroEntradas[[#This Row],[Data da Competência]]="",0,YEAR(TbRegistroEntradas[[#This Row],[Data da Competência]]))</f>
        <v>2018</v>
      </c>
      <c r="M101" s="156">
        <f>IF(TbRegistroEntradas[[#This Row],[Data do Caixa Previsto]]="",0,MONTH(TbRegistroEntradas[[#This Row],[Data do Caixa Previsto]]))</f>
        <v>6</v>
      </c>
      <c r="N101" s="156">
        <f>IF(TbRegistroEntradas[[#This Row],[Data do Caixa Previsto]]="",0,YEAR(TbRegistroEntradas[[#This Row],[Data do Caixa Previsto]]))</f>
        <v>2018</v>
      </c>
      <c r="O101" s="156" t="str">
        <f ca="1">IF(AND(TbRegistroEntradas[[#This Row],[Data do Caixa Previsto]]&lt;TODAY(),TbRegistroEntradas[[#This Row],[Data do Caixa Realizado]]=""),"Vencida","Não Vencida")</f>
        <v>Não Vencida</v>
      </c>
      <c r="P101" s="156" t="str">
        <f>IF(TbRegistroEntradas[[#This Row],[Data da Competência]]=TbRegistroEntradas[[#This Row],[Data do Caixa Previsto]],"Vista","Prazo")</f>
        <v>Prazo</v>
      </c>
      <c r="Q10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2" spans="2:17" x14ac:dyDescent="0.25">
      <c r="B102" s="154">
        <v>43275</v>
      </c>
      <c r="C102" s="154">
        <v>43249</v>
      </c>
      <c r="D102" s="154">
        <v>43275</v>
      </c>
      <c r="E102" s="50" t="s">
        <v>24</v>
      </c>
      <c r="F102" s="50" t="s">
        <v>30</v>
      </c>
      <c r="G102" s="50" t="s">
        <v>156</v>
      </c>
      <c r="H102" s="155">
        <v>976</v>
      </c>
      <c r="I102" s="50">
        <f>IF(TbRegistroEntradas[[#This Row],[Data do Caixa Realizado]]="",0,MONTH(TbRegistroEntradas[[#This Row],[Data do Caixa Realizado]]))</f>
        <v>6</v>
      </c>
      <c r="J102" s="50">
        <f>IF(TbRegistroEntradas[[#This Row],[Data do Caixa Realizado]]="",0,YEAR(TbRegistroEntradas[[#This Row],[Data do Caixa Realizado]]))</f>
        <v>2018</v>
      </c>
      <c r="K102" s="50">
        <f>IF(TbRegistroEntradas[[#This Row],[Data da Competência]]="",0,MONTH(TbRegistroEntradas[[#This Row],[Data da Competência]]))</f>
        <v>5</v>
      </c>
      <c r="L102" s="50">
        <f>IF(TbRegistroEntradas[[#This Row],[Data da Competência]]="",0,YEAR(TbRegistroEntradas[[#This Row],[Data da Competência]]))</f>
        <v>2018</v>
      </c>
      <c r="M102" s="156">
        <f>IF(TbRegistroEntradas[[#This Row],[Data do Caixa Previsto]]="",0,MONTH(TbRegistroEntradas[[#This Row],[Data do Caixa Previsto]]))</f>
        <v>6</v>
      </c>
      <c r="N102" s="156">
        <f>IF(TbRegistroEntradas[[#This Row],[Data do Caixa Previsto]]="",0,YEAR(TbRegistroEntradas[[#This Row],[Data do Caixa Previsto]]))</f>
        <v>2018</v>
      </c>
      <c r="O102" s="156" t="str">
        <f ca="1">IF(AND(TbRegistroEntradas[[#This Row],[Data do Caixa Previsto]]&lt;TODAY(),TbRegistroEntradas[[#This Row],[Data do Caixa Realizado]]=""),"Vencida","Não Vencida")</f>
        <v>Não Vencida</v>
      </c>
      <c r="P102" s="156" t="str">
        <f>IF(TbRegistroEntradas[[#This Row],[Data da Competência]]=TbRegistroEntradas[[#This Row],[Data do Caixa Previsto]],"Vista","Prazo")</f>
        <v>Prazo</v>
      </c>
      <c r="Q10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3" spans="2:17" x14ac:dyDescent="0.25">
      <c r="B103" s="154">
        <v>43265</v>
      </c>
      <c r="C103" s="154">
        <v>43250</v>
      </c>
      <c r="D103" s="154">
        <v>43265</v>
      </c>
      <c r="E103" s="50" t="s">
        <v>24</v>
      </c>
      <c r="F103" s="50" t="s">
        <v>34</v>
      </c>
      <c r="G103" s="50" t="s">
        <v>157</v>
      </c>
      <c r="H103" s="155">
        <v>3346</v>
      </c>
      <c r="I103" s="50">
        <f>IF(TbRegistroEntradas[[#This Row],[Data do Caixa Realizado]]="",0,MONTH(TbRegistroEntradas[[#This Row],[Data do Caixa Realizado]]))</f>
        <v>6</v>
      </c>
      <c r="J103" s="50">
        <f>IF(TbRegistroEntradas[[#This Row],[Data do Caixa Realizado]]="",0,YEAR(TbRegistroEntradas[[#This Row],[Data do Caixa Realizado]]))</f>
        <v>2018</v>
      </c>
      <c r="K103" s="50">
        <f>IF(TbRegistroEntradas[[#This Row],[Data da Competência]]="",0,MONTH(TbRegistroEntradas[[#This Row],[Data da Competência]]))</f>
        <v>5</v>
      </c>
      <c r="L103" s="50">
        <f>IF(TbRegistroEntradas[[#This Row],[Data da Competência]]="",0,YEAR(TbRegistroEntradas[[#This Row],[Data da Competência]]))</f>
        <v>2018</v>
      </c>
      <c r="M103" s="156">
        <f>IF(TbRegistroEntradas[[#This Row],[Data do Caixa Previsto]]="",0,MONTH(TbRegistroEntradas[[#This Row],[Data do Caixa Previsto]]))</f>
        <v>6</v>
      </c>
      <c r="N103" s="156">
        <f>IF(TbRegistroEntradas[[#This Row],[Data do Caixa Previsto]]="",0,YEAR(TbRegistroEntradas[[#This Row],[Data do Caixa Previsto]]))</f>
        <v>2018</v>
      </c>
      <c r="O103" s="156" t="str">
        <f ca="1">IF(AND(TbRegistroEntradas[[#This Row],[Data do Caixa Previsto]]&lt;TODAY(),TbRegistroEntradas[[#This Row],[Data do Caixa Realizado]]=""),"Vencida","Não Vencida")</f>
        <v>Não Vencida</v>
      </c>
      <c r="P103" s="156" t="str">
        <f>IF(TbRegistroEntradas[[#This Row],[Data da Competência]]=TbRegistroEntradas[[#This Row],[Data do Caixa Previsto]],"Vista","Prazo")</f>
        <v>Prazo</v>
      </c>
      <c r="Q10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4" spans="2:17" x14ac:dyDescent="0.25">
      <c r="B104" s="154">
        <v>43340</v>
      </c>
      <c r="C104" s="154">
        <v>43254</v>
      </c>
      <c r="D104" s="154">
        <v>43313</v>
      </c>
      <c r="E104" s="50" t="s">
        <v>24</v>
      </c>
      <c r="F104" s="50" t="s">
        <v>32</v>
      </c>
      <c r="G104" s="50" t="s">
        <v>158</v>
      </c>
      <c r="H104" s="155">
        <v>443</v>
      </c>
      <c r="I104" s="50">
        <f>IF(TbRegistroEntradas[[#This Row],[Data do Caixa Realizado]]="",0,MONTH(TbRegistroEntradas[[#This Row],[Data do Caixa Realizado]]))</f>
        <v>8</v>
      </c>
      <c r="J104" s="50">
        <f>IF(TbRegistroEntradas[[#This Row],[Data do Caixa Realizado]]="",0,YEAR(TbRegistroEntradas[[#This Row],[Data do Caixa Realizado]]))</f>
        <v>2018</v>
      </c>
      <c r="K104" s="50">
        <f>IF(TbRegistroEntradas[[#This Row],[Data da Competência]]="",0,MONTH(TbRegistroEntradas[[#This Row],[Data da Competência]]))</f>
        <v>6</v>
      </c>
      <c r="L104" s="50">
        <f>IF(TbRegistroEntradas[[#This Row],[Data da Competência]]="",0,YEAR(TbRegistroEntradas[[#This Row],[Data da Competência]]))</f>
        <v>2018</v>
      </c>
      <c r="M104" s="156">
        <f>IF(TbRegistroEntradas[[#This Row],[Data do Caixa Previsto]]="",0,MONTH(TbRegistroEntradas[[#This Row],[Data do Caixa Previsto]]))</f>
        <v>8</v>
      </c>
      <c r="N104" s="156">
        <f>IF(TbRegistroEntradas[[#This Row],[Data do Caixa Previsto]]="",0,YEAR(TbRegistroEntradas[[#This Row],[Data do Caixa Previsto]]))</f>
        <v>2018</v>
      </c>
      <c r="O104" s="156" t="str">
        <f ca="1">IF(AND(TbRegistroEntradas[[#This Row],[Data do Caixa Previsto]]&lt;TODAY(),TbRegistroEntradas[[#This Row],[Data do Caixa Realizado]]=""),"Vencida","Não Vencida")</f>
        <v>Não Vencida</v>
      </c>
      <c r="P104" s="156" t="str">
        <f>IF(TbRegistroEntradas[[#This Row],[Data da Competência]]=TbRegistroEntradas[[#This Row],[Data do Caixa Previsto]],"Vista","Prazo")</f>
        <v>Prazo</v>
      </c>
      <c r="Q10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27</v>
      </c>
    </row>
    <row r="105" spans="2:17" x14ac:dyDescent="0.25">
      <c r="B105" s="154">
        <v>43255</v>
      </c>
      <c r="C105" s="154">
        <v>43255</v>
      </c>
      <c r="D105" s="154">
        <v>43255</v>
      </c>
      <c r="E105" s="50" t="s">
        <v>24</v>
      </c>
      <c r="F105" s="50" t="s">
        <v>32</v>
      </c>
      <c r="G105" s="50" t="s">
        <v>159</v>
      </c>
      <c r="H105" s="155">
        <v>2781</v>
      </c>
      <c r="I105" s="50">
        <f>IF(TbRegistroEntradas[[#This Row],[Data do Caixa Realizado]]="",0,MONTH(TbRegistroEntradas[[#This Row],[Data do Caixa Realizado]]))</f>
        <v>6</v>
      </c>
      <c r="J105" s="50">
        <f>IF(TbRegistroEntradas[[#This Row],[Data do Caixa Realizado]]="",0,YEAR(TbRegistroEntradas[[#This Row],[Data do Caixa Realizado]]))</f>
        <v>2018</v>
      </c>
      <c r="K105" s="50">
        <f>IF(TbRegistroEntradas[[#This Row],[Data da Competência]]="",0,MONTH(TbRegistroEntradas[[#This Row],[Data da Competência]]))</f>
        <v>6</v>
      </c>
      <c r="L105" s="50">
        <f>IF(TbRegistroEntradas[[#This Row],[Data da Competência]]="",0,YEAR(TbRegistroEntradas[[#This Row],[Data da Competência]]))</f>
        <v>2018</v>
      </c>
      <c r="M105" s="156">
        <f>IF(TbRegistroEntradas[[#This Row],[Data do Caixa Previsto]]="",0,MONTH(TbRegistroEntradas[[#This Row],[Data do Caixa Previsto]]))</f>
        <v>6</v>
      </c>
      <c r="N105" s="156">
        <f>IF(TbRegistroEntradas[[#This Row],[Data do Caixa Previsto]]="",0,YEAR(TbRegistroEntradas[[#This Row],[Data do Caixa Previsto]]))</f>
        <v>2018</v>
      </c>
      <c r="O105" s="156" t="str">
        <f ca="1">IF(AND(TbRegistroEntradas[[#This Row],[Data do Caixa Previsto]]&lt;TODAY(),TbRegistroEntradas[[#This Row],[Data do Caixa Realizado]]=""),"Vencida","Não Vencida")</f>
        <v>Não Vencida</v>
      </c>
      <c r="P105" s="156" t="str">
        <f>IF(TbRegistroEntradas[[#This Row],[Data da Competência]]=TbRegistroEntradas[[#This Row],[Data do Caixa Previsto]],"Vista","Prazo")</f>
        <v>Vista</v>
      </c>
      <c r="Q10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6" spans="2:17" x14ac:dyDescent="0.25">
      <c r="B106" s="154">
        <v>43267</v>
      </c>
      <c r="C106" s="154">
        <v>43256</v>
      </c>
      <c r="D106" s="154">
        <v>43267</v>
      </c>
      <c r="E106" s="50" t="s">
        <v>24</v>
      </c>
      <c r="F106" s="50" t="s">
        <v>30</v>
      </c>
      <c r="G106" s="50" t="s">
        <v>160</v>
      </c>
      <c r="H106" s="155">
        <v>1875</v>
      </c>
      <c r="I106" s="50">
        <f>IF(TbRegistroEntradas[[#This Row],[Data do Caixa Realizado]]="",0,MONTH(TbRegistroEntradas[[#This Row],[Data do Caixa Realizado]]))</f>
        <v>6</v>
      </c>
      <c r="J106" s="50">
        <f>IF(TbRegistroEntradas[[#This Row],[Data do Caixa Realizado]]="",0,YEAR(TbRegistroEntradas[[#This Row],[Data do Caixa Realizado]]))</f>
        <v>2018</v>
      </c>
      <c r="K106" s="50">
        <f>IF(TbRegistroEntradas[[#This Row],[Data da Competência]]="",0,MONTH(TbRegistroEntradas[[#This Row],[Data da Competência]]))</f>
        <v>6</v>
      </c>
      <c r="L106" s="50">
        <f>IF(TbRegistroEntradas[[#This Row],[Data da Competência]]="",0,YEAR(TbRegistroEntradas[[#This Row],[Data da Competência]]))</f>
        <v>2018</v>
      </c>
      <c r="M106" s="156">
        <f>IF(TbRegistroEntradas[[#This Row],[Data do Caixa Previsto]]="",0,MONTH(TbRegistroEntradas[[#This Row],[Data do Caixa Previsto]]))</f>
        <v>6</v>
      </c>
      <c r="N106" s="156">
        <f>IF(TbRegistroEntradas[[#This Row],[Data do Caixa Previsto]]="",0,YEAR(TbRegistroEntradas[[#This Row],[Data do Caixa Previsto]]))</f>
        <v>2018</v>
      </c>
      <c r="O106" s="156" t="str">
        <f ca="1">IF(AND(TbRegistroEntradas[[#This Row],[Data do Caixa Previsto]]&lt;TODAY(),TbRegistroEntradas[[#This Row],[Data do Caixa Realizado]]=""),"Vencida","Não Vencida")</f>
        <v>Não Vencida</v>
      </c>
      <c r="P106" s="156" t="str">
        <f>IF(TbRegistroEntradas[[#This Row],[Data da Competência]]=TbRegistroEntradas[[#This Row],[Data do Caixa Previsto]],"Vista","Prazo")</f>
        <v>Prazo</v>
      </c>
      <c r="Q10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7" spans="2:17" x14ac:dyDescent="0.25">
      <c r="B107" s="154">
        <v>43259</v>
      </c>
      <c r="C107" s="154">
        <v>43259</v>
      </c>
      <c r="D107" s="154">
        <v>43259</v>
      </c>
      <c r="E107" s="50" t="s">
        <v>24</v>
      </c>
      <c r="F107" s="50" t="s">
        <v>33</v>
      </c>
      <c r="G107" s="50" t="s">
        <v>161</v>
      </c>
      <c r="H107" s="155">
        <v>3134</v>
      </c>
      <c r="I107" s="50">
        <f>IF(TbRegistroEntradas[[#This Row],[Data do Caixa Realizado]]="",0,MONTH(TbRegistroEntradas[[#This Row],[Data do Caixa Realizado]]))</f>
        <v>6</v>
      </c>
      <c r="J107" s="50">
        <f>IF(TbRegistroEntradas[[#This Row],[Data do Caixa Realizado]]="",0,YEAR(TbRegistroEntradas[[#This Row],[Data do Caixa Realizado]]))</f>
        <v>2018</v>
      </c>
      <c r="K107" s="50">
        <f>IF(TbRegistroEntradas[[#This Row],[Data da Competência]]="",0,MONTH(TbRegistroEntradas[[#This Row],[Data da Competência]]))</f>
        <v>6</v>
      </c>
      <c r="L107" s="50">
        <f>IF(TbRegistroEntradas[[#This Row],[Data da Competência]]="",0,YEAR(TbRegistroEntradas[[#This Row],[Data da Competência]]))</f>
        <v>2018</v>
      </c>
      <c r="M107" s="156">
        <f>IF(TbRegistroEntradas[[#This Row],[Data do Caixa Previsto]]="",0,MONTH(TbRegistroEntradas[[#This Row],[Data do Caixa Previsto]]))</f>
        <v>6</v>
      </c>
      <c r="N107" s="156">
        <f>IF(TbRegistroEntradas[[#This Row],[Data do Caixa Previsto]]="",0,YEAR(TbRegistroEntradas[[#This Row],[Data do Caixa Previsto]]))</f>
        <v>2018</v>
      </c>
      <c r="O107" s="156" t="str">
        <f ca="1">IF(AND(TbRegistroEntradas[[#This Row],[Data do Caixa Previsto]]&lt;TODAY(),TbRegistroEntradas[[#This Row],[Data do Caixa Realizado]]=""),"Vencida","Não Vencida")</f>
        <v>Não Vencida</v>
      </c>
      <c r="P107" s="156" t="str">
        <f>IF(TbRegistroEntradas[[#This Row],[Data da Competência]]=TbRegistroEntradas[[#This Row],[Data do Caixa Previsto]],"Vista","Prazo")</f>
        <v>Vista</v>
      </c>
      <c r="Q10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8" spans="2:17" x14ac:dyDescent="0.25">
      <c r="B108" s="154">
        <v>43276</v>
      </c>
      <c r="C108" s="154">
        <v>43261</v>
      </c>
      <c r="D108" s="154">
        <v>43276</v>
      </c>
      <c r="E108" s="50" t="s">
        <v>24</v>
      </c>
      <c r="F108" s="50" t="s">
        <v>31</v>
      </c>
      <c r="G108" s="50" t="s">
        <v>162</v>
      </c>
      <c r="H108" s="155">
        <v>2114</v>
      </c>
      <c r="I108" s="50">
        <f>IF(TbRegistroEntradas[[#This Row],[Data do Caixa Realizado]]="",0,MONTH(TbRegistroEntradas[[#This Row],[Data do Caixa Realizado]]))</f>
        <v>6</v>
      </c>
      <c r="J108" s="50">
        <f>IF(TbRegistroEntradas[[#This Row],[Data do Caixa Realizado]]="",0,YEAR(TbRegistroEntradas[[#This Row],[Data do Caixa Realizado]]))</f>
        <v>2018</v>
      </c>
      <c r="K108" s="50">
        <f>IF(TbRegistroEntradas[[#This Row],[Data da Competência]]="",0,MONTH(TbRegistroEntradas[[#This Row],[Data da Competência]]))</f>
        <v>6</v>
      </c>
      <c r="L108" s="50">
        <f>IF(TbRegistroEntradas[[#This Row],[Data da Competência]]="",0,YEAR(TbRegistroEntradas[[#This Row],[Data da Competência]]))</f>
        <v>2018</v>
      </c>
      <c r="M108" s="156">
        <f>IF(TbRegistroEntradas[[#This Row],[Data do Caixa Previsto]]="",0,MONTH(TbRegistroEntradas[[#This Row],[Data do Caixa Previsto]]))</f>
        <v>6</v>
      </c>
      <c r="N108" s="156">
        <f>IF(TbRegistroEntradas[[#This Row],[Data do Caixa Previsto]]="",0,YEAR(TbRegistroEntradas[[#This Row],[Data do Caixa Previsto]]))</f>
        <v>2018</v>
      </c>
      <c r="O108" s="156" t="str">
        <f ca="1">IF(AND(TbRegistroEntradas[[#This Row],[Data do Caixa Previsto]]&lt;TODAY(),TbRegistroEntradas[[#This Row],[Data do Caixa Realizado]]=""),"Vencida","Não Vencida")</f>
        <v>Não Vencida</v>
      </c>
      <c r="P108" s="156" t="str">
        <f>IF(TbRegistroEntradas[[#This Row],[Data da Competência]]=TbRegistroEntradas[[#This Row],[Data do Caixa Previsto]],"Vista","Prazo")</f>
        <v>Prazo</v>
      </c>
      <c r="Q10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9" spans="2:17" x14ac:dyDescent="0.25">
      <c r="B109" s="154">
        <v>43320</v>
      </c>
      <c r="C109" s="154">
        <v>43264</v>
      </c>
      <c r="D109" s="154">
        <v>43320</v>
      </c>
      <c r="E109" s="50" t="s">
        <v>24</v>
      </c>
      <c r="F109" s="50" t="s">
        <v>30</v>
      </c>
      <c r="G109" s="50" t="s">
        <v>163</v>
      </c>
      <c r="H109" s="155">
        <v>4961</v>
      </c>
      <c r="I109" s="50">
        <f>IF(TbRegistroEntradas[[#This Row],[Data do Caixa Realizado]]="",0,MONTH(TbRegistroEntradas[[#This Row],[Data do Caixa Realizado]]))</f>
        <v>8</v>
      </c>
      <c r="J109" s="50">
        <f>IF(TbRegistroEntradas[[#This Row],[Data do Caixa Realizado]]="",0,YEAR(TbRegistroEntradas[[#This Row],[Data do Caixa Realizado]]))</f>
        <v>2018</v>
      </c>
      <c r="K109" s="50">
        <f>IF(TbRegistroEntradas[[#This Row],[Data da Competência]]="",0,MONTH(TbRegistroEntradas[[#This Row],[Data da Competência]]))</f>
        <v>6</v>
      </c>
      <c r="L109" s="50">
        <f>IF(TbRegistroEntradas[[#This Row],[Data da Competência]]="",0,YEAR(TbRegistroEntradas[[#This Row],[Data da Competência]]))</f>
        <v>2018</v>
      </c>
      <c r="M109" s="156">
        <f>IF(TbRegistroEntradas[[#This Row],[Data do Caixa Previsto]]="",0,MONTH(TbRegistroEntradas[[#This Row],[Data do Caixa Previsto]]))</f>
        <v>8</v>
      </c>
      <c r="N109" s="156">
        <f>IF(TbRegistroEntradas[[#This Row],[Data do Caixa Previsto]]="",0,YEAR(TbRegistroEntradas[[#This Row],[Data do Caixa Previsto]]))</f>
        <v>2018</v>
      </c>
      <c r="O109" s="156" t="str">
        <f ca="1">IF(AND(TbRegistroEntradas[[#This Row],[Data do Caixa Previsto]]&lt;TODAY(),TbRegistroEntradas[[#This Row],[Data do Caixa Realizado]]=""),"Vencida","Não Vencida")</f>
        <v>Não Vencida</v>
      </c>
      <c r="P109" s="156" t="str">
        <f>IF(TbRegistroEntradas[[#This Row],[Data da Competência]]=TbRegistroEntradas[[#This Row],[Data do Caixa Previsto]],"Vista","Prazo")</f>
        <v>Prazo</v>
      </c>
      <c r="Q10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0" spans="2:17" x14ac:dyDescent="0.25">
      <c r="B110" s="154">
        <v>43303</v>
      </c>
      <c r="C110" s="154">
        <v>43265</v>
      </c>
      <c r="D110" s="154">
        <v>43303</v>
      </c>
      <c r="E110" s="50" t="s">
        <v>24</v>
      </c>
      <c r="F110" s="50" t="s">
        <v>33</v>
      </c>
      <c r="G110" s="50" t="s">
        <v>164</v>
      </c>
      <c r="H110" s="155">
        <v>909</v>
      </c>
      <c r="I110" s="50">
        <f>IF(TbRegistroEntradas[[#This Row],[Data do Caixa Realizado]]="",0,MONTH(TbRegistroEntradas[[#This Row],[Data do Caixa Realizado]]))</f>
        <v>7</v>
      </c>
      <c r="J110" s="50">
        <f>IF(TbRegistroEntradas[[#This Row],[Data do Caixa Realizado]]="",0,YEAR(TbRegistroEntradas[[#This Row],[Data do Caixa Realizado]]))</f>
        <v>2018</v>
      </c>
      <c r="K110" s="50">
        <f>IF(TbRegistroEntradas[[#This Row],[Data da Competência]]="",0,MONTH(TbRegistroEntradas[[#This Row],[Data da Competência]]))</f>
        <v>6</v>
      </c>
      <c r="L110" s="50">
        <f>IF(TbRegistroEntradas[[#This Row],[Data da Competência]]="",0,YEAR(TbRegistroEntradas[[#This Row],[Data da Competência]]))</f>
        <v>2018</v>
      </c>
      <c r="M110" s="156">
        <f>IF(TbRegistroEntradas[[#This Row],[Data do Caixa Previsto]]="",0,MONTH(TbRegistroEntradas[[#This Row],[Data do Caixa Previsto]]))</f>
        <v>7</v>
      </c>
      <c r="N110" s="156">
        <f>IF(TbRegistroEntradas[[#This Row],[Data do Caixa Previsto]]="",0,YEAR(TbRegistroEntradas[[#This Row],[Data do Caixa Previsto]]))</f>
        <v>2018</v>
      </c>
      <c r="O110" s="156" t="str">
        <f ca="1">IF(AND(TbRegistroEntradas[[#This Row],[Data do Caixa Previsto]]&lt;TODAY(),TbRegistroEntradas[[#This Row],[Data do Caixa Realizado]]=""),"Vencida","Não Vencida")</f>
        <v>Não Vencida</v>
      </c>
      <c r="P110" s="156" t="str">
        <f>IF(TbRegistroEntradas[[#This Row],[Data da Competência]]=TbRegistroEntradas[[#This Row],[Data do Caixa Previsto]],"Vista","Prazo")</f>
        <v>Prazo</v>
      </c>
      <c r="Q11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1" spans="2:17" x14ac:dyDescent="0.25">
      <c r="B111" s="154">
        <v>43293</v>
      </c>
      <c r="C111" s="154">
        <v>43266</v>
      </c>
      <c r="D111" s="154">
        <v>43293</v>
      </c>
      <c r="E111" s="50" t="s">
        <v>24</v>
      </c>
      <c r="F111" s="50" t="s">
        <v>33</v>
      </c>
      <c r="G111" s="50" t="s">
        <v>165</v>
      </c>
      <c r="H111" s="155">
        <v>2197</v>
      </c>
      <c r="I111" s="50">
        <f>IF(TbRegistroEntradas[[#This Row],[Data do Caixa Realizado]]="",0,MONTH(TbRegistroEntradas[[#This Row],[Data do Caixa Realizado]]))</f>
        <v>7</v>
      </c>
      <c r="J111" s="50">
        <f>IF(TbRegistroEntradas[[#This Row],[Data do Caixa Realizado]]="",0,YEAR(TbRegistroEntradas[[#This Row],[Data do Caixa Realizado]]))</f>
        <v>2018</v>
      </c>
      <c r="K111" s="50">
        <f>IF(TbRegistroEntradas[[#This Row],[Data da Competência]]="",0,MONTH(TbRegistroEntradas[[#This Row],[Data da Competência]]))</f>
        <v>6</v>
      </c>
      <c r="L111" s="50">
        <f>IF(TbRegistroEntradas[[#This Row],[Data da Competência]]="",0,YEAR(TbRegistroEntradas[[#This Row],[Data da Competência]]))</f>
        <v>2018</v>
      </c>
      <c r="M111" s="156">
        <f>IF(TbRegistroEntradas[[#This Row],[Data do Caixa Previsto]]="",0,MONTH(TbRegistroEntradas[[#This Row],[Data do Caixa Previsto]]))</f>
        <v>7</v>
      </c>
      <c r="N111" s="156">
        <f>IF(TbRegistroEntradas[[#This Row],[Data do Caixa Previsto]]="",0,YEAR(TbRegistroEntradas[[#This Row],[Data do Caixa Previsto]]))</f>
        <v>2018</v>
      </c>
      <c r="O111" s="156" t="str">
        <f ca="1">IF(AND(TbRegistroEntradas[[#This Row],[Data do Caixa Previsto]]&lt;TODAY(),TbRegistroEntradas[[#This Row],[Data do Caixa Realizado]]=""),"Vencida","Não Vencida")</f>
        <v>Não Vencida</v>
      </c>
      <c r="P111" s="156" t="str">
        <f>IF(TbRegistroEntradas[[#This Row],[Data da Competência]]=TbRegistroEntradas[[#This Row],[Data do Caixa Previsto]],"Vista","Prazo")</f>
        <v>Prazo</v>
      </c>
      <c r="Q11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2" spans="2:17" x14ac:dyDescent="0.25">
      <c r="B112" s="154">
        <v>43268</v>
      </c>
      <c r="C112" s="154">
        <v>43268</v>
      </c>
      <c r="D112" s="154">
        <v>43268</v>
      </c>
      <c r="E112" s="50" t="s">
        <v>24</v>
      </c>
      <c r="F112" s="50" t="s">
        <v>34</v>
      </c>
      <c r="G112" s="50" t="s">
        <v>166</v>
      </c>
      <c r="H112" s="155">
        <v>3045</v>
      </c>
      <c r="I112" s="50">
        <f>IF(TbRegistroEntradas[[#This Row],[Data do Caixa Realizado]]="",0,MONTH(TbRegistroEntradas[[#This Row],[Data do Caixa Realizado]]))</f>
        <v>6</v>
      </c>
      <c r="J112" s="50">
        <f>IF(TbRegistroEntradas[[#This Row],[Data do Caixa Realizado]]="",0,YEAR(TbRegistroEntradas[[#This Row],[Data do Caixa Realizado]]))</f>
        <v>2018</v>
      </c>
      <c r="K112" s="50">
        <f>IF(TbRegistroEntradas[[#This Row],[Data da Competência]]="",0,MONTH(TbRegistroEntradas[[#This Row],[Data da Competência]]))</f>
        <v>6</v>
      </c>
      <c r="L112" s="50">
        <f>IF(TbRegistroEntradas[[#This Row],[Data da Competência]]="",0,YEAR(TbRegistroEntradas[[#This Row],[Data da Competência]]))</f>
        <v>2018</v>
      </c>
      <c r="M112" s="156">
        <f>IF(TbRegistroEntradas[[#This Row],[Data do Caixa Previsto]]="",0,MONTH(TbRegistroEntradas[[#This Row],[Data do Caixa Previsto]]))</f>
        <v>6</v>
      </c>
      <c r="N112" s="156">
        <f>IF(TbRegistroEntradas[[#This Row],[Data do Caixa Previsto]]="",0,YEAR(TbRegistroEntradas[[#This Row],[Data do Caixa Previsto]]))</f>
        <v>2018</v>
      </c>
      <c r="O112" s="156" t="str">
        <f ca="1">IF(AND(TbRegistroEntradas[[#This Row],[Data do Caixa Previsto]]&lt;TODAY(),TbRegistroEntradas[[#This Row],[Data do Caixa Realizado]]=""),"Vencida","Não Vencida")</f>
        <v>Não Vencida</v>
      </c>
      <c r="P112" s="156" t="str">
        <f>IF(TbRegistroEntradas[[#This Row],[Data da Competência]]=TbRegistroEntradas[[#This Row],[Data do Caixa Previsto]],"Vista","Prazo")</f>
        <v>Vista</v>
      </c>
      <c r="Q11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3" spans="2:17" x14ac:dyDescent="0.25">
      <c r="B113" s="154">
        <v>43326</v>
      </c>
      <c r="C113" s="154">
        <v>43272</v>
      </c>
      <c r="D113" s="154">
        <v>43309</v>
      </c>
      <c r="E113" s="50" t="s">
        <v>24</v>
      </c>
      <c r="F113" s="50" t="s">
        <v>34</v>
      </c>
      <c r="G113" s="50" t="s">
        <v>167</v>
      </c>
      <c r="H113" s="155">
        <v>460</v>
      </c>
      <c r="I113" s="50">
        <f>IF(TbRegistroEntradas[[#This Row],[Data do Caixa Realizado]]="",0,MONTH(TbRegistroEntradas[[#This Row],[Data do Caixa Realizado]]))</f>
        <v>8</v>
      </c>
      <c r="J113" s="50">
        <f>IF(TbRegistroEntradas[[#This Row],[Data do Caixa Realizado]]="",0,YEAR(TbRegistroEntradas[[#This Row],[Data do Caixa Realizado]]))</f>
        <v>2018</v>
      </c>
      <c r="K113" s="50">
        <f>IF(TbRegistroEntradas[[#This Row],[Data da Competência]]="",0,MONTH(TbRegistroEntradas[[#This Row],[Data da Competência]]))</f>
        <v>6</v>
      </c>
      <c r="L113" s="50">
        <f>IF(TbRegistroEntradas[[#This Row],[Data da Competência]]="",0,YEAR(TbRegistroEntradas[[#This Row],[Data da Competência]]))</f>
        <v>2018</v>
      </c>
      <c r="M113" s="156">
        <f>IF(TbRegistroEntradas[[#This Row],[Data do Caixa Previsto]]="",0,MONTH(TbRegistroEntradas[[#This Row],[Data do Caixa Previsto]]))</f>
        <v>7</v>
      </c>
      <c r="N113" s="156">
        <f>IF(TbRegistroEntradas[[#This Row],[Data do Caixa Previsto]]="",0,YEAR(TbRegistroEntradas[[#This Row],[Data do Caixa Previsto]]))</f>
        <v>2018</v>
      </c>
      <c r="O113" s="156" t="str">
        <f ca="1">IF(AND(TbRegistroEntradas[[#This Row],[Data do Caixa Previsto]]&lt;TODAY(),TbRegistroEntradas[[#This Row],[Data do Caixa Realizado]]=""),"Vencida","Não Vencida")</f>
        <v>Não Vencida</v>
      </c>
      <c r="P113" s="156" t="str">
        <f>IF(TbRegistroEntradas[[#This Row],[Data da Competência]]=TbRegistroEntradas[[#This Row],[Data do Caixa Previsto]],"Vista","Prazo")</f>
        <v>Prazo</v>
      </c>
      <c r="Q11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114" spans="2:17" x14ac:dyDescent="0.25">
      <c r="B114" s="154">
        <v>43313</v>
      </c>
      <c r="C114" s="154">
        <v>43275</v>
      </c>
      <c r="D114" s="154">
        <v>43313</v>
      </c>
      <c r="E114" s="50" t="s">
        <v>24</v>
      </c>
      <c r="F114" s="50" t="s">
        <v>34</v>
      </c>
      <c r="G114" s="50" t="s">
        <v>168</v>
      </c>
      <c r="H114" s="155">
        <v>770</v>
      </c>
      <c r="I114" s="50">
        <f>IF(TbRegistroEntradas[[#This Row],[Data do Caixa Realizado]]="",0,MONTH(TbRegistroEntradas[[#This Row],[Data do Caixa Realizado]]))</f>
        <v>8</v>
      </c>
      <c r="J114" s="50">
        <f>IF(TbRegistroEntradas[[#This Row],[Data do Caixa Realizado]]="",0,YEAR(TbRegistroEntradas[[#This Row],[Data do Caixa Realizado]]))</f>
        <v>2018</v>
      </c>
      <c r="K114" s="50">
        <f>IF(TbRegistroEntradas[[#This Row],[Data da Competência]]="",0,MONTH(TbRegistroEntradas[[#This Row],[Data da Competência]]))</f>
        <v>6</v>
      </c>
      <c r="L114" s="50">
        <f>IF(TbRegistroEntradas[[#This Row],[Data da Competência]]="",0,YEAR(TbRegistroEntradas[[#This Row],[Data da Competência]]))</f>
        <v>2018</v>
      </c>
      <c r="M114" s="156">
        <f>IF(TbRegistroEntradas[[#This Row],[Data do Caixa Previsto]]="",0,MONTH(TbRegistroEntradas[[#This Row],[Data do Caixa Previsto]]))</f>
        <v>8</v>
      </c>
      <c r="N114" s="156">
        <f>IF(TbRegistroEntradas[[#This Row],[Data do Caixa Previsto]]="",0,YEAR(TbRegistroEntradas[[#This Row],[Data do Caixa Previsto]]))</f>
        <v>2018</v>
      </c>
      <c r="O114" s="156" t="str">
        <f ca="1">IF(AND(TbRegistroEntradas[[#This Row],[Data do Caixa Previsto]]&lt;TODAY(),TbRegistroEntradas[[#This Row],[Data do Caixa Realizado]]=""),"Vencida","Não Vencida")</f>
        <v>Não Vencida</v>
      </c>
      <c r="P114" s="156" t="str">
        <f>IF(TbRegistroEntradas[[#This Row],[Data da Competência]]=TbRegistroEntradas[[#This Row],[Data do Caixa Previsto]],"Vista","Prazo")</f>
        <v>Prazo</v>
      </c>
      <c r="Q11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5" spans="2:17" x14ac:dyDescent="0.25">
      <c r="B115" s="154">
        <v>43317</v>
      </c>
      <c r="C115" s="154">
        <v>43276</v>
      </c>
      <c r="D115" s="154">
        <v>43317</v>
      </c>
      <c r="E115" s="50" t="s">
        <v>24</v>
      </c>
      <c r="F115" s="50" t="s">
        <v>33</v>
      </c>
      <c r="G115" s="50" t="s">
        <v>169</v>
      </c>
      <c r="H115" s="155">
        <v>3646</v>
      </c>
      <c r="I115" s="50">
        <f>IF(TbRegistroEntradas[[#This Row],[Data do Caixa Realizado]]="",0,MONTH(TbRegistroEntradas[[#This Row],[Data do Caixa Realizado]]))</f>
        <v>8</v>
      </c>
      <c r="J115" s="50">
        <f>IF(TbRegistroEntradas[[#This Row],[Data do Caixa Realizado]]="",0,YEAR(TbRegistroEntradas[[#This Row],[Data do Caixa Realizado]]))</f>
        <v>2018</v>
      </c>
      <c r="K115" s="50">
        <f>IF(TbRegistroEntradas[[#This Row],[Data da Competência]]="",0,MONTH(TbRegistroEntradas[[#This Row],[Data da Competência]]))</f>
        <v>6</v>
      </c>
      <c r="L115" s="50">
        <f>IF(TbRegistroEntradas[[#This Row],[Data da Competência]]="",0,YEAR(TbRegistroEntradas[[#This Row],[Data da Competência]]))</f>
        <v>2018</v>
      </c>
      <c r="M115" s="156">
        <f>IF(TbRegistroEntradas[[#This Row],[Data do Caixa Previsto]]="",0,MONTH(TbRegistroEntradas[[#This Row],[Data do Caixa Previsto]]))</f>
        <v>8</v>
      </c>
      <c r="N115" s="156">
        <f>IF(TbRegistroEntradas[[#This Row],[Data do Caixa Previsto]]="",0,YEAR(TbRegistroEntradas[[#This Row],[Data do Caixa Previsto]]))</f>
        <v>2018</v>
      </c>
      <c r="O115" s="156" t="str">
        <f ca="1">IF(AND(TbRegistroEntradas[[#This Row],[Data do Caixa Previsto]]&lt;TODAY(),TbRegistroEntradas[[#This Row],[Data do Caixa Realizado]]=""),"Vencida","Não Vencida")</f>
        <v>Não Vencida</v>
      </c>
      <c r="P115" s="156" t="str">
        <f>IF(TbRegistroEntradas[[#This Row],[Data da Competência]]=TbRegistroEntradas[[#This Row],[Data do Caixa Previsto]],"Vista","Prazo")</f>
        <v>Prazo</v>
      </c>
      <c r="Q11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6" spans="2:17" x14ac:dyDescent="0.25">
      <c r="B116" s="154">
        <v>43328</v>
      </c>
      <c r="C116" s="154">
        <v>43280</v>
      </c>
      <c r="D116" s="154">
        <v>43328</v>
      </c>
      <c r="E116" s="50" t="s">
        <v>24</v>
      </c>
      <c r="F116" s="50" t="s">
        <v>33</v>
      </c>
      <c r="G116" s="50" t="s">
        <v>170</v>
      </c>
      <c r="H116" s="155">
        <v>2376</v>
      </c>
      <c r="I116" s="50">
        <f>IF(TbRegistroEntradas[[#This Row],[Data do Caixa Realizado]]="",0,MONTH(TbRegistroEntradas[[#This Row],[Data do Caixa Realizado]]))</f>
        <v>8</v>
      </c>
      <c r="J116" s="50">
        <f>IF(TbRegistroEntradas[[#This Row],[Data do Caixa Realizado]]="",0,YEAR(TbRegistroEntradas[[#This Row],[Data do Caixa Realizado]]))</f>
        <v>2018</v>
      </c>
      <c r="K116" s="50">
        <f>IF(TbRegistroEntradas[[#This Row],[Data da Competência]]="",0,MONTH(TbRegistroEntradas[[#This Row],[Data da Competência]]))</f>
        <v>6</v>
      </c>
      <c r="L116" s="50">
        <f>IF(TbRegistroEntradas[[#This Row],[Data da Competência]]="",0,YEAR(TbRegistroEntradas[[#This Row],[Data da Competência]]))</f>
        <v>2018</v>
      </c>
      <c r="M116" s="156">
        <f>IF(TbRegistroEntradas[[#This Row],[Data do Caixa Previsto]]="",0,MONTH(TbRegistroEntradas[[#This Row],[Data do Caixa Previsto]]))</f>
        <v>8</v>
      </c>
      <c r="N116" s="156">
        <f>IF(TbRegistroEntradas[[#This Row],[Data do Caixa Previsto]]="",0,YEAR(TbRegistroEntradas[[#This Row],[Data do Caixa Previsto]]))</f>
        <v>2018</v>
      </c>
      <c r="O116" s="156" t="str">
        <f ca="1">IF(AND(TbRegistroEntradas[[#This Row],[Data do Caixa Previsto]]&lt;TODAY(),TbRegistroEntradas[[#This Row],[Data do Caixa Realizado]]=""),"Vencida","Não Vencida")</f>
        <v>Não Vencida</v>
      </c>
      <c r="P116" s="156" t="str">
        <f>IF(TbRegistroEntradas[[#This Row],[Data da Competência]]=TbRegistroEntradas[[#This Row],[Data do Caixa Previsto]],"Vista","Prazo")</f>
        <v>Prazo</v>
      </c>
      <c r="Q11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7" spans="2:17" x14ac:dyDescent="0.25">
      <c r="B117" s="154">
        <v>43398</v>
      </c>
      <c r="C117" s="154">
        <v>43284</v>
      </c>
      <c r="D117" s="154">
        <v>43310</v>
      </c>
      <c r="E117" s="50" t="s">
        <v>24</v>
      </c>
      <c r="F117" s="50" t="s">
        <v>33</v>
      </c>
      <c r="G117" s="50" t="s">
        <v>171</v>
      </c>
      <c r="H117" s="155">
        <v>3940</v>
      </c>
      <c r="I117" s="50">
        <f>IF(TbRegistroEntradas[[#This Row],[Data do Caixa Realizado]]="",0,MONTH(TbRegistroEntradas[[#This Row],[Data do Caixa Realizado]]))</f>
        <v>10</v>
      </c>
      <c r="J117" s="50">
        <f>IF(TbRegistroEntradas[[#This Row],[Data do Caixa Realizado]]="",0,YEAR(TbRegistroEntradas[[#This Row],[Data do Caixa Realizado]]))</f>
        <v>2018</v>
      </c>
      <c r="K117" s="50">
        <f>IF(TbRegistroEntradas[[#This Row],[Data da Competência]]="",0,MONTH(TbRegistroEntradas[[#This Row],[Data da Competência]]))</f>
        <v>7</v>
      </c>
      <c r="L117" s="50">
        <f>IF(TbRegistroEntradas[[#This Row],[Data da Competência]]="",0,YEAR(TbRegistroEntradas[[#This Row],[Data da Competência]]))</f>
        <v>2018</v>
      </c>
      <c r="M117" s="156">
        <f>IF(TbRegistroEntradas[[#This Row],[Data do Caixa Previsto]]="",0,MONTH(TbRegistroEntradas[[#This Row],[Data do Caixa Previsto]]))</f>
        <v>7</v>
      </c>
      <c r="N117" s="156">
        <f>IF(TbRegistroEntradas[[#This Row],[Data do Caixa Previsto]]="",0,YEAR(TbRegistroEntradas[[#This Row],[Data do Caixa Previsto]]))</f>
        <v>2018</v>
      </c>
      <c r="O117" s="156" t="str">
        <f ca="1">IF(AND(TbRegistroEntradas[[#This Row],[Data do Caixa Previsto]]&lt;TODAY(),TbRegistroEntradas[[#This Row],[Data do Caixa Realizado]]=""),"Vencida","Não Vencida")</f>
        <v>Não Vencida</v>
      </c>
      <c r="P117" s="156" t="str">
        <f>IF(TbRegistroEntradas[[#This Row],[Data da Competência]]=TbRegistroEntradas[[#This Row],[Data do Caixa Previsto]],"Vista","Prazo")</f>
        <v>Prazo</v>
      </c>
      <c r="Q11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</v>
      </c>
    </row>
    <row r="118" spans="2:17" x14ac:dyDescent="0.25">
      <c r="B118" s="154">
        <v>43343</v>
      </c>
      <c r="C118" s="154">
        <v>43285</v>
      </c>
      <c r="D118" s="154">
        <v>43343</v>
      </c>
      <c r="E118" s="50" t="s">
        <v>24</v>
      </c>
      <c r="F118" s="50" t="s">
        <v>33</v>
      </c>
      <c r="G118" s="50" t="s">
        <v>172</v>
      </c>
      <c r="H118" s="155">
        <v>1732</v>
      </c>
      <c r="I118" s="50">
        <f>IF(TbRegistroEntradas[[#This Row],[Data do Caixa Realizado]]="",0,MONTH(TbRegistroEntradas[[#This Row],[Data do Caixa Realizado]]))</f>
        <v>8</v>
      </c>
      <c r="J118" s="50">
        <f>IF(TbRegistroEntradas[[#This Row],[Data do Caixa Realizado]]="",0,YEAR(TbRegistroEntradas[[#This Row],[Data do Caixa Realizado]]))</f>
        <v>2018</v>
      </c>
      <c r="K118" s="50">
        <f>IF(TbRegistroEntradas[[#This Row],[Data da Competência]]="",0,MONTH(TbRegistroEntradas[[#This Row],[Data da Competência]]))</f>
        <v>7</v>
      </c>
      <c r="L118" s="50">
        <f>IF(TbRegistroEntradas[[#This Row],[Data da Competência]]="",0,YEAR(TbRegistroEntradas[[#This Row],[Data da Competência]]))</f>
        <v>2018</v>
      </c>
      <c r="M118" s="156">
        <f>IF(TbRegistroEntradas[[#This Row],[Data do Caixa Previsto]]="",0,MONTH(TbRegistroEntradas[[#This Row],[Data do Caixa Previsto]]))</f>
        <v>8</v>
      </c>
      <c r="N118" s="156">
        <f>IF(TbRegistroEntradas[[#This Row],[Data do Caixa Previsto]]="",0,YEAR(TbRegistroEntradas[[#This Row],[Data do Caixa Previsto]]))</f>
        <v>2018</v>
      </c>
      <c r="O118" s="156" t="str">
        <f ca="1">IF(AND(TbRegistroEntradas[[#This Row],[Data do Caixa Previsto]]&lt;TODAY(),TbRegistroEntradas[[#This Row],[Data do Caixa Realizado]]=""),"Vencida","Não Vencida")</f>
        <v>Não Vencida</v>
      </c>
      <c r="P118" s="156" t="str">
        <f>IF(TbRegistroEntradas[[#This Row],[Data da Competência]]=TbRegistroEntradas[[#This Row],[Data do Caixa Previsto]],"Vista","Prazo")</f>
        <v>Prazo</v>
      </c>
      <c r="Q11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9" spans="2:17" x14ac:dyDescent="0.25">
      <c r="B119" s="154">
        <v>43316</v>
      </c>
      <c r="C119" s="154">
        <v>43286</v>
      </c>
      <c r="D119" s="154">
        <v>43316</v>
      </c>
      <c r="E119" s="50" t="s">
        <v>24</v>
      </c>
      <c r="F119" s="50" t="s">
        <v>32</v>
      </c>
      <c r="G119" s="50" t="s">
        <v>173</v>
      </c>
      <c r="H119" s="155">
        <v>1306</v>
      </c>
      <c r="I119" s="50">
        <f>IF(TbRegistroEntradas[[#This Row],[Data do Caixa Realizado]]="",0,MONTH(TbRegistroEntradas[[#This Row],[Data do Caixa Realizado]]))</f>
        <v>8</v>
      </c>
      <c r="J119" s="50">
        <f>IF(TbRegistroEntradas[[#This Row],[Data do Caixa Realizado]]="",0,YEAR(TbRegistroEntradas[[#This Row],[Data do Caixa Realizado]]))</f>
        <v>2018</v>
      </c>
      <c r="K119" s="50">
        <f>IF(TbRegistroEntradas[[#This Row],[Data da Competência]]="",0,MONTH(TbRegistroEntradas[[#This Row],[Data da Competência]]))</f>
        <v>7</v>
      </c>
      <c r="L119" s="50">
        <f>IF(TbRegistroEntradas[[#This Row],[Data da Competência]]="",0,YEAR(TbRegistroEntradas[[#This Row],[Data da Competência]]))</f>
        <v>2018</v>
      </c>
      <c r="M119" s="156">
        <f>IF(TbRegistroEntradas[[#This Row],[Data do Caixa Previsto]]="",0,MONTH(TbRegistroEntradas[[#This Row],[Data do Caixa Previsto]]))</f>
        <v>8</v>
      </c>
      <c r="N119" s="156">
        <f>IF(TbRegistroEntradas[[#This Row],[Data do Caixa Previsto]]="",0,YEAR(TbRegistroEntradas[[#This Row],[Data do Caixa Previsto]]))</f>
        <v>2018</v>
      </c>
      <c r="O119" s="156" t="str">
        <f ca="1">IF(AND(TbRegistroEntradas[[#This Row],[Data do Caixa Previsto]]&lt;TODAY(),TbRegistroEntradas[[#This Row],[Data do Caixa Realizado]]=""),"Vencida","Não Vencida")</f>
        <v>Não Vencida</v>
      </c>
      <c r="P119" s="156" t="str">
        <f>IF(TbRegistroEntradas[[#This Row],[Data da Competência]]=TbRegistroEntradas[[#This Row],[Data do Caixa Previsto]],"Vista","Prazo")</f>
        <v>Prazo</v>
      </c>
      <c r="Q11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0" spans="2:17" x14ac:dyDescent="0.25">
      <c r="B120" s="154">
        <v>43336</v>
      </c>
      <c r="C120" s="154">
        <v>43288</v>
      </c>
      <c r="D120" s="154">
        <v>43336</v>
      </c>
      <c r="E120" s="50" t="s">
        <v>24</v>
      </c>
      <c r="F120" s="50" t="s">
        <v>31</v>
      </c>
      <c r="G120" s="50" t="s">
        <v>174</v>
      </c>
      <c r="H120" s="155">
        <v>3954</v>
      </c>
      <c r="I120" s="50">
        <f>IF(TbRegistroEntradas[[#This Row],[Data do Caixa Realizado]]="",0,MONTH(TbRegistroEntradas[[#This Row],[Data do Caixa Realizado]]))</f>
        <v>8</v>
      </c>
      <c r="J120" s="50">
        <f>IF(TbRegistroEntradas[[#This Row],[Data do Caixa Realizado]]="",0,YEAR(TbRegistroEntradas[[#This Row],[Data do Caixa Realizado]]))</f>
        <v>2018</v>
      </c>
      <c r="K120" s="50">
        <f>IF(TbRegistroEntradas[[#This Row],[Data da Competência]]="",0,MONTH(TbRegistroEntradas[[#This Row],[Data da Competência]]))</f>
        <v>7</v>
      </c>
      <c r="L120" s="50">
        <f>IF(TbRegistroEntradas[[#This Row],[Data da Competência]]="",0,YEAR(TbRegistroEntradas[[#This Row],[Data da Competência]]))</f>
        <v>2018</v>
      </c>
      <c r="M120" s="156">
        <f>IF(TbRegistroEntradas[[#This Row],[Data do Caixa Previsto]]="",0,MONTH(TbRegistroEntradas[[#This Row],[Data do Caixa Previsto]]))</f>
        <v>8</v>
      </c>
      <c r="N120" s="156">
        <f>IF(TbRegistroEntradas[[#This Row],[Data do Caixa Previsto]]="",0,YEAR(TbRegistroEntradas[[#This Row],[Data do Caixa Previsto]]))</f>
        <v>2018</v>
      </c>
      <c r="O120" s="156" t="str">
        <f ca="1">IF(AND(TbRegistroEntradas[[#This Row],[Data do Caixa Previsto]]&lt;TODAY(),TbRegistroEntradas[[#This Row],[Data do Caixa Realizado]]=""),"Vencida","Não Vencida")</f>
        <v>Não Vencida</v>
      </c>
      <c r="P120" s="156" t="str">
        <f>IF(TbRegistroEntradas[[#This Row],[Data da Competência]]=TbRegistroEntradas[[#This Row],[Data do Caixa Previsto]],"Vista","Prazo")</f>
        <v>Prazo</v>
      </c>
      <c r="Q12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1" spans="2:17" x14ac:dyDescent="0.25">
      <c r="B121" s="154">
        <v>43323</v>
      </c>
      <c r="C121" s="154">
        <v>43292</v>
      </c>
      <c r="D121" s="154">
        <v>43323</v>
      </c>
      <c r="E121" s="50" t="s">
        <v>24</v>
      </c>
      <c r="F121" s="50" t="s">
        <v>34</v>
      </c>
      <c r="G121" s="50" t="s">
        <v>175</v>
      </c>
      <c r="H121" s="155">
        <v>4090</v>
      </c>
      <c r="I121" s="50">
        <f>IF(TbRegistroEntradas[[#This Row],[Data do Caixa Realizado]]="",0,MONTH(TbRegistroEntradas[[#This Row],[Data do Caixa Realizado]]))</f>
        <v>8</v>
      </c>
      <c r="J121" s="50">
        <f>IF(TbRegistroEntradas[[#This Row],[Data do Caixa Realizado]]="",0,YEAR(TbRegistroEntradas[[#This Row],[Data do Caixa Realizado]]))</f>
        <v>2018</v>
      </c>
      <c r="K121" s="50">
        <f>IF(TbRegistroEntradas[[#This Row],[Data da Competência]]="",0,MONTH(TbRegistroEntradas[[#This Row],[Data da Competência]]))</f>
        <v>7</v>
      </c>
      <c r="L121" s="50">
        <f>IF(TbRegistroEntradas[[#This Row],[Data da Competência]]="",0,YEAR(TbRegistroEntradas[[#This Row],[Data da Competência]]))</f>
        <v>2018</v>
      </c>
      <c r="M121" s="156">
        <f>IF(TbRegistroEntradas[[#This Row],[Data do Caixa Previsto]]="",0,MONTH(TbRegistroEntradas[[#This Row],[Data do Caixa Previsto]]))</f>
        <v>8</v>
      </c>
      <c r="N121" s="156">
        <f>IF(TbRegistroEntradas[[#This Row],[Data do Caixa Previsto]]="",0,YEAR(TbRegistroEntradas[[#This Row],[Data do Caixa Previsto]]))</f>
        <v>2018</v>
      </c>
      <c r="O121" s="156" t="str">
        <f ca="1">IF(AND(TbRegistroEntradas[[#This Row],[Data do Caixa Previsto]]&lt;TODAY(),TbRegistroEntradas[[#This Row],[Data do Caixa Realizado]]=""),"Vencida","Não Vencida")</f>
        <v>Não Vencida</v>
      </c>
      <c r="P121" s="156" t="str">
        <f>IF(TbRegistroEntradas[[#This Row],[Data da Competência]]=TbRegistroEntradas[[#This Row],[Data do Caixa Previsto]],"Vista","Prazo")</f>
        <v>Prazo</v>
      </c>
      <c r="Q12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2" spans="2:17" x14ac:dyDescent="0.25">
      <c r="B122" s="154">
        <v>43311</v>
      </c>
      <c r="C122" s="154">
        <v>43293</v>
      </c>
      <c r="D122" s="154">
        <v>43311</v>
      </c>
      <c r="E122" s="50" t="s">
        <v>24</v>
      </c>
      <c r="F122" s="50" t="s">
        <v>30</v>
      </c>
      <c r="G122" s="50" t="s">
        <v>176</v>
      </c>
      <c r="H122" s="155">
        <v>2713</v>
      </c>
      <c r="I122" s="50">
        <f>IF(TbRegistroEntradas[[#This Row],[Data do Caixa Realizado]]="",0,MONTH(TbRegistroEntradas[[#This Row],[Data do Caixa Realizado]]))</f>
        <v>7</v>
      </c>
      <c r="J122" s="50">
        <f>IF(TbRegistroEntradas[[#This Row],[Data do Caixa Realizado]]="",0,YEAR(TbRegistroEntradas[[#This Row],[Data do Caixa Realizado]]))</f>
        <v>2018</v>
      </c>
      <c r="K122" s="50">
        <f>IF(TbRegistroEntradas[[#This Row],[Data da Competência]]="",0,MONTH(TbRegistroEntradas[[#This Row],[Data da Competência]]))</f>
        <v>7</v>
      </c>
      <c r="L122" s="50">
        <f>IF(TbRegistroEntradas[[#This Row],[Data da Competência]]="",0,YEAR(TbRegistroEntradas[[#This Row],[Data da Competência]]))</f>
        <v>2018</v>
      </c>
      <c r="M122" s="156">
        <f>IF(TbRegistroEntradas[[#This Row],[Data do Caixa Previsto]]="",0,MONTH(TbRegistroEntradas[[#This Row],[Data do Caixa Previsto]]))</f>
        <v>7</v>
      </c>
      <c r="N122" s="156">
        <f>IF(TbRegistroEntradas[[#This Row],[Data do Caixa Previsto]]="",0,YEAR(TbRegistroEntradas[[#This Row],[Data do Caixa Previsto]]))</f>
        <v>2018</v>
      </c>
      <c r="O122" s="156" t="str">
        <f ca="1">IF(AND(TbRegistroEntradas[[#This Row],[Data do Caixa Previsto]]&lt;TODAY(),TbRegistroEntradas[[#This Row],[Data do Caixa Realizado]]=""),"Vencida","Não Vencida")</f>
        <v>Não Vencida</v>
      </c>
      <c r="P122" s="156" t="str">
        <f>IF(TbRegistroEntradas[[#This Row],[Data da Competência]]=TbRegistroEntradas[[#This Row],[Data do Caixa Previsto]],"Vista","Prazo")</f>
        <v>Prazo</v>
      </c>
      <c r="Q12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3" spans="2:17" x14ac:dyDescent="0.25">
      <c r="B123" s="154">
        <v>43302</v>
      </c>
      <c r="C123" s="154">
        <v>43297</v>
      </c>
      <c r="D123" s="154">
        <v>43302</v>
      </c>
      <c r="E123" s="50" t="s">
        <v>24</v>
      </c>
      <c r="F123" s="50" t="s">
        <v>33</v>
      </c>
      <c r="G123" s="50" t="s">
        <v>177</v>
      </c>
      <c r="H123" s="155">
        <v>3482</v>
      </c>
      <c r="I123" s="50">
        <f>IF(TbRegistroEntradas[[#This Row],[Data do Caixa Realizado]]="",0,MONTH(TbRegistroEntradas[[#This Row],[Data do Caixa Realizado]]))</f>
        <v>7</v>
      </c>
      <c r="J123" s="50">
        <f>IF(TbRegistroEntradas[[#This Row],[Data do Caixa Realizado]]="",0,YEAR(TbRegistroEntradas[[#This Row],[Data do Caixa Realizado]]))</f>
        <v>2018</v>
      </c>
      <c r="K123" s="50">
        <f>IF(TbRegistroEntradas[[#This Row],[Data da Competência]]="",0,MONTH(TbRegistroEntradas[[#This Row],[Data da Competência]]))</f>
        <v>7</v>
      </c>
      <c r="L123" s="50">
        <f>IF(TbRegistroEntradas[[#This Row],[Data da Competência]]="",0,YEAR(TbRegistroEntradas[[#This Row],[Data da Competência]]))</f>
        <v>2018</v>
      </c>
      <c r="M123" s="156">
        <f>IF(TbRegistroEntradas[[#This Row],[Data do Caixa Previsto]]="",0,MONTH(TbRegistroEntradas[[#This Row],[Data do Caixa Previsto]]))</f>
        <v>7</v>
      </c>
      <c r="N123" s="156">
        <f>IF(TbRegistroEntradas[[#This Row],[Data do Caixa Previsto]]="",0,YEAR(TbRegistroEntradas[[#This Row],[Data do Caixa Previsto]]))</f>
        <v>2018</v>
      </c>
      <c r="O123" s="156" t="str">
        <f ca="1">IF(AND(TbRegistroEntradas[[#This Row],[Data do Caixa Previsto]]&lt;TODAY(),TbRegistroEntradas[[#This Row],[Data do Caixa Realizado]]=""),"Vencida","Não Vencida")</f>
        <v>Não Vencida</v>
      </c>
      <c r="P123" s="156" t="str">
        <f>IF(TbRegistroEntradas[[#This Row],[Data da Competência]]=TbRegistroEntradas[[#This Row],[Data do Caixa Previsto]],"Vista","Prazo")</f>
        <v>Prazo</v>
      </c>
      <c r="Q12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4" spans="2:17" x14ac:dyDescent="0.25">
      <c r="B124" s="154" t="s">
        <v>67</v>
      </c>
      <c r="C124" s="154">
        <v>43299</v>
      </c>
      <c r="D124" s="154">
        <v>43346</v>
      </c>
      <c r="E124" s="50" t="s">
        <v>24</v>
      </c>
      <c r="F124" s="50" t="s">
        <v>33</v>
      </c>
      <c r="G124" s="50" t="s">
        <v>178</v>
      </c>
      <c r="H124" s="155">
        <v>2071</v>
      </c>
      <c r="I124" s="50">
        <f>IF(TbRegistroEntradas[[#This Row],[Data do Caixa Realizado]]="",0,MONTH(TbRegistroEntradas[[#This Row],[Data do Caixa Realizado]]))</f>
        <v>0</v>
      </c>
      <c r="J124" s="50">
        <f>IF(TbRegistroEntradas[[#This Row],[Data do Caixa Realizado]]="",0,YEAR(TbRegistroEntradas[[#This Row],[Data do Caixa Realizado]]))</f>
        <v>0</v>
      </c>
      <c r="K124" s="50">
        <f>IF(TbRegistroEntradas[[#This Row],[Data da Competência]]="",0,MONTH(TbRegistroEntradas[[#This Row],[Data da Competência]]))</f>
        <v>7</v>
      </c>
      <c r="L124" s="50">
        <f>IF(TbRegistroEntradas[[#This Row],[Data da Competência]]="",0,YEAR(TbRegistroEntradas[[#This Row],[Data da Competência]]))</f>
        <v>2018</v>
      </c>
      <c r="M124" s="156">
        <f>IF(TbRegistroEntradas[[#This Row],[Data do Caixa Previsto]]="",0,MONTH(TbRegistroEntradas[[#This Row],[Data do Caixa Previsto]]))</f>
        <v>9</v>
      </c>
      <c r="N124" s="156">
        <f>IF(TbRegistroEntradas[[#This Row],[Data do Caixa Previsto]]="",0,YEAR(TbRegistroEntradas[[#This Row],[Data do Caixa Previsto]]))</f>
        <v>2018</v>
      </c>
      <c r="O124" s="156" t="str">
        <f ca="1">IF(AND(TbRegistroEntradas[[#This Row],[Data do Caixa Previsto]]&lt;TODAY(),TbRegistroEntradas[[#This Row],[Data do Caixa Realizado]]=""),"Vencida","Não Vencida")</f>
        <v>Vencida</v>
      </c>
      <c r="P124" s="156" t="str">
        <f>IF(TbRegistroEntradas[[#This Row],[Data da Competência]]=TbRegistroEntradas[[#This Row],[Data do Caixa Previsto]],"Vista","Prazo")</f>
        <v>Prazo</v>
      </c>
      <c r="Q12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600</v>
      </c>
    </row>
    <row r="125" spans="2:17" x14ac:dyDescent="0.25">
      <c r="B125" s="154" t="s">
        <v>67</v>
      </c>
      <c r="C125" s="154">
        <v>43304</v>
      </c>
      <c r="D125" s="154">
        <v>43304</v>
      </c>
      <c r="E125" s="50" t="s">
        <v>24</v>
      </c>
      <c r="F125" s="50" t="s">
        <v>34</v>
      </c>
      <c r="G125" s="50" t="s">
        <v>179</v>
      </c>
      <c r="H125" s="155">
        <v>4258</v>
      </c>
      <c r="I125" s="50">
        <f>IF(TbRegistroEntradas[[#This Row],[Data do Caixa Realizado]]="",0,MONTH(TbRegistroEntradas[[#This Row],[Data do Caixa Realizado]]))</f>
        <v>0</v>
      </c>
      <c r="J125" s="50">
        <f>IF(TbRegistroEntradas[[#This Row],[Data do Caixa Realizado]]="",0,YEAR(TbRegistroEntradas[[#This Row],[Data do Caixa Realizado]]))</f>
        <v>0</v>
      </c>
      <c r="K125" s="50">
        <f>IF(TbRegistroEntradas[[#This Row],[Data da Competência]]="",0,MONTH(TbRegistroEntradas[[#This Row],[Data da Competência]]))</f>
        <v>7</v>
      </c>
      <c r="L125" s="50">
        <f>IF(TbRegistroEntradas[[#This Row],[Data da Competência]]="",0,YEAR(TbRegistroEntradas[[#This Row],[Data da Competência]]))</f>
        <v>2018</v>
      </c>
      <c r="M125" s="156">
        <f>IF(TbRegistroEntradas[[#This Row],[Data do Caixa Previsto]]="",0,MONTH(TbRegistroEntradas[[#This Row],[Data do Caixa Previsto]]))</f>
        <v>7</v>
      </c>
      <c r="N125" s="156">
        <f>IF(TbRegistroEntradas[[#This Row],[Data do Caixa Previsto]]="",0,YEAR(TbRegistroEntradas[[#This Row],[Data do Caixa Previsto]]))</f>
        <v>2018</v>
      </c>
      <c r="O125" s="156" t="str">
        <f ca="1">IF(AND(TbRegistroEntradas[[#This Row],[Data do Caixa Previsto]]&lt;TODAY(),TbRegistroEntradas[[#This Row],[Data do Caixa Realizado]]=""),"Vencida","Não Vencida")</f>
        <v>Vencida</v>
      </c>
      <c r="P125" s="156" t="str">
        <f>IF(TbRegistroEntradas[[#This Row],[Data da Competência]]=TbRegistroEntradas[[#This Row],[Data do Caixa Previsto]],"Vista","Prazo")</f>
        <v>Vista</v>
      </c>
      <c r="Q12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642</v>
      </c>
    </row>
    <row r="126" spans="2:17" x14ac:dyDescent="0.25">
      <c r="B126" s="154">
        <v>43350</v>
      </c>
      <c r="C126" s="154">
        <v>43306</v>
      </c>
      <c r="D126" s="154">
        <v>43350</v>
      </c>
      <c r="E126" s="50" t="s">
        <v>24</v>
      </c>
      <c r="F126" s="50" t="s">
        <v>31</v>
      </c>
      <c r="G126" s="50" t="s">
        <v>180</v>
      </c>
      <c r="H126" s="155">
        <v>4383</v>
      </c>
      <c r="I126" s="50">
        <f>IF(TbRegistroEntradas[[#This Row],[Data do Caixa Realizado]]="",0,MONTH(TbRegistroEntradas[[#This Row],[Data do Caixa Realizado]]))</f>
        <v>9</v>
      </c>
      <c r="J126" s="50">
        <f>IF(TbRegistroEntradas[[#This Row],[Data do Caixa Realizado]]="",0,YEAR(TbRegistroEntradas[[#This Row],[Data do Caixa Realizado]]))</f>
        <v>2018</v>
      </c>
      <c r="K126" s="50">
        <f>IF(TbRegistroEntradas[[#This Row],[Data da Competência]]="",0,MONTH(TbRegistroEntradas[[#This Row],[Data da Competência]]))</f>
        <v>7</v>
      </c>
      <c r="L126" s="50">
        <f>IF(TbRegistroEntradas[[#This Row],[Data da Competência]]="",0,YEAR(TbRegistroEntradas[[#This Row],[Data da Competência]]))</f>
        <v>2018</v>
      </c>
      <c r="M126" s="156">
        <f>IF(TbRegistroEntradas[[#This Row],[Data do Caixa Previsto]]="",0,MONTH(TbRegistroEntradas[[#This Row],[Data do Caixa Previsto]]))</f>
        <v>9</v>
      </c>
      <c r="N126" s="156">
        <f>IF(TbRegistroEntradas[[#This Row],[Data do Caixa Previsto]]="",0,YEAR(TbRegistroEntradas[[#This Row],[Data do Caixa Previsto]]))</f>
        <v>2018</v>
      </c>
      <c r="O126" s="156" t="str">
        <f ca="1">IF(AND(TbRegistroEntradas[[#This Row],[Data do Caixa Previsto]]&lt;TODAY(),TbRegistroEntradas[[#This Row],[Data do Caixa Realizado]]=""),"Vencida","Não Vencida")</f>
        <v>Não Vencida</v>
      </c>
      <c r="P126" s="156" t="str">
        <f>IF(TbRegistroEntradas[[#This Row],[Data da Competência]]=TbRegistroEntradas[[#This Row],[Data do Caixa Previsto]],"Vista","Prazo")</f>
        <v>Prazo</v>
      </c>
      <c r="Q12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7" spans="2:17" x14ac:dyDescent="0.25">
      <c r="B127" s="154" t="s">
        <v>67</v>
      </c>
      <c r="C127" s="154">
        <v>43310</v>
      </c>
      <c r="D127" s="154">
        <v>43310</v>
      </c>
      <c r="E127" s="50" t="s">
        <v>24</v>
      </c>
      <c r="F127" s="50" t="s">
        <v>33</v>
      </c>
      <c r="G127" s="50" t="s">
        <v>181</v>
      </c>
      <c r="H127" s="155">
        <v>1369</v>
      </c>
      <c r="I127" s="50">
        <f>IF(TbRegistroEntradas[[#This Row],[Data do Caixa Realizado]]="",0,MONTH(TbRegistroEntradas[[#This Row],[Data do Caixa Realizado]]))</f>
        <v>0</v>
      </c>
      <c r="J127" s="50">
        <f>IF(TbRegistroEntradas[[#This Row],[Data do Caixa Realizado]]="",0,YEAR(TbRegistroEntradas[[#This Row],[Data do Caixa Realizado]]))</f>
        <v>0</v>
      </c>
      <c r="K127" s="50">
        <f>IF(TbRegistroEntradas[[#This Row],[Data da Competência]]="",0,MONTH(TbRegistroEntradas[[#This Row],[Data da Competência]]))</f>
        <v>7</v>
      </c>
      <c r="L127" s="50">
        <f>IF(TbRegistroEntradas[[#This Row],[Data da Competência]]="",0,YEAR(TbRegistroEntradas[[#This Row],[Data da Competência]]))</f>
        <v>2018</v>
      </c>
      <c r="M127" s="156">
        <f>IF(TbRegistroEntradas[[#This Row],[Data do Caixa Previsto]]="",0,MONTH(TbRegistroEntradas[[#This Row],[Data do Caixa Previsto]]))</f>
        <v>7</v>
      </c>
      <c r="N127" s="156">
        <f>IF(TbRegistroEntradas[[#This Row],[Data do Caixa Previsto]]="",0,YEAR(TbRegistroEntradas[[#This Row],[Data do Caixa Previsto]]))</f>
        <v>2018</v>
      </c>
      <c r="O127" s="156" t="str">
        <f ca="1">IF(AND(TbRegistroEntradas[[#This Row],[Data do Caixa Previsto]]&lt;TODAY(),TbRegistroEntradas[[#This Row],[Data do Caixa Realizado]]=""),"Vencida","Não Vencida")</f>
        <v>Vencida</v>
      </c>
      <c r="P127" s="156" t="str">
        <f>IF(TbRegistroEntradas[[#This Row],[Data da Competência]]=TbRegistroEntradas[[#This Row],[Data do Caixa Previsto]],"Vista","Prazo")</f>
        <v>Vista</v>
      </c>
      <c r="Q12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636</v>
      </c>
    </row>
    <row r="128" spans="2:17" x14ac:dyDescent="0.25">
      <c r="B128" s="154">
        <v>43409</v>
      </c>
      <c r="C128" s="154">
        <v>43315</v>
      </c>
      <c r="D128" s="154">
        <v>43357</v>
      </c>
      <c r="E128" s="50" t="s">
        <v>24</v>
      </c>
      <c r="F128" s="50" t="s">
        <v>33</v>
      </c>
      <c r="G128" s="50" t="s">
        <v>182</v>
      </c>
      <c r="H128" s="155">
        <v>331</v>
      </c>
      <c r="I128" s="50">
        <f>IF(TbRegistroEntradas[[#This Row],[Data do Caixa Realizado]]="",0,MONTH(TbRegistroEntradas[[#This Row],[Data do Caixa Realizado]]))</f>
        <v>11</v>
      </c>
      <c r="J128" s="50">
        <f>IF(TbRegistroEntradas[[#This Row],[Data do Caixa Realizado]]="",0,YEAR(TbRegistroEntradas[[#This Row],[Data do Caixa Realizado]]))</f>
        <v>2018</v>
      </c>
      <c r="K128" s="50">
        <f>IF(TbRegistroEntradas[[#This Row],[Data da Competência]]="",0,MONTH(TbRegistroEntradas[[#This Row],[Data da Competência]]))</f>
        <v>8</v>
      </c>
      <c r="L128" s="50">
        <f>IF(TbRegistroEntradas[[#This Row],[Data da Competência]]="",0,YEAR(TbRegistroEntradas[[#This Row],[Data da Competência]]))</f>
        <v>2018</v>
      </c>
      <c r="M128" s="156">
        <f>IF(TbRegistroEntradas[[#This Row],[Data do Caixa Previsto]]="",0,MONTH(TbRegistroEntradas[[#This Row],[Data do Caixa Previsto]]))</f>
        <v>9</v>
      </c>
      <c r="N128" s="156">
        <f>IF(TbRegistroEntradas[[#This Row],[Data do Caixa Previsto]]="",0,YEAR(TbRegistroEntradas[[#This Row],[Data do Caixa Previsto]]))</f>
        <v>2018</v>
      </c>
      <c r="O128" s="156" t="str">
        <f ca="1">IF(AND(TbRegistroEntradas[[#This Row],[Data do Caixa Previsto]]&lt;TODAY(),TbRegistroEntradas[[#This Row],[Data do Caixa Realizado]]=""),"Vencida","Não Vencida")</f>
        <v>Não Vencida</v>
      </c>
      <c r="P128" s="156" t="str">
        <f>IF(TbRegistroEntradas[[#This Row],[Data da Competência]]=TbRegistroEntradas[[#This Row],[Data do Caixa Previsto]],"Vista","Prazo")</f>
        <v>Prazo</v>
      </c>
      <c r="Q12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129" spans="2:17" x14ac:dyDescent="0.25">
      <c r="B129" s="154">
        <v>43368</v>
      </c>
      <c r="C129" s="154">
        <v>43318</v>
      </c>
      <c r="D129" s="154">
        <v>43318</v>
      </c>
      <c r="E129" s="50" t="s">
        <v>24</v>
      </c>
      <c r="F129" s="50" t="s">
        <v>33</v>
      </c>
      <c r="G129" s="50" t="s">
        <v>183</v>
      </c>
      <c r="H129" s="155">
        <v>3031</v>
      </c>
      <c r="I129" s="50">
        <f>IF(TbRegistroEntradas[[#This Row],[Data do Caixa Realizado]]="",0,MONTH(TbRegistroEntradas[[#This Row],[Data do Caixa Realizado]]))</f>
        <v>9</v>
      </c>
      <c r="J129" s="50">
        <f>IF(TbRegistroEntradas[[#This Row],[Data do Caixa Realizado]]="",0,YEAR(TbRegistroEntradas[[#This Row],[Data do Caixa Realizado]]))</f>
        <v>2018</v>
      </c>
      <c r="K129" s="50">
        <f>IF(TbRegistroEntradas[[#This Row],[Data da Competência]]="",0,MONTH(TbRegistroEntradas[[#This Row],[Data da Competência]]))</f>
        <v>8</v>
      </c>
      <c r="L129" s="50">
        <f>IF(TbRegistroEntradas[[#This Row],[Data da Competência]]="",0,YEAR(TbRegistroEntradas[[#This Row],[Data da Competência]]))</f>
        <v>2018</v>
      </c>
      <c r="M129" s="156">
        <f>IF(TbRegistroEntradas[[#This Row],[Data do Caixa Previsto]]="",0,MONTH(TbRegistroEntradas[[#This Row],[Data do Caixa Previsto]]))</f>
        <v>8</v>
      </c>
      <c r="N129" s="156">
        <f>IF(TbRegistroEntradas[[#This Row],[Data do Caixa Previsto]]="",0,YEAR(TbRegistroEntradas[[#This Row],[Data do Caixa Previsto]]))</f>
        <v>2018</v>
      </c>
      <c r="O129" s="156" t="str">
        <f ca="1">IF(AND(TbRegistroEntradas[[#This Row],[Data do Caixa Previsto]]&lt;TODAY(),TbRegistroEntradas[[#This Row],[Data do Caixa Realizado]]=""),"Vencida","Não Vencida")</f>
        <v>Não Vencida</v>
      </c>
      <c r="P129" s="156" t="str">
        <f>IF(TbRegistroEntradas[[#This Row],[Data da Competência]]=TbRegistroEntradas[[#This Row],[Data do Caixa Previsto]],"Vista","Prazo")</f>
        <v>Vista</v>
      </c>
      <c r="Q12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</v>
      </c>
    </row>
    <row r="130" spans="2:17" x14ac:dyDescent="0.25">
      <c r="B130" s="154">
        <v>43341</v>
      </c>
      <c r="C130" s="154">
        <v>43321</v>
      </c>
      <c r="D130" s="154">
        <v>43341</v>
      </c>
      <c r="E130" s="50" t="s">
        <v>24</v>
      </c>
      <c r="F130" s="50" t="s">
        <v>31</v>
      </c>
      <c r="G130" s="50" t="s">
        <v>184</v>
      </c>
      <c r="H130" s="155">
        <v>1200</v>
      </c>
      <c r="I130" s="50">
        <f>IF(TbRegistroEntradas[[#This Row],[Data do Caixa Realizado]]="",0,MONTH(TbRegistroEntradas[[#This Row],[Data do Caixa Realizado]]))</f>
        <v>8</v>
      </c>
      <c r="J130" s="50">
        <f>IF(TbRegistroEntradas[[#This Row],[Data do Caixa Realizado]]="",0,YEAR(TbRegistroEntradas[[#This Row],[Data do Caixa Realizado]]))</f>
        <v>2018</v>
      </c>
      <c r="K130" s="50">
        <f>IF(TbRegistroEntradas[[#This Row],[Data da Competência]]="",0,MONTH(TbRegistroEntradas[[#This Row],[Data da Competência]]))</f>
        <v>8</v>
      </c>
      <c r="L130" s="50">
        <f>IF(TbRegistroEntradas[[#This Row],[Data da Competência]]="",0,YEAR(TbRegistroEntradas[[#This Row],[Data da Competência]]))</f>
        <v>2018</v>
      </c>
      <c r="M130" s="156">
        <f>IF(TbRegistroEntradas[[#This Row],[Data do Caixa Previsto]]="",0,MONTH(TbRegistroEntradas[[#This Row],[Data do Caixa Previsto]]))</f>
        <v>8</v>
      </c>
      <c r="N130" s="156">
        <f>IF(TbRegistroEntradas[[#This Row],[Data do Caixa Previsto]]="",0,YEAR(TbRegistroEntradas[[#This Row],[Data do Caixa Previsto]]))</f>
        <v>2018</v>
      </c>
      <c r="O130" s="156" t="str">
        <f ca="1">IF(AND(TbRegistroEntradas[[#This Row],[Data do Caixa Previsto]]&lt;TODAY(),TbRegistroEntradas[[#This Row],[Data do Caixa Realizado]]=""),"Vencida","Não Vencida")</f>
        <v>Não Vencida</v>
      </c>
      <c r="P130" s="156" t="str">
        <f>IF(TbRegistroEntradas[[#This Row],[Data da Competência]]=TbRegistroEntradas[[#This Row],[Data do Caixa Previsto]],"Vista","Prazo")</f>
        <v>Prazo</v>
      </c>
      <c r="Q13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1" spans="2:17" x14ac:dyDescent="0.25">
      <c r="B131" s="154">
        <v>43323</v>
      </c>
      <c r="C131" s="154">
        <v>43323</v>
      </c>
      <c r="D131" s="154">
        <v>43323</v>
      </c>
      <c r="E131" s="50" t="s">
        <v>24</v>
      </c>
      <c r="F131" s="50" t="s">
        <v>31</v>
      </c>
      <c r="G131" s="50" t="s">
        <v>185</v>
      </c>
      <c r="H131" s="155">
        <v>405</v>
      </c>
      <c r="I131" s="50">
        <f>IF(TbRegistroEntradas[[#This Row],[Data do Caixa Realizado]]="",0,MONTH(TbRegistroEntradas[[#This Row],[Data do Caixa Realizado]]))</f>
        <v>8</v>
      </c>
      <c r="J131" s="50">
        <f>IF(TbRegistroEntradas[[#This Row],[Data do Caixa Realizado]]="",0,YEAR(TbRegistroEntradas[[#This Row],[Data do Caixa Realizado]]))</f>
        <v>2018</v>
      </c>
      <c r="K131" s="50">
        <f>IF(TbRegistroEntradas[[#This Row],[Data da Competência]]="",0,MONTH(TbRegistroEntradas[[#This Row],[Data da Competência]]))</f>
        <v>8</v>
      </c>
      <c r="L131" s="50">
        <f>IF(TbRegistroEntradas[[#This Row],[Data da Competência]]="",0,YEAR(TbRegistroEntradas[[#This Row],[Data da Competência]]))</f>
        <v>2018</v>
      </c>
      <c r="M131" s="156">
        <f>IF(TbRegistroEntradas[[#This Row],[Data do Caixa Previsto]]="",0,MONTH(TbRegistroEntradas[[#This Row],[Data do Caixa Previsto]]))</f>
        <v>8</v>
      </c>
      <c r="N131" s="156">
        <f>IF(TbRegistroEntradas[[#This Row],[Data do Caixa Previsto]]="",0,YEAR(TbRegistroEntradas[[#This Row],[Data do Caixa Previsto]]))</f>
        <v>2018</v>
      </c>
      <c r="O131" s="156" t="str">
        <f ca="1">IF(AND(TbRegistroEntradas[[#This Row],[Data do Caixa Previsto]]&lt;TODAY(),TbRegistroEntradas[[#This Row],[Data do Caixa Realizado]]=""),"Vencida","Não Vencida")</f>
        <v>Não Vencida</v>
      </c>
      <c r="P131" s="156" t="str">
        <f>IF(TbRegistroEntradas[[#This Row],[Data da Competência]]=TbRegistroEntradas[[#This Row],[Data do Caixa Previsto]],"Vista","Prazo")</f>
        <v>Vista</v>
      </c>
      <c r="Q13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2" spans="2:17" x14ac:dyDescent="0.25">
      <c r="B132" s="154">
        <v>43360</v>
      </c>
      <c r="C132" s="154">
        <v>43326</v>
      </c>
      <c r="D132" s="154">
        <v>43360</v>
      </c>
      <c r="E132" s="50" t="s">
        <v>24</v>
      </c>
      <c r="F132" s="50" t="s">
        <v>30</v>
      </c>
      <c r="G132" s="50" t="s">
        <v>151</v>
      </c>
      <c r="H132" s="155">
        <v>3080</v>
      </c>
      <c r="I132" s="50">
        <f>IF(TbRegistroEntradas[[#This Row],[Data do Caixa Realizado]]="",0,MONTH(TbRegistroEntradas[[#This Row],[Data do Caixa Realizado]]))</f>
        <v>9</v>
      </c>
      <c r="J132" s="50">
        <f>IF(TbRegistroEntradas[[#This Row],[Data do Caixa Realizado]]="",0,YEAR(TbRegistroEntradas[[#This Row],[Data do Caixa Realizado]]))</f>
        <v>2018</v>
      </c>
      <c r="K132" s="50">
        <f>IF(TbRegistroEntradas[[#This Row],[Data da Competência]]="",0,MONTH(TbRegistroEntradas[[#This Row],[Data da Competência]]))</f>
        <v>8</v>
      </c>
      <c r="L132" s="50">
        <f>IF(TbRegistroEntradas[[#This Row],[Data da Competência]]="",0,YEAR(TbRegistroEntradas[[#This Row],[Data da Competência]]))</f>
        <v>2018</v>
      </c>
      <c r="M132" s="156">
        <f>IF(TbRegistroEntradas[[#This Row],[Data do Caixa Previsto]]="",0,MONTH(TbRegistroEntradas[[#This Row],[Data do Caixa Previsto]]))</f>
        <v>9</v>
      </c>
      <c r="N132" s="156">
        <f>IF(TbRegistroEntradas[[#This Row],[Data do Caixa Previsto]]="",0,YEAR(TbRegistroEntradas[[#This Row],[Data do Caixa Previsto]]))</f>
        <v>2018</v>
      </c>
      <c r="O132" s="156" t="str">
        <f ca="1">IF(AND(TbRegistroEntradas[[#This Row],[Data do Caixa Previsto]]&lt;TODAY(),TbRegistroEntradas[[#This Row],[Data do Caixa Realizado]]=""),"Vencida","Não Vencida")</f>
        <v>Não Vencida</v>
      </c>
      <c r="P132" s="156" t="str">
        <f>IF(TbRegistroEntradas[[#This Row],[Data da Competência]]=TbRegistroEntradas[[#This Row],[Data do Caixa Previsto]],"Vista","Prazo")</f>
        <v>Prazo</v>
      </c>
      <c r="Q13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3" spans="2:17" x14ac:dyDescent="0.25">
      <c r="B133" s="154">
        <v>43329</v>
      </c>
      <c r="C133" s="154">
        <v>43329</v>
      </c>
      <c r="D133" s="154">
        <v>43329</v>
      </c>
      <c r="E133" s="50" t="s">
        <v>24</v>
      </c>
      <c r="F133" s="50" t="s">
        <v>33</v>
      </c>
      <c r="G133" s="50" t="s">
        <v>186</v>
      </c>
      <c r="H133" s="155">
        <v>2137</v>
      </c>
      <c r="I133" s="50">
        <f>IF(TbRegistroEntradas[[#This Row],[Data do Caixa Realizado]]="",0,MONTH(TbRegistroEntradas[[#This Row],[Data do Caixa Realizado]]))</f>
        <v>8</v>
      </c>
      <c r="J133" s="50">
        <f>IF(TbRegistroEntradas[[#This Row],[Data do Caixa Realizado]]="",0,YEAR(TbRegistroEntradas[[#This Row],[Data do Caixa Realizado]]))</f>
        <v>2018</v>
      </c>
      <c r="K133" s="50">
        <f>IF(TbRegistroEntradas[[#This Row],[Data da Competência]]="",0,MONTH(TbRegistroEntradas[[#This Row],[Data da Competência]]))</f>
        <v>8</v>
      </c>
      <c r="L133" s="50">
        <f>IF(TbRegistroEntradas[[#This Row],[Data da Competência]]="",0,YEAR(TbRegistroEntradas[[#This Row],[Data da Competência]]))</f>
        <v>2018</v>
      </c>
      <c r="M133" s="156">
        <f>IF(TbRegistroEntradas[[#This Row],[Data do Caixa Previsto]]="",0,MONTH(TbRegistroEntradas[[#This Row],[Data do Caixa Previsto]]))</f>
        <v>8</v>
      </c>
      <c r="N133" s="156">
        <f>IF(TbRegistroEntradas[[#This Row],[Data do Caixa Previsto]]="",0,YEAR(TbRegistroEntradas[[#This Row],[Data do Caixa Previsto]]))</f>
        <v>2018</v>
      </c>
      <c r="O133" s="156" t="str">
        <f ca="1">IF(AND(TbRegistroEntradas[[#This Row],[Data do Caixa Previsto]]&lt;TODAY(),TbRegistroEntradas[[#This Row],[Data do Caixa Realizado]]=""),"Vencida","Não Vencida")</f>
        <v>Não Vencida</v>
      </c>
      <c r="P133" s="156" t="str">
        <f>IF(TbRegistroEntradas[[#This Row],[Data da Competência]]=TbRegistroEntradas[[#This Row],[Data do Caixa Previsto]],"Vista","Prazo")</f>
        <v>Vista</v>
      </c>
      <c r="Q13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4" spans="2:17" x14ac:dyDescent="0.25">
      <c r="B134" s="154">
        <v>43336</v>
      </c>
      <c r="C134" s="154">
        <v>43336</v>
      </c>
      <c r="D134" s="154">
        <v>43336</v>
      </c>
      <c r="E134" s="50" t="s">
        <v>24</v>
      </c>
      <c r="F134" s="50" t="s">
        <v>34</v>
      </c>
      <c r="G134" s="50" t="s">
        <v>187</v>
      </c>
      <c r="H134" s="155">
        <v>4287</v>
      </c>
      <c r="I134" s="50">
        <f>IF(TbRegistroEntradas[[#This Row],[Data do Caixa Realizado]]="",0,MONTH(TbRegistroEntradas[[#This Row],[Data do Caixa Realizado]]))</f>
        <v>8</v>
      </c>
      <c r="J134" s="50">
        <f>IF(TbRegistroEntradas[[#This Row],[Data do Caixa Realizado]]="",0,YEAR(TbRegistroEntradas[[#This Row],[Data do Caixa Realizado]]))</f>
        <v>2018</v>
      </c>
      <c r="K134" s="50">
        <f>IF(TbRegistroEntradas[[#This Row],[Data da Competência]]="",0,MONTH(TbRegistroEntradas[[#This Row],[Data da Competência]]))</f>
        <v>8</v>
      </c>
      <c r="L134" s="50">
        <f>IF(TbRegistroEntradas[[#This Row],[Data da Competência]]="",0,YEAR(TbRegistroEntradas[[#This Row],[Data da Competência]]))</f>
        <v>2018</v>
      </c>
      <c r="M134" s="156">
        <f>IF(TbRegistroEntradas[[#This Row],[Data do Caixa Previsto]]="",0,MONTH(TbRegistroEntradas[[#This Row],[Data do Caixa Previsto]]))</f>
        <v>8</v>
      </c>
      <c r="N134" s="156">
        <f>IF(TbRegistroEntradas[[#This Row],[Data do Caixa Previsto]]="",0,YEAR(TbRegistroEntradas[[#This Row],[Data do Caixa Previsto]]))</f>
        <v>2018</v>
      </c>
      <c r="O134" s="156" t="str">
        <f ca="1">IF(AND(TbRegistroEntradas[[#This Row],[Data do Caixa Previsto]]&lt;TODAY(),TbRegistroEntradas[[#This Row],[Data do Caixa Realizado]]=""),"Vencida","Não Vencida")</f>
        <v>Não Vencida</v>
      </c>
      <c r="P134" s="156" t="str">
        <f>IF(TbRegistroEntradas[[#This Row],[Data da Competência]]=TbRegistroEntradas[[#This Row],[Data do Caixa Previsto]],"Vista","Prazo")</f>
        <v>Vista</v>
      </c>
      <c r="Q13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5" spans="2:17" x14ac:dyDescent="0.25">
      <c r="B135" s="154">
        <v>43475</v>
      </c>
      <c r="C135" s="154">
        <v>43338</v>
      </c>
      <c r="D135" s="154">
        <v>43395</v>
      </c>
      <c r="E135" s="50" t="s">
        <v>24</v>
      </c>
      <c r="F135" s="50" t="s">
        <v>34</v>
      </c>
      <c r="G135" s="50" t="s">
        <v>188</v>
      </c>
      <c r="H135" s="155">
        <v>4857</v>
      </c>
      <c r="I135" s="50">
        <f>IF(TbRegistroEntradas[[#This Row],[Data do Caixa Realizado]]="",0,MONTH(TbRegistroEntradas[[#This Row],[Data do Caixa Realizado]]))</f>
        <v>1</v>
      </c>
      <c r="J135" s="50">
        <f>IF(TbRegistroEntradas[[#This Row],[Data do Caixa Realizado]]="",0,YEAR(TbRegistroEntradas[[#This Row],[Data do Caixa Realizado]]))</f>
        <v>2019</v>
      </c>
      <c r="K135" s="50">
        <f>IF(TbRegistroEntradas[[#This Row],[Data da Competência]]="",0,MONTH(TbRegistroEntradas[[#This Row],[Data da Competência]]))</f>
        <v>8</v>
      </c>
      <c r="L135" s="50">
        <f>IF(TbRegistroEntradas[[#This Row],[Data da Competência]]="",0,YEAR(TbRegistroEntradas[[#This Row],[Data da Competência]]))</f>
        <v>2018</v>
      </c>
      <c r="M135" s="156">
        <f>IF(TbRegistroEntradas[[#This Row],[Data do Caixa Previsto]]="",0,MONTH(TbRegistroEntradas[[#This Row],[Data do Caixa Previsto]]))</f>
        <v>10</v>
      </c>
      <c r="N135" s="156">
        <f>IF(TbRegistroEntradas[[#This Row],[Data do Caixa Previsto]]="",0,YEAR(TbRegistroEntradas[[#This Row],[Data do Caixa Previsto]]))</f>
        <v>2018</v>
      </c>
      <c r="O135" s="156" t="str">
        <f ca="1">IF(AND(TbRegistroEntradas[[#This Row],[Data do Caixa Previsto]]&lt;TODAY(),TbRegistroEntradas[[#This Row],[Data do Caixa Realizado]]=""),"Vencida","Não Vencida")</f>
        <v>Não Vencida</v>
      </c>
      <c r="P135" s="156" t="str">
        <f>IF(TbRegistroEntradas[[#This Row],[Data da Competência]]=TbRegistroEntradas[[#This Row],[Data do Caixa Previsto]],"Vista","Prazo")</f>
        <v>Prazo</v>
      </c>
      <c r="Q13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80</v>
      </c>
    </row>
    <row r="136" spans="2:17" x14ac:dyDescent="0.25">
      <c r="B136" s="154">
        <v>43393</v>
      </c>
      <c r="C136" s="154">
        <v>43342</v>
      </c>
      <c r="D136" s="154">
        <v>43393</v>
      </c>
      <c r="E136" s="50" t="s">
        <v>24</v>
      </c>
      <c r="F136" s="50" t="s">
        <v>33</v>
      </c>
      <c r="G136" s="50" t="s">
        <v>189</v>
      </c>
      <c r="H136" s="155">
        <v>507</v>
      </c>
      <c r="I136" s="50">
        <f>IF(TbRegistroEntradas[[#This Row],[Data do Caixa Realizado]]="",0,MONTH(TbRegistroEntradas[[#This Row],[Data do Caixa Realizado]]))</f>
        <v>10</v>
      </c>
      <c r="J136" s="50">
        <f>IF(TbRegistroEntradas[[#This Row],[Data do Caixa Realizado]]="",0,YEAR(TbRegistroEntradas[[#This Row],[Data do Caixa Realizado]]))</f>
        <v>2018</v>
      </c>
      <c r="K136" s="50">
        <f>IF(TbRegistroEntradas[[#This Row],[Data da Competência]]="",0,MONTH(TbRegistroEntradas[[#This Row],[Data da Competência]]))</f>
        <v>8</v>
      </c>
      <c r="L136" s="50">
        <f>IF(TbRegistroEntradas[[#This Row],[Data da Competência]]="",0,YEAR(TbRegistroEntradas[[#This Row],[Data da Competência]]))</f>
        <v>2018</v>
      </c>
      <c r="M136" s="156">
        <f>IF(TbRegistroEntradas[[#This Row],[Data do Caixa Previsto]]="",0,MONTH(TbRegistroEntradas[[#This Row],[Data do Caixa Previsto]]))</f>
        <v>10</v>
      </c>
      <c r="N136" s="156">
        <f>IF(TbRegistroEntradas[[#This Row],[Data do Caixa Previsto]]="",0,YEAR(TbRegistroEntradas[[#This Row],[Data do Caixa Previsto]]))</f>
        <v>2018</v>
      </c>
      <c r="O136" s="156" t="str">
        <f ca="1">IF(AND(TbRegistroEntradas[[#This Row],[Data do Caixa Previsto]]&lt;TODAY(),TbRegistroEntradas[[#This Row],[Data do Caixa Realizado]]=""),"Vencida","Não Vencida")</f>
        <v>Não Vencida</v>
      </c>
      <c r="P136" s="156" t="str">
        <f>IF(TbRegistroEntradas[[#This Row],[Data da Competência]]=TbRegistroEntradas[[#This Row],[Data do Caixa Previsto]],"Vista","Prazo")</f>
        <v>Prazo</v>
      </c>
      <c r="Q13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7" spans="2:17" x14ac:dyDescent="0.25">
      <c r="B137" s="154">
        <v>43405</v>
      </c>
      <c r="C137" s="154">
        <v>43343</v>
      </c>
      <c r="D137" s="154">
        <v>43354</v>
      </c>
      <c r="E137" s="50" t="s">
        <v>24</v>
      </c>
      <c r="F137" s="50" t="s">
        <v>31</v>
      </c>
      <c r="G137" s="50" t="s">
        <v>190</v>
      </c>
      <c r="H137" s="155">
        <v>2467</v>
      </c>
      <c r="I137" s="50">
        <f>IF(TbRegistroEntradas[[#This Row],[Data do Caixa Realizado]]="",0,MONTH(TbRegistroEntradas[[#This Row],[Data do Caixa Realizado]]))</f>
        <v>11</v>
      </c>
      <c r="J137" s="50">
        <f>IF(TbRegistroEntradas[[#This Row],[Data do Caixa Realizado]]="",0,YEAR(TbRegistroEntradas[[#This Row],[Data do Caixa Realizado]]))</f>
        <v>2018</v>
      </c>
      <c r="K137" s="50">
        <f>IF(TbRegistroEntradas[[#This Row],[Data da Competência]]="",0,MONTH(TbRegistroEntradas[[#This Row],[Data da Competência]]))</f>
        <v>8</v>
      </c>
      <c r="L137" s="50">
        <f>IF(TbRegistroEntradas[[#This Row],[Data da Competência]]="",0,YEAR(TbRegistroEntradas[[#This Row],[Data da Competência]]))</f>
        <v>2018</v>
      </c>
      <c r="M137" s="156">
        <f>IF(TbRegistroEntradas[[#This Row],[Data do Caixa Previsto]]="",0,MONTH(TbRegistroEntradas[[#This Row],[Data do Caixa Previsto]]))</f>
        <v>9</v>
      </c>
      <c r="N137" s="156">
        <f>IF(TbRegistroEntradas[[#This Row],[Data do Caixa Previsto]]="",0,YEAR(TbRegistroEntradas[[#This Row],[Data do Caixa Previsto]]))</f>
        <v>2018</v>
      </c>
      <c r="O137" s="156" t="str">
        <f ca="1">IF(AND(TbRegistroEntradas[[#This Row],[Data do Caixa Previsto]]&lt;TODAY(),TbRegistroEntradas[[#This Row],[Data do Caixa Realizado]]=""),"Vencida","Não Vencida")</f>
        <v>Não Vencida</v>
      </c>
      <c r="P137" s="156" t="str">
        <f>IF(TbRegistroEntradas[[#This Row],[Data da Competência]]=TbRegistroEntradas[[#This Row],[Data do Caixa Previsto]],"Vista","Prazo")</f>
        <v>Prazo</v>
      </c>
      <c r="Q13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138" spans="2:17" x14ac:dyDescent="0.25">
      <c r="B138" s="154">
        <v>43370</v>
      </c>
      <c r="C138" s="154">
        <v>43344</v>
      </c>
      <c r="D138" s="154">
        <v>43370</v>
      </c>
      <c r="E138" s="50" t="s">
        <v>24</v>
      </c>
      <c r="F138" s="50" t="s">
        <v>33</v>
      </c>
      <c r="G138" s="50" t="s">
        <v>191</v>
      </c>
      <c r="H138" s="155">
        <v>4253</v>
      </c>
      <c r="I138" s="50">
        <f>IF(TbRegistroEntradas[[#This Row],[Data do Caixa Realizado]]="",0,MONTH(TbRegistroEntradas[[#This Row],[Data do Caixa Realizado]]))</f>
        <v>9</v>
      </c>
      <c r="J138" s="50">
        <f>IF(TbRegistroEntradas[[#This Row],[Data do Caixa Realizado]]="",0,YEAR(TbRegistroEntradas[[#This Row],[Data do Caixa Realizado]]))</f>
        <v>2018</v>
      </c>
      <c r="K138" s="50">
        <f>IF(TbRegistroEntradas[[#This Row],[Data da Competência]]="",0,MONTH(TbRegistroEntradas[[#This Row],[Data da Competência]]))</f>
        <v>9</v>
      </c>
      <c r="L138" s="50">
        <f>IF(TbRegistroEntradas[[#This Row],[Data da Competência]]="",0,YEAR(TbRegistroEntradas[[#This Row],[Data da Competência]]))</f>
        <v>2018</v>
      </c>
      <c r="M138" s="156">
        <f>IF(TbRegistroEntradas[[#This Row],[Data do Caixa Previsto]]="",0,MONTH(TbRegistroEntradas[[#This Row],[Data do Caixa Previsto]]))</f>
        <v>9</v>
      </c>
      <c r="N138" s="156">
        <f>IF(TbRegistroEntradas[[#This Row],[Data do Caixa Previsto]]="",0,YEAR(TbRegistroEntradas[[#This Row],[Data do Caixa Previsto]]))</f>
        <v>2018</v>
      </c>
      <c r="O138" s="156" t="str">
        <f ca="1">IF(AND(TbRegistroEntradas[[#This Row],[Data do Caixa Previsto]]&lt;TODAY(),TbRegistroEntradas[[#This Row],[Data do Caixa Realizado]]=""),"Vencida","Não Vencida")</f>
        <v>Não Vencida</v>
      </c>
      <c r="P138" s="156" t="str">
        <f>IF(TbRegistroEntradas[[#This Row],[Data da Competência]]=TbRegistroEntradas[[#This Row],[Data do Caixa Previsto]],"Vista","Prazo")</f>
        <v>Prazo</v>
      </c>
      <c r="Q13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9" spans="2:17" x14ac:dyDescent="0.25">
      <c r="B139" s="154">
        <v>43350</v>
      </c>
      <c r="C139" s="154">
        <v>43350</v>
      </c>
      <c r="D139" s="154">
        <v>43350</v>
      </c>
      <c r="E139" s="50" t="s">
        <v>24</v>
      </c>
      <c r="F139" s="50" t="s">
        <v>34</v>
      </c>
      <c r="G139" s="50" t="s">
        <v>192</v>
      </c>
      <c r="H139" s="155">
        <v>2391</v>
      </c>
      <c r="I139" s="50">
        <f>IF(TbRegistroEntradas[[#This Row],[Data do Caixa Realizado]]="",0,MONTH(TbRegistroEntradas[[#This Row],[Data do Caixa Realizado]]))</f>
        <v>9</v>
      </c>
      <c r="J139" s="50">
        <f>IF(TbRegistroEntradas[[#This Row],[Data do Caixa Realizado]]="",0,YEAR(TbRegistroEntradas[[#This Row],[Data do Caixa Realizado]]))</f>
        <v>2018</v>
      </c>
      <c r="K139" s="50">
        <f>IF(TbRegistroEntradas[[#This Row],[Data da Competência]]="",0,MONTH(TbRegistroEntradas[[#This Row],[Data da Competência]]))</f>
        <v>9</v>
      </c>
      <c r="L139" s="50">
        <f>IF(TbRegistroEntradas[[#This Row],[Data da Competência]]="",0,YEAR(TbRegistroEntradas[[#This Row],[Data da Competência]]))</f>
        <v>2018</v>
      </c>
      <c r="M139" s="156">
        <f>IF(TbRegistroEntradas[[#This Row],[Data do Caixa Previsto]]="",0,MONTH(TbRegistroEntradas[[#This Row],[Data do Caixa Previsto]]))</f>
        <v>9</v>
      </c>
      <c r="N139" s="156">
        <f>IF(TbRegistroEntradas[[#This Row],[Data do Caixa Previsto]]="",0,YEAR(TbRegistroEntradas[[#This Row],[Data do Caixa Previsto]]))</f>
        <v>2018</v>
      </c>
      <c r="O139" s="156" t="str">
        <f ca="1">IF(AND(TbRegistroEntradas[[#This Row],[Data do Caixa Previsto]]&lt;TODAY(),TbRegistroEntradas[[#This Row],[Data do Caixa Realizado]]=""),"Vencida","Não Vencida")</f>
        <v>Não Vencida</v>
      </c>
      <c r="P139" s="156" t="str">
        <f>IF(TbRegistroEntradas[[#This Row],[Data da Competência]]=TbRegistroEntradas[[#This Row],[Data do Caixa Previsto]],"Vista","Prazo")</f>
        <v>Vista</v>
      </c>
      <c r="Q13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0" spans="2:17" x14ac:dyDescent="0.25">
      <c r="B140" s="154">
        <v>43365</v>
      </c>
      <c r="C140" s="154">
        <v>43352</v>
      </c>
      <c r="D140" s="154">
        <v>43365</v>
      </c>
      <c r="E140" s="50" t="s">
        <v>24</v>
      </c>
      <c r="F140" s="50" t="s">
        <v>33</v>
      </c>
      <c r="G140" s="50" t="s">
        <v>193</v>
      </c>
      <c r="H140" s="155">
        <v>3669</v>
      </c>
      <c r="I140" s="50">
        <f>IF(TbRegistroEntradas[[#This Row],[Data do Caixa Realizado]]="",0,MONTH(TbRegistroEntradas[[#This Row],[Data do Caixa Realizado]]))</f>
        <v>9</v>
      </c>
      <c r="J140" s="50">
        <f>IF(TbRegistroEntradas[[#This Row],[Data do Caixa Realizado]]="",0,YEAR(TbRegistroEntradas[[#This Row],[Data do Caixa Realizado]]))</f>
        <v>2018</v>
      </c>
      <c r="K140" s="50">
        <f>IF(TbRegistroEntradas[[#This Row],[Data da Competência]]="",0,MONTH(TbRegistroEntradas[[#This Row],[Data da Competência]]))</f>
        <v>9</v>
      </c>
      <c r="L140" s="50">
        <f>IF(TbRegistroEntradas[[#This Row],[Data da Competência]]="",0,YEAR(TbRegistroEntradas[[#This Row],[Data da Competência]]))</f>
        <v>2018</v>
      </c>
      <c r="M140" s="156">
        <f>IF(TbRegistroEntradas[[#This Row],[Data do Caixa Previsto]]="",0,MONTH(TbRegistroEntradas[[#This Row],[Data do Caixa Previsto]]))</f>
        <v>9</v>
      </c>
      <c r="N140" s="156">
        <f>IF(TbRegistroEntradas[[#This Row],[Data do Caixa Previsto]]="",0,YEAR(TbRegistroEntradas[[#This Row],[Data do Caixa Previsto]]))</f>
        <v>2018</v>
      </c>
      <c r="O140" s="156" t="str">
        <f ca="1">IF(AND(TbRegistroEntradas[[#This Row],[Data do Caixa Previsto]]&lt;TODAY(),TbRegistroEntradas[[#This Row],[Data do Caixa Realizado]]=""),"Vencida","Não Vencida")</f>
        <v>Não Vencida</v>
      </c>
      <c r="P140" s="156" t="str">
        <f>IF(TbRegistroEntradas[[#This Row],[Data da Competência]]=TbRegistroEntradas[[#This Row],[Data do Caixa Previsto]],"Vista","Prazo")</f>
        <v>Prazo</v>
      </c>
      <c r="Q14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1" spans="2:17" x14ac:dyDescent="0.25">
      <c r="B141" s="154">
        <v>43383</v>
      </c>
      <c r="C141" s="154">
        <v>43355</v>
      </c>
      <c r="D141" s="154">
        <v>43383</v>
      </c>
      <c r="E141" s="50" t="s">
        <v>24</v>
      </c>
      <c r="F141" s="50" t="s">
        <v>33</v>
      </c>
      <c r="G141" s="50" t="s">
        <v>194</v>
      </c>
      <c r="H141" s="155">
        <v>1207</v>
      </c>
      <c r="I141" s="50">
        <f>IF(TbRegistroEntradas[[#This Row],[Data do Caixa Realizado]]="",0,MONTH(TbRegistroEntradas[[#This Row],[Data do Caixa Realizado]]))</f>
        <v>10</v>
      </c>
      <c r="J141" s="50">
        <f>IF(TbRegistroEntradas[[#This Row],[Data do Caixa Realizado]]="",0,YEAR(TbRegistroEntradas[[#This Row],[Data do Caixa Realizado]]))</f>
        <v>2018</v>
      </c>
      <c r="K141" s="50">
        <f>IF(TbRegistroEntradas[[#This Row],[Data da Competência]]="",0,MONTH(TbRegistroEntradas[[#This Row],[Data da Competência]]))</f>
        <v>9</v>
      </c>
      <c r="L141" s="50">
        <f>IF(TbRegistroEntradas[[#This Row],[Data da Competência]]="",0,YEAR(TbRegistroEntradas[[#This Row],[Data da Competência]]))</f>
        <v>2018</v>
      </c>
      <c r="M141" s="156">
        <f>IF(TbRegistroEntradas[[#This Row],[Data do Caixa Previsto]]="",0,MONTH(TbRegistroEntradas[[#This Row],[Data do Caixa Previsto]]))</f>
        <v>10</v>
      </c>
      <c r="N141" s="156">
        <f>IF(TbRegistroEntradas[[#This Row],[Data do Caixa Previsto]]="",0,YEAR(TbRegistroEntradas[[#This Row],[Data do Caixa Previsto]]))</f>
        <v>2018</v>
      </c>
      <c r="O141" s="156" t="str">
        <f ca="1">IF(AND(TbRegistroEntradas[[#This Row],[Data do Caixa Previsto]]&lt;TODAY(),TbRegistroEntradas[[#This Row],[Data do Caixa Realizado]]=""),"Vencida","Não Vencida")</f>
        <v>Não Vencida</v>
      </c>
      <c r="P141" s="156" t="str">
        <f>IF(TbRegistroEntradas[[#This Row],[Data da Competência]]=TbRegistroEntradas[[#This Row],[Data do Caixa Previsto]],"Vista","Prazo")</f>
        <v>Prazo</v>
      </c>
      <c r="Q14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2" spans="2:17" x14ac:dyDescent="0.25">
      <c r="B142" s="154">
        <v>43412</v>
      </c>
      <c r="C142" s="154">
        <v>43361</v>
      </c>
      <c r="D142" s="154">
        <v>43412</v>
      </c>
      <c r="E142" s="50" t="s">
        <v>24</v>
      </c>
      <c r="F142" s="50" t="s">
        <v>31</v>
      </c>
      <c r="G142" s="50" t="s">
        <v>195</v>
      </c>
      <c r="H142" s="155">
        <v>2539</v>
      </c>
      <c r="I142" s="50">
        <f>IF(TbRegistroEntradas[[#This Row],[Data do Caixa Realizado]]="",0,MONTH(TbRegistroEntradas[[#This Row],[Data do Caixa Realizado]]))</f>
        <v>11</v>
      </c>
      <c r="J142" s="50">
        <f>IF(TbRegistroEntradas[[#This Row],[Data do Caixa Realizado]]="",0,YEAR(TbRegistroEntradas[[#This Row],[Data do Caixa Realizado]]))</f>
        <v>2018</v>
      </c>
      <c r="K142" s="50">
        <f>IF(TbRegistroEntradas[[#This Row],[Data da Competência]]="",0,MONTH(TbRegistroEntradas[[#This Row],[Data da Competência]]))</f>
        <v>9</v>
      </c>
      <c r="L142" s="50">
        <f>IF(TbRegistroEntradas[[#This Row],[Data da Competência]]="",0,YEAR(TbRegistroEntradas[[#This Row],[Data da Competência]]))</f>
        <v>2018</v>
      </c>
      <c r="M142" s="156">
        <f>IF(TbRegistroEntradas[[#This Row],[Data do Caixa Previsto]]="",0,MONTH(TbRegistroEntradas[[#This Row],[Data do Caixa Previsto]]))</f>
        <v>11</v>
      </c>
      <c r="N142" s="156">
        <f>IF(TbRegistroEntradas[[#This Row],[Data do Caixa Previsto]]="",0,YEAR(TbRegistroEntradas[[#This Row],[Data do Caixa Previsto]]))</f>
        <v>2018</v>
      </c>
      <c r="O142" s="156" t="str">
        <f ca="1">IF(AND(TbRegistroEntradas[[#This Row],[Data do Caixa Previsto]]&lt;TODAY(),TbRegistroEntradas[[#This Row],[Data do Caixa Realizado]]=""),"Vencida","Não Vencida")</f>
        <v>Não Vencida</v>
      </c>
      <c r="P142" s="156" t="str">
        <f>IF(TbRegistroEntradas[[#This Row],[Data da Competência]]=TbRegistroEntradas[[#This Row],[Data do Caixa Previsto]],"Vista","Prazo")</f>
        <v>Prazo</v>
      </c>
      <c r="Q14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3" spans="2:17" x14ac:dyDescent="0.25">
      <c r="B143" s="154">
        <v>43374</v>
      </c>
      <c r="C143" s="154">
        <v>43363</v>
      </c>
      <c r="D143" s="154">
        <v>43374</v>
      </c>
      <c r="E143" s="50" t="s">
        <v>24</v>
      </c>
      <c r="F143" s="50" t="s">
        <v>32</v>
      </c>
      <c r="G143" s="50" t="s">
        <v>196</v>
      </c>
      <c r="H143" s="155">
        <v>2895</v>
      </c>
      <c r="I143" s="50">
        <f>IF(TbRegistroEntradas[[#This Row],[Data do Caixa Realizado]]="",0,MONTH(TbRegistroEntradas[[#This Row],[Data do Caixa Realizado]]))</f>
        <v>10</v>
      </c>
      <c r="J143" s="50">
        <f>IF(TbRegistroEntradas[[#This Row],[Data do Caixa Realizado]]="",0,YEAR(TbRegistroEntradas[[#This Row],[Data do Caixa Realizado]]))</f>
        <v>2018</v>
      </c>
      <c r="K143" s="50">
        <f>IF(TbRegistroEntradas[[#This Row],[Data da Competência]]="",0,MONTH(TbRegistroEntradas[[#This Row],[Data da Competência]]))</f>
        <v>9</v>
      </c>
      <c r="L143" s="50">
        <f>IF(TbRegistroEntradas[[#This Row],[Data da Competência]]="",0,YEAR(TbRegistroEntradas[[#This Row],[Data da Competência]]))</f>
        <v>2018</v>
      </c>
      <c r="M143" s="156">
        <f>IF(TbRegistroEntradas[[#This Row],[Data do Caixa Previsto]]="",0,MONTH(TbRegistroEntradas[[#This Row],[Data do Caixa Previsto]]))</f>
        <v>10</v>
      </c>
      <c r="N143" s="156">
        <f>IF(TbRegistroEntradas[[#This Row],[Data do Caixa Previsto]]="",0,YEAR(TbRegistroEntradas[[#This Row],[Data do Caixa Previsto]]))</f>
        <v>2018</v>
      </c>
      <c r="O143" s="156" t="str">
        <f ca="1">IF(AND(TbRegistroEntradas[[#This Row],[Data do Caixa Previsto]]&lt;TODAY(),TbRegistroEntradas[[#This Row],[Data do Caixa Realizado]]=""),"Vencida","Não Vencida")</f>
        <v>Não Vencida</v>
      </c>
      <c r="P143" s="156" t="str">
        <f>IF(TbRegistroEntradas[[#This Row],[Data da Competência]]=TbRegistroEntradas[[#This Row],[Data do Caixa Previsto]],"Vista","Prazo")</f>
        <v>Prazo</v>
      </c>
      <c r="Q14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4" spans="2:17" x14ac:dyDescent="0.25">
      <c r="B144" s="154">
        <v>43422</v>
      </c>
      <c r="C144" s="154">
        <v>43364</v>
      </c>
      <c r="D144" s="154">
        <v>43364</v>
      </c>
      <c r="E144" s="50" t="s">
        <v>24</v>
      </c>
      <c r="F144" s="50" t="s">
        <v>33</v>
      </c>
      <c r="G144" s="50" t="s">
        <v>197</v>
      </c>
      <c r="H144" s="155">
        <v>2106</v>
      </c>
      <c r="I144" s="50">
        <f>IF(TbRegistroEntradas[[#This Row],[Data do Caixa Realizado]]="",0,MONTH(TbRegistroEntradas[[#This Row],[Data do Caixa Realizado]]))</f>
        <v>11</v>
      </c>
      <c r="J144" s="50">
        <f>IF(TbRegistroEntradas[[#This Row],[Data do Caixa Realizado]]="",0,YEAR(TbRegistroEntradas[[#This Row],[Data do Caixa Realizado]]))</f>
        <v>2018</v>
      </c>
      <c r="K144" s="50">
        <f>IF(TbRegistroEntradas[[#This Row],[Data da Competência]]="",0,MONTH(TbRegistroEntradas[[#This Row],[Data da Competência]]))</f>
        <v>9</v>
      </c>
      <c r="L144" s="50">
        <f>IF(TbRegistroEntradas[[#This Row],[Data da Competência]]="",0,YEAR(TbRegistroEntradas[[#This Row],[Data da Competência]]))</f>
        <v>2018</v>
      </c>
      <c r="M144" s="156">
        <f>IF(TbRegistroEntradas[[#This Row],[Data do Caixa Previsto]]="",0,MONTH(TbRegistroEntradas[[#This Row],[Data do Caixa Previsto]]))</f>
        <v>9</v>
      </c>
      <c r="N144" s="156">
        <f>IF(TbRegistroEntradas[[#This Row],[Data do Caixa Previsto]]="",0,YEAR(TbRegistroEntradas[[#This Row],[Data do Caixa Previsto]]))</f>
        <v>2018</v>
      </c>
      <c r="O144" s="156" t="str">
        <f ca="1">IF(AND(TbRegistroEntradas[[#This Row],[Data do Caixa Previsto]]&lt;TODAY(),TbRegistroEntradas[[#This Row],[Data do Caixa Realizado]]=""),"Vencida","Não Vencida")</f>
        <v>Não Vencida</v>
      </c>
      <c r="P144" s="156" t="str">
        <f>IF(TbRegistroEntradas[[#This Row],[Data da Competência]]=TbRegistroEntradas[[#This Row],[Data do Caixa Previsto]],"Vista","Prazo")</f>
        <v>Vista</v>
      </c>
      <c r="Q14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145" spans="2:17" x14ac:dyDescent="0.25">
      <c r="B145" s="154">
        <v>43405</v>
      </c>
      <c r="C145" s="154">
        <v>43366</v>
      </c>
      <c r="D145" s="154">
        <v>43405</v>
      </c>
      <c r="E145" s="50" t="s">
        <v>24</v>
      </c>
      <c r="F145" s="50" t="s">
        <v>32</v>
      </c>
      <c r="G145" s="50" t="s">
        <v>198</v>
      </c>
      <c r="H145" s="155">
        <v>3742</v>
      </c>
      <c r="I145" s="50">
        <f>IF(TbRegistroEntradas[[#This Row],[Data do Caixa Realizado]]="",0,MONTH(TbRegistroEntradas[[#This Row],[Data do Caixa Realizado]]))</f>
        <v>11</v>
      </c>
      <c r="J145" s="50">
        <f>IF(TbRegistroEntradas[[#This Row],[Data do Caixa Realizado]]="",0,YEAR(TbRegistroEntradas[[#This Row],[Data do Caixa Realizado]]))</f>
        <v>2018</v>
      </c>
      <c r="K145" s="50">
        <f>IF(TbRegistroEntradas[[#This Row],[Data da Competência]]="",0,MONTH(TbRegistroEntradas[[#This Row],[Data da Competência]]))</f>
        <v>9</v>
      </c>
      <c r="L145" s="50">
        <f>IF(TbRegistroEntradas[[#This Row],[Data da Competência]]="",0,YEAR(TbRegistroEntradas[[#This Row],[Data da Competência]]))</f>
        <v>2018</v>
      </c>
      <c r="M145" s="156">
        <f>IF(TbRegistroEntradas[[#This Row],[Data do Caixa Previsto]]="",0,MONTH(TbRegistroEntradas[[#This Row],[Data do Caixa Previsto]]))</f>
        <v>11</v>
      </c>
      <c r="N145" s="156">
        <f>IF(TbRegistroEntradas[[#This Row],[Data do Caixa Previsto]]="",0,YEAR(TbRegistroEntradas[[#This Row],[Data do Caixa Previsto]]))</f>
        <v>2018</v>
      </c>
      <c r="O145" s="156" t="str">
        <f ca="1">IF(AND(TbRegistroEntradas[[#This Row],[Data do Caixa Previsto]]&lt;TODAY(),TbRegistroEntradas[[#This Row],[Data do Caixa Realizado]]=""),"Vencida","Não Vencida")</f>
        <v>Não Vencida</v>
      </c>
      <c r="P145" s="156" t="str">
        <f>IF(TbRegistroEntradas[[#This Row],[Data da Competência]]=TbRegistroEntradas[[#This Row],[Data do Caixa Previsto]],"Vista","Prazo")</f>
        <v>Prazo</v>
      </c>
      <c r="Q14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6" spans="2:17" x14ac:dyDescent="0.25">
      <c r="B146" s="154">
        <v>43369</v>
      </c>
      <c r="C146" s="154">
        <v>43369</v>
      </c>
      <c r="D146" s="154">
        <v>43369</v>
      </c>
      <c r="E146" s="50" t="s">
        <v>24</v>
      </c>
      <c r="F146" s="50" t="s">
        <v>31</v>
      </c>
      <c r="G146" s="50" t="s">
        <v>199</v>
      </c>
      <c r="H146" s="155">
        <v>3222</v>
      </c>
      <c r="I146" s="50">
        <f>IF(TbRegistroEntradas[[#This Row],[Data do Caixa Realizado]]="",0,MONTH(TbRegistroEntradas[[#This Row],[Data do Caixa Realizado]]))</f>
        <v>9</v>
      </c>
      <c r="J146" s="50">
        <f>IF(TbRegistroEntradas[[#This Row],[Data do Caixa Realizado]]="",0,YEAR(TbRegistroEntradas[[#This Row],[Data do Caixa Realizado]]))</f>
        <v>2018</v>
      </c>
      <c r="K146" s="50">
        <f>IF(TbRegistroEntradas[[#This Row],[Data da Competência]]="",0,MONTH(TbRegistroEntradas[[#This Row],[Data da Competência]]))</f>
        <v>9</v>
      </c>
      <c r="L146" s="50">
        <f>IF(TbRegistroEntradas[[#This Row],[Data da Competência]]="",0,YEAR(TbRegistroEntradas[[#This Row],[Data da Competência]]))</f>
        <v>2018</v>
      </c>
      <c r="M146" s="156">
        <f>IF(TbRegistroEntradas[[#This Row],[Data do Caixa Previsto]]="",0,MONTH(TbRegistroEntradas[[#This Row],[Data do Caixa Previsto]]))</f>
        <v>9</v>
      </c>
      <c r="N146" s="156">
        <f>IF(TbRegistroEntradas[[#This Row],[Data do Caixa Previsto]]="",0,YEAR(TbRegistroEntradas[[#This Row],[Data do Caixa Previsto]]))</f>
        <v>2018</v>
      </c>
      <c r="O146" s="156" t="str">
        <f ca="1">IF(AND(TbRegistroEntradas[[#This Row],[Data do Caixa Previsto]]&lt;TODAY(),TbRegistroEntradas[[#This Row],[Data do Caixa Realizado]]=""),"Vencida","Não Vencida")</f>
        <v>Não Vencida</v>
      </c>
      <c r="P146" s="156" t="str">
        <f>IF(TbRegistroEntradas[[#This Row],[Data da Competência]]=TbRegistroEntradas[[#This Row],[Data do Caixa Previsto]],"Vista","Prazo")</f>
        <v>Vista</v>
      </c>
      <c r="Q14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7" spans="2:17" x14ac:dyDescent="0.25">
      <c r="B147" s="154">
        <v>43392</v>
      </c>
      <c r="C147" s="154">
        <v>43374</v>
      </c>
      <c r="D147" s="154">
        <v>43392</v>
      </c>
      <c r="E147" s="50" t="s">
        <v>24</v>
      </c>
      <c r="F147" s="50" t="s">
        <v>33</v>
      </c>
      <c r="G147" s="50" t="s">
        <v>200</v>
      </c>
      <c r="H147" s="155">
        <v>673</v>
      </c>
      <c r="I147" s="50">
        <f>IF(TbRegistroEntradas[[#This Row],[Data do Caixa Realizado]]="",0,MONTH(TbRegistroEntradas[[#This Row],[Data do Caixa Realizado]]))</f>
        <v>10</v>
      </c>
      <c r="J147" s="50">
        <f>IF(TbRegistroEntradas[[#This Row],[Data do Caixa Realizado]]="",0,YEAR(TbRegistroEntradas[[#This Row],[Data do Caixa Realizado]]))</f>
        <v>2018</v>
      </c>
      <c r="K147" s="50">
        <f>IF(TbRegistroEntradas[[#This Row],[Data da Competência]]="",0,MONTH(TbRegistroEntradas[[#This Row],[Data da Competência]]))</f>
        <v>10</v>
      </c>
      <c r="L147" s="50">
        <f>IF(TbRegistroEntradas[[#This Row],[Data da Competência]]="",0,YEAR(TbRegistroEntradas[[#This Row],[Data da Competência]]))</f>
        <v>2018</v>
      </c>
      <c r="M147" s="156">
        <f>IF(TbRegistroEntradas[[#This Row],[Data do Caixa Previsto]]="",0,MONTH(TbRegistroEntradas[[#This Row],[Data do Caixa Previsto]]))</f>
        <v>10</v>
      </c>
      <c r="N147" s="156">
        <f>IF(TbRegistroEntradas[[#This Row],[Data do Caixa Previsto]]="",0,YEAR(TbRegistroEntradas[[#This Row],[Data do Caixa Previsto]]))</f>
        <v>2018</v>
      </c>
      <c r="O147" s="156" t="str">
        <f ca="1">IF(AND(TbRegistroEntradas[[#This Row],[Data do Caixa Previsto]]&lt;TODAY(),TbRegistroEntradas[[#This Row],[Data do Caixa Realizado]]=""),"Vencida","Não Vencida")</f>
        <v>Não Vencida</v>
      </c>
      <c r="P147" s="156" t="str">
        <f>IF(TbRegistroEntradas[[#This Row],[Data da Competência]]=TbRegistroEntradas[[#This Row],[Data do Caixa Previsto]],"Vista","Prazo")</f>
        <v>Prazo</v>
      </c>
      <c r="Q14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8" spans="2:17" x14ac:dyDescent="0.25">
      <c r="B148" s="154">
        <v>43399</v>
      </c>
      <c r="C148" s="154">
        <v>43378</v>
      </c>
      <c r="D148" s="154">
        <v>43399</v>
      </c>
      <c r="E148" s="50" t="s">
        <v>24</v>
      </c>
      <c r="F148" s="50" t="s">
        <v>30</v>
      </c>
      <c r="G148" s="50" t="s">
        <v>201</v>
      </c>
      <c r="H148" s="155">
        <v>4922</v>
      </c>
      <c r="I148" s="50">
        <f>IF(TbRegistroEntradas[[#This Row],[Data do Caixa Realizado]]="",0,MONTH(TbRegistroEntradas[[#This Row],[Data do Caixa Realizado]]))</f>
        <v>10</v>
      </c>
      <c r="J148" s="50">
        <f>IF(TbRegistroEntradas[[#This Row],[Data do Caixa Realizado]]="",0,YEAR(TbRegistroEntradas[[#This Row],[Data do Caixa Realizado]]))</f>
        <v>2018</v>
      </c>
      <c r="K148" s="50">
        <f>IF(TbRegistroEntradas[[#This Row],[Data da Competência]]="",0,MONTH(TbRegistroEntradas[[#This Row],[Data da Competência]]))</f>
        <v>10</v>
      </c>
      <c r="L148" s="50">
        <f>IF(TbRegistroEntradas[[#This Row],[Data da Competência]]="",0,YEAR(TbRegistroEntradas[[#This Row],[Data da Competência]]))</f>
        <v>2018</v>
      </c>
      <c r="M148" s="156">
        <f>IF(TbRegistroEntradas[[#This Row],[Data do Caixa Previsto]]="",0,MONTH(TbRegistroEntradas[[#This Row],[Data do Caixa Previsto]]))</f>
        <v>10</v>
      </c>
      <c r="N148" s="156">
        <f>IF(TbRegistroEntradas[[#This Row],[Data do Caixa Previsto]]="",0,YEAR(TbRegistroEntradas[[#This Row],[Data do Caixa Previsto]]))</f>
        <v>2018</v>
      </c>
      <c r="O148" s="156" t="str">
        <f ca="1">IF(AND(TbRegistroEntradas[[#This Row],[Data do Caixa Previsto]]&lt;TODAY(),TbRegistroEntradas[[#This Row],[Data do Caixa Realizado]]=""),"Vencida","Não Vencida")</f>
        <v>Não Vencida</v>
      </c>
      <c r="P148" s="156" t="str">
        <f>IF(TbRegistroEntradas[[#This Row],[Data da Competência]]=TbRegistroEntradas[[#This Row],[Data do Caixa Previsto]],"Vista","Prazo")</f>
        <v>Prazo</v>
      </c>
      <c r="Q14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9" spans="2:17" x14ac:dyDescent="0.25">
      <c r="B149" s="154">
        <v>43432</v>
      </c>
      <c r="C149" s="154">
        <v>43382</v>
      </c>
      <c r="D149" s="154">
        <v>43432</v>
      </c>
      <c r="E149" s="50" t="s">
        <v>24</v>
      </c>
      <c r="F149" s="50" t="s">
        <v>34</v>
      </c>
      <c r="G149" s="50" t="s">
        <v>202</v>
      </c>
      <c r="H149" s="155">
        <v>1688</v>
      </c>
      <c r="I149" s="50">
        <f>IF(TbRegistroEntradas[[#This Row],[Data do Caixa Realizado]]="",0,MONTH(TbRegistroEntradas[[#This Row],[Data do Caixa Realizado]]))</f>
        <v>11</v>
      </c>
      <c r="J149" s="50">
        <f>IF(TbRegistroEntradas[[#This Row],[Data do Caixa Realizado]]="",0,YEAR(TbRegistroEntradas[[#This Row],[Data do Caixa Realizado]]))</f>
        <v>2018</v>
      </c>
      <c r="K149" s="50">
        <f>IF(TbRegistroEntradas[[#This Row],[Data da Competência]]="",0,MONTH(TbRegistroEntradas[[#This Row],[Data da Competência]]))</f>
        <v>10</v>
      </c>
      <c r="L149" s="50">
        <f>IF(TbRegistroEntradas[[#This Row],[Data da Competência]]="",0,YEAR(TbRegistroEntradas[[#This Row],[Data da Competência]]))</f>
        <v>2018</v>
      </c>
      <c r="M149" s="156">
        <f>IF(TbRegistroEntradas[[#This Row],[Data do Caixa Previsto]]="",0,MONTH(TbRegistroEntradas[[#This Row],[Data do Caixa Previsto]]))</f>
        <v>11</v>
      </c>
      <c r="N149" s="156">
        <f>IF(TbRegistroEntradas[[#This Row],[Data do Caixa Previsto]]="",0,YEAR(TbRegistroEntradas[[#This Row],[Data do Caixa Previsto]]))</f>
        <v>2018</v>
      </c>
      <c r="O149" s="156" t="str">
        <f ca="1">IF(AND(TbRegistroEntradas[[#This Row],[Data do Caixa Previsto]]&lt;TODAY(),TbRegistroEntradas[[#This Row],[Data do Caixa Realizado]]=""),"Vencida","Não Vencida")</f>
        <v>Não Vencida</v>
      </c>
      <c r="P149" s="156" t="str">
        <f>IF(TbRegistroEntradas[[#This Row],[Data da Competência]]=TbRegistroEntradas[[#This Row],[Data do Caixa Previsto]],"Vista","Prazo")</f>
        <v>Prazo</v>
      </c>
      <c r="Q14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0" spans="2:17" x14ac:dyDescent="0.25">
      <c r="B150" s="154">
        <v>43382</v>
      </c>
      <c r="C150" s="154">
        <v>43382</v>
      </c>
      <c r="D150" s="154">
        <v>43382</v>
      </c>
      <c r="E150" s="50" t="s">
        <v>24</v>
      </c>
      <c r="F150" s="50" t="s">
        <v>34</v>
      </c>
      <c r="G150" s="50" t="s">
        <v>203</v>
      </c>
      <c r="H150" s="155">
        <v>979</v>
      </c>
      <c r="I150" s="50">
        <f>IF(TbRegistroEntradas[[#This Row],[Data do Caixa Realizado]]="",0,MONTH(TbRegistroEntradas[[#This Row],[Data do Caixa Realizado]]))</f>
        <v>10</v>
      </c>
      <c r="J150" s="50">
        <f>IF(TbRegistroEntradas[[#This Row],[Data do Caixa Realizado]]="",0,YEAR(TbRegistroEntradas[[#This Row],[Data do Caixa Realizado]]))</f>
        <v>2018</v>
      </c>
      <c r="K150" s="50">
        <f>IF(TbRegistroEntradas[[#This Row],[Data da Competência]]="",0,MONTH(TbRegistroEntradas[[#This Row],[Data da Competência]]))</f>
        <v>10</v>
      </c>
      <c r="L150" s="50">
        <f>IF(TbRegistroEntradas[[#This Row],[Data da Competência]]="",0,YEAR(TbRegistroEntradas[[#This Row],[Data da Competência]]))</f>
        <v>2018</v>
      </c>
      <c r="M150" s="156">
        <f>IF(TbRegistroEntradas[[#This Row],[Data do Caixa Previsto]]="",0,MONTH(TbRegistroEntradas[[#This Row],[Data do Caixa Previsto]]))</f>
        <v>10</v>
      </c>
      <c r="N150" s="156">
        <f>IF(TbRegistroEntradas[[#This Row],[Data do Caixa Previsto]]="",0,YEAR(TbRegistroEntradas[[#This Row],[Data do Caixa Previsto]]))</f>
        <v>2018</v>
      </c>
      <c r="O150" s="156" t="str">
        <f ca="1">IF(AND(TbRegistroEntradas[[#This Row],[Data do Caixa Previsto]]&lt;TODAY(),TbRegistroEntradas[[#This Row],[Data do Caixa Realizado]]=""),"Vencida","Não Vencida")</f>
        <v>Não Vencida</v>
      </c>
      <c r="P150" s="156" t="str">
        <f>IF(TbRegistroEntradas[[#This Row],[Data da Competência]]=TbRegistroEntradas[[#This Row],[Data do Caixa Previsto]],"Vista","Prazo")</f>
        <v>Vista</v>
      </c>
      <c r="Q15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1" spans="2:17" x14ac:dyDescent="0.25">
      <c r="B151" s="154">
        <v>43400</v>
      </c>
      <c r="C151" s="154">
        <v>43387</v>
      </c>
      <c r="D151" s="154">
        <v>43400</v>
      </c>
      <c r="E151" s="50" t="s">
        <v>24</v>
      </c>
      <c r="F151" s="50" t="s">
        <v>33</v>
      </c>
      <c r="G151" s="50" t="s">
        <v>204</v>
      </c>
      <c r="H151" s="155">
        <v>3744</v>
      </c>
      <c r="I151" s="50">
        <f>IF(TbRegistroEntradas[[#This Row],[Data do Caixa Realizado]]="",0,MONTH(TbRegistroEntradas[[#This Row],[Data do Caixa Realizado]]))</f>
        <v>10</v>
      </c>
      <c r="J151" s="50">
        <f>IF(TbRegistroEntradas[[#This Row],[Data do Caixa Realizado]]="",0,YEAR(TbRegistroEntradas[[#This Row],[Data do Caixa Realizado]]))</f>
        <v>2018</v>
      </c>
      <c r="K151" s="50">
        <f>IF(TbRegistroEntradas[[#This Row],[Data da Competência]]="",0,MONTH(TbRegistroEntradas[[#This Row],[Data da Competência]]))</f>
        <v>10</v>
      </c>
      <c r="L151" s="50">
        <f>IF(TbRegistroEntradas[[#This Row],[Data da Competência]]="",0,YEAR(TbRegistroEntradas[[#This Row],[Data da Competência]]))</f>
        <v>2018</v>
      </c>
      <c r="M151" s="156">
        <f>IF(TbRegistroEntradas[[#This Row],[Data do Caixa Previsto]]="",0,MONTH(TbRegistroEntradas[[#This Row],[Data do Caixa Previsto]]))</f>
        <v>10</v>
      </c>
      <c r="N151" s="156">
        <f>IF(TbRegistroEntradas[[#This Row],[Data do Caixa Previsto]]="",0,YEAR(TbRegistroEntradas[[#This Row],[Data do Caixa Previsto]]))</f>
        <v>2018</v>
      </c>
      <c r="O151" s="156" t="str">
        <f ca="1">IF(AND(TbRegistroEntradas[[#This Row],[Data do Caixa Previsto]]&lt;TODAY(),TbRegistroEntradas[[#This Row],[Data do Caixa Realizado]]=""),"Vencida","Não Vencida")</f>
        <v>Não Vencida</v>
      </c>
      <c r="P151" s="156" t="str">
        <f>IF(TbRegistroEntradas[[#This Row],[Data da Competência]]=TbRegistroEntradas[[#This Row],[Data do Caixa Previsto]],"Vista","Prazo")</f>
        <v>Prazo</v>
      </c>
      <c r="Q15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2" spans="2:17" x14ac:dyDescent="0.25">
      <c r="B152" s="154" t="s">
        <v>67</v>
      </c>
      <c r="C152" s="154">
        <v>43389</v>
      </c>
      <c r="D152" s="154">
        <v>43438</v>
      </c>
      <c r="E152" s="50" t="s">
        <v>24</v>
      </c>
      <c r="F152" s="50" t="s">
        <v>34</v>
      </c>
      <c r="G152" s="50" t="s">
        <v>205</v>
      </c>
      <c r="H152" s="155">
        <v>4061</v>
      </c>
      <c r="I152" s="50">
        <f>IF(TbRegistroEntradas[[#This Row],[Data do Caixa Realizado]]="",0,MONTH(TbRegistroEntradas[[#This Row],[Data do Caixa Realizado]]))</f>
        <v>0</v>
      </c>
      <c r="J152" s="50">
        <f>IF(TbRegistroEntradas[[#This Row],[Data do Caixa Realizado]]="",0,YEAR(TbRegistroEntradas[[#This Row],[Data do Caixa Realizado]]))</f>
        <v>0</v>
      </c>
      <c r="K152" s="50">
        <f>IF(TbRegistroEntradas[[#This Row],[Data da Competência]]="",0,MONTH(TbRegistroEntradas[[#This Row],[Data da Competência]]))</f>
        <v>10</v>
      </c>
      <c r="L152" s="50">
        <f>IF(TbRegistroEntradas[[#This Row],[Data da Competência]]="",0,YEAR(TbRegistroEntradas[[#This Row],[Data da Competência]]))</f>
        <v>2018</v>
      </c>
      <c r="M152" s="156">
        <f>IF(TbRegistroEntradas[[#This Row],[Data do Caixa Previsto]]="",0,MONTH(TbRegistroEntradas[[#This Row],[Data do Caixa Previsto]]))</f>
        <v>12</v>
      </c>
      <c r="N152" s="156">
        <f>IF(TbRegistroEntradas[[#This Row],[Data do Caixa Previsto]]="",0,YEAR(TbRegistroEntradas[[#This Row],[Data do Caixa Previsto]]))</f>
        <v>2018</v>
      </c>
      <c r="O152" s="156" t="str">
        <f ca="1">IF(AND(TbRegistroEntradas[[#This Row],[Data do Caixa Previsto]]&lt;TODAY(),TbRegistroEntradas[[#This Row],[Data do Caixa Realizado]]=""),"Vencida","Não Vencida")</f>
        <v>Vencida</v>
      </c>
      <c r="P152" s="156" t="str">
        <f>IF(TbRegistroEntradas[[#This Row],[Data da Competência]]=TbRegistroEntradas[[#This Row],[Data do Caixa Previsto]],"Vista","Prazo")</f>
        <v>Prazo</v>
      </c>
      <c r="Q15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508</v>
      </c>
    </row>
    <row r="153" spans="2:17" x14ac:dyDescent="0.25">
      <c r="B153" s="154">
        <v>43435</v>
      </c>
      <c r="C153" s="154">
        <v>43394</v>
      </c>
      <c r="D153" s="154">
        <v>43435</v>
      </c>
      <c r="E153" s="50" t="s">
        <v>24</v>
      </c>
      <c r="F153" s="50" t="s">
        <v>31</v>
      </c>
      <c r="G153" s="50" t="s">
        <v>206</v>
      </c>
      <c r="H153" s="155">
        <v>4404</v>
      </c>
      <c r="I153" s="50">
        <f>IF(TbRegistroEntradas[[#This Row],[Data do Caixa Realizado]]="",0,MONTH(TbRegistroEntradas[[#This Row],[Data do Caixa Realizado]]))</f>
        <v>12</v>
      </c>
      <c r="J153" s="50">
        <f>IF(TbRegistroEntradas[[#This Row],[Data do Caixa Realizado]]="",0,YEAR(TbRegistroEntradas[[#This Row],[Data do Caixa Realizado]]))</f>
        <v>2018</v>
      </c>
      <c r="K153" s="50">
        <f>IF(TbRegistroEntradas[[#This Row],[Data da Competência]]="",0,MONTH(TbRegistroEntradas[[#This Row],[Data da Competência]]))</f>
        <v>10</v>
      </c>
      <c r="L153" s="50">
        <f>IF(TbRegistroEntradas[[#This Row],[Data da Competência]]="",0,YEAR(TbRegistroEntradas[[#This Row],[Data da Competência]]))</f>
        <v>2018</v>
      </c>
      <c r="M153" s="156">
        <f>IF(TbRegistroEntradas[[#This Row],[Data do Caixa Previsto]]="",0,MONTH(TbRegistroEntradas[[#This Row],[Data do Caixa Previsto]]))</f>
        <v>12</v>
      </c>
      <c r="N153" s="156">
        <f>IF(TbRegistroEntradas[[#This Row],[Data do Caixa Previsto]]="",0,YEAR(TbRegistroEntradas[[#This Row],[Data do Caixa Previsto]]))</f>
        <v>2018</v>
      </c>
      <c r="O153" s="156" t="str">
        <f ca="1">IF(AND(TbRegistroEntradas[[#This Row],[Data do Caixa Previsto]]&lt;TODAY(),TbRegistroEntradas[[#This Row],[Data do Caixa Realizado]]=""),"Vencida","Não Vencida")</f>
        <v>Não Vencida</v>
      </c>
      <c r="P153" s="156" t="str">
        <f>IF(TbRegistroEntradas[[#This Row],[Data da Competência]]=TbRegistroEntradas[[#This Row],[Data do Caixa Previsto]],"Vista","Prazo")</f>
        <v>Prazo</v>
      </c>
      <c r="Q15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4" spans="2:17" x14ac:dyDescent="0.25">
      <c r="B154" s="154">
        <v>43424</v>
      </c>
      <c r="C154" s="154">
        <v>43398</v>
      </c>
      <c r="D154" s="154">
        <v>43419</v>
      </c>
      <c r="E154" s="50" t="s">
        <v>24</v>
      </c>
      <c r="F154" s="50" t="s">
        <v>33</v>
      </c>
      <c r="G154" s="50" t="s">
        <v>207</v>
      </c>
      <c r="H154" s="155">
        <v>2429</v>
      </c>
      <c r="I154" s="50">
        <f>IF(TbRegistroEntradas[[#This Row],[Data do Caixa Realizado]]="",0,MONTH(TbRegistroEntradas[[#This Row],[Data do Caixa Realizado]]))</f>
        <v>11</v>
      </c>
      <c r="J154" s="50">
        <f>IF(TbRegistroEntradas[[#This Row],[Data do Caixa Realizado]]="",0,YEAR(TbRegistroEntradas[[#This Row],[Data do Caixa Realizado]]))</f>
        <v>2018</v>
      </c>
      <c r="K154" s="50">
        <f>IF(TbRegistroEntradas[[#This Row],[Data da Competência]]="",0,MONTH(TbRegistroEntradas[[#This Row],[Data da Competência]]))</f>
        <v>10</v>
      </c>
      <c r="L154" s="50">
        <f>IF(TbRegistroEntradas[[#This Row],[Data da Competência]]="",0,YEAR(TbRegistroEntradas[[#This Row],[Data da Competência]]))</f>
        <v>2018</v>
      </c>
      <c r="M154" s="156">
        <f>IF(TbRegistroEntradas[[#This Row],[Data do Caixa Previsto]]="",0,MONTH(TbRegistroEntradas[[#This Row],[Data do Caixa Previsto]]))</f>
        <v>11</v>
      </c>
      <c r="N154" s="156">
        <f>IF(TbRegistroEntradas[[#This Row],[Data do Caixa Previsto]]="",0,YEAR(TbRegistroEntradas[[#This Row],[Data do Caixa Previsto]]))</f>
        <v>2018</v>
      </c>
      <c r="O154" s="156" t="str">
        <f ca="1">IF(AND(TbRegistroEntradas[[#This Row],[Data do Caixa Previsto]]&lt;TODAY(),TbRegistroEntradas[[#This Row],[Data do Caixa Realizado]]=""),"Vencida","Não Vencida")</f>
        <v>Não Vencida</v>
      </c>
      <c r="P154" s="156" t="str">
        <f>IF(TbRegistroEntradas[[#This Row],[Data da Competência]]=TbRegistroEntradas[[#This Row],[Data do Caixa Previsto]],"Vista","Prazo")</f>
        <v>Prazo</v>
      </c>
      <c r="Q15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</v>
      </c>
    </row>
    <row r="155" spans="2:17" x14ac:dyDescent="0.25">
      <c r="B155" s="154">
        <v>43398</v>
      </c>
      <c r="C155" s="154">
        <v>43398</v>
      </c>
      <c r="D155" s="154">
        <v>43398</v>
      </c>
      <c r="E155" s="50" t="s">
        <v>24</v>
      </c>
      <c r="F155" s="50" t="s">
        <v>31</v>
      </c>
      <c r="G155" s="50" t="s">
        <v>208</v>
      </c>
      <c r="H155" s="155">
        <v>2713</v>
      </c>
      <c r="I155" s="50">
        <f>IF(TbRegistroEntradas[[#This Row],[Data do Caixa Realizado]]="",0,MONTH(TbRegistroEntradas[[#This Row],[Data do Caixa Realizado]]))</f>
        <v>10</v>
      </c>
      <c r="J155" s="50">
        <f>IF(TbRegistroEntradas[[#This Row],[Data do Caixa Realizado]]="",0,YEAR(TbRegistroEntradas[[#This Row],[Data do Caixa Realizado]]))</f>
        <v>2018</v>
      </c>
      <c r="K155" s="50">
        <f>IF(TbRegistroEntradas[[#This Row],[Data da Competência]]="",0,MONTH(TbRegistroEntradas[[#This Row],[Data da Competência]]))</f>
        <v>10</v>
      </c>
      <c r="L155" s="50">
        <f>IF(TbRegistroEntradas[[#This Row],[Data da Competência]]="",0,YEAR(TbRegistroEntradas[[#This Row],[Data da Competência]]))</f>
        <v>2018</v>
      </c>
      <c r="M155" s="156">
        <f>IF(TbRegistroEntradas[[#This Row],[Data do Caixa Previsto]]="",0,MONTH(TbRegistroEntradas[[#This Row],[Data do Caixa Previsto]]))</f>
        <v>10</v>
      </c>
      <c r="N155" s="156">
        <f>IF(TbRegistroEntradas[[#This Row],[Data do Caixa Previsto]]="",0,YEAR(TbRegistroEntradas[[#This Row],[Data do Caixa Previsto]]))</f>
        <v>2018</v>
      </c>
      <c r="O155" s="156" t="str">
        <f ca="1">IF(AND(TbRegistroEntradas[[#This Row],[Data do Caixa Previsto]]&lt;TODAY(),TbRegistroEntradas[[#This Row],[Data do Caixa Realizado]]=""),"Vencida","Não Vencida")</f>
        <v>Não Vencida</v>
      </c>
      <c r="P155" s="156" t="str">
        <f>IF(TbRegistroEntradas[[#This Row],[Data da Competência]]=TbRegistroEntradas[[#This Row],[Data do Caixa Previsto]],"Vista","Prazo")</f>
        <v>Vista</v>
      </c>
      <c r="Q15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6" spans="2:17" x14ac:dyDescent="0.25">
      <c r="B156" s="154" t="s">
        <v>67</v>
      </c>
      <c r="C156" s="154">
        <v>43403</v>
      </c>
      <c r="D156" s="154">
        <v>43403</v>
      </c>
      <c r="E156" s="50" t="s">
        <v>24</v>
      </c>
      <c r="F156" s="50" t="s">
        <v>33</v>
      </c>
      <c r="G156" s="50" t="s">
        <v>209</v>
      </c>
      <c r="H156" s="155">
        <v>3787</v>
      </c>
      <c r="I156" s="50">
        <f>IF(TbRegistroEntradas[[#This Row],[Data do Caixa Realizado]]="",0,MONTH(TbRegistroEntradas[[#This Row],[Data do Caixa Realizado]]))</f>
        <v>0</v>
      </c>
      <c r="J156" s="50">
        <f>IF(TbRegistroEntradas[[#This Row],[Data do Caixa Realizado]]="",0,YEAR(TbRegistroEntradas[[#This Row],[Data do Caixa Realizado]]))</f>
        <v>0</v>
      </c>
      <c r="K156" s="50">
        <f>IF(TbRegistroEntradas[[#This Row],[Data da Competência]]="",0,MONTH(TbRegistroEntradas[[#This Row],[Data da Competência]]))</f>
        <v>10</v>
      </c>
      <c r="L156" s="50">
        <f>IF(TbRegistroEntradas[[#This Row],[Data da Competência]]="",0,YEAR(TbRegistroEntradas[[#This Row],[Data da Competência]]))</f>
        <v>2018</v>
      </c>
      <c r="M156" s="156">
        <f>IF(TbRegistroEntradas[[#This Row],[Data do Caixa Previsto]]="",0,MONTH(TbRegistroEntradas[[#This Row],[Data do Caixa Previsto]]))</f>
        <v>10</v>
      </c>
      <c r="N156" s="156">
        <f>IF(TbRegistroEntradas[[#This Row],[Data do Caixa Previsto]]="",0,YEAR(TbRegistroEntradas[[#This Row],[Data do Caixa Previsto]]))</f>
        <v>2018</v>
      </c>
      <c r="O156" s="156" t="str">
        <f ca="1">IF(AND(TbRegistroEntradas[[#This Row],[Data do Caixa Previsto]]&lt;TODAY(),TbRegistroEntradas[[#This Row],[Data do Caixa Realizado]]=""),"Vencida","Não Vencida")</f>
        <v>Vencida</v>
      </c>
      <c r="P156" s="156" t="str">
        <f>IF(TbRegistroEntradas[[#This Row],[Data da Competência]]=TbRegistroEntradas[[#This Row],[Data do Caixa Previsto]],"Vista","Prazo")</f>
        <v>Vista</v>
      </c>
      <c r="Q15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543</v>
      </c>
    </row>
    <row r="157" spans="2:17" x14ac:dyDescent="0.25">
      <c r="B157" s="154">
        <v>43442</v>
      </c>
      <c r="C157" s="154">
        <v>43408</v>
      </c>
      <c r="D157" s="154">
        <v>43442</v>
      </c>
      <c r="E157" s="50" t="s">
        <v>24</v>
      </c>
      <c r="F157" s="50" t="s">
        <v>32</v>
      </c>
      <c r="G157" s="50" t="s">
        <v>210</v>
      </c>
      <c r="H157" s="155">
        <v>1820</v>
      </c>
      <c r="I157" s="50">
        <f>IF(TbRegistroEntradas[[#This Row],[Data do Caixa Realizado]]="",0,MONTH(TbRegistroEntradas[[#This Row],[Data do Caixa Realizado]]))</f>
        <v>12</v>
      </c>
      <c r="J157" s="50">
        <f>IF(TbRegistroEntradas[[#This Row],[Data do Caixa Realizado]]="",0,YEAR(TbRegistroEntradas[[#This Row],[Data do Caixa Realizado]]))</f>
        <v>2018</v>
      </c>
      <c r="K157" s="50">
        <f>IF(TbRegistroEntradas[[#This Row],[Data da Competência]]="",0,MONTH(TbRegistroEntradas[[#This Row],[Data da Competência]]))</f>
        <v>11</v>
      </c>
      <c r="L157" s="50">
        <f>IF(TbRegistroEntradas[[#This Row],[Data da Competência]]="",0,YEAR(TbRegistroEntradas[[#This Row],[Data da Competência]]))</f>
        <v>2018</v>
      </c>
      <c r="M157" s="156">
        <f>IF(TbRegistroEntradas[[#This Row],[Data do Caixa Previsto]]="",0,MONTH(TbRegistroEntradas[[#This Row],[Data do Caixa Previsto]]))</f>
        <v>12</v>
      </c>
      <c r="N157" s="156">
        <f>IF(TbRegistroEntradas[[#This Row],[Data do Caixa Previsto]]="",0,YEAR(TbRegistroEntradas[[#This Row],[Data do Caixa Previsto]]))</f>
        <v>2018</v>
      </c>
      <c r="O157" s="156" t="str">
        <f ca="1">IF(AND(TbRegistroEntradas[[#This Row],[Data do Caixa Previsto]]&lt;TODAY(),TbRegistroEntradas[[#This Row],[Data do Caixa Realizado]]=""),"Vencida","Não Vencida")</f>
        <v>Não Vencida</v>
      </c>
      <c r="P157" s="156" t="str">
        <f>IF(TbRegistroEntradas[[#This Row],[Data da Competência]]=TbRegistroEntradas[[#This Row],[Data do Caixa Previsto]],"Vista","Prazo")</f>
        <v>Prazo</v>
      </c>
      <c r="Q15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8" spans="2:17" x14ac:dyDescent="0.25">
      <c r="B158" s="154">
        <v>43431</v>
      </c>
      <c r="C158" s="154">
        <v>43412</v>
      </c>
      <c r="D158" s="154">
        <v>43431</v>
      </c>
      <c r="E158" s="50" t="s">
        <v>24</v>
      </c>
      <c r="F158" s="50" t="s">
        <v>33</v>
      </c>
      <c r="G158" s="50" t="s">
        <v>211</v>
      </c>
      <c r="H158" s="155">
        <v>4135</v>
      </c>
      <c r="I158" s="50">
        <f>IF(TbRegistroEntradas[[#This Row],[Data do Caixa Realizado]]="",0,MONTH(TbRegistroEntradas[[#This Row],[Data do Caixa Realizado]]))</f>
        <v>11</v>
      </c>
      <c r="J158" s="50">
        <f>IF(TbRegistroEntradas[[#This Row],[Data do Caixa Realizado]]="",0,YEAR(TbRegistroEntradas[[#This Row],[Data do Caixa Realizado]]))</f>
        <v>2018</v>
      </c>
      <c r="K158" s="50">
        <f>IF(TbRegistroEntradas[[#This Row],[Data da Competência]]="",0,MONTH(TbRegistroEntradas[[#This Row],[Data da Competência]]))</f>
        <v>11</v>
      </c>
      <c r="L158" s="50">
        <f>IF(TbRegistroEntradas[[#This Row],[Data da Competência]]="",0,YEAR(TbRegistroEntradas[[#This Row],[Data da Competência]]))</f>
        <v>2018</v>
      </c>
      <c r="M158" s="156">
        <f>IF(TbRegistroEntradas[[#This Row],[Data do Caixa Previsto]]="",0,MONTH(TbRegistroEntradas[[#This Row],[Data do Caixa Previsto]]))</f>
        <v>11</v>
      </c>
      <c r="N158" s="156">
        <f>IF(TbRegistroEntradas[[#This Row],[Data do Caixa Previsto]]="",0,YEAR(TbRegistroEntradas[[#This Row],[Data do Caixa Previsto]]))</f>
        <v>2018</v>
      </c>
      <c r="O158" s="156" t="str">
        <f ca="1">IF(AND(TbRegistroEntradas[[#This Row],[Data do Caixa Previsto]]&lt;TODAY(),TbRegistroEntradas[[#This Row],[Data do Caixa Realizado]]=""),"Vencida","Não Vencida")</f>
        <v>Não Vencida</v>
      </c>
      <c r="P158" s="156" t="str">
        <f>IF(TbRegistroEntradas[[#This Row],[Data da Competência]]=TbRegistroEntradas[[#This Row],[Data do Caixa Previsto]],"Vista","Prazo")</f>
        <v>Prazo</v>
      </c>
      <c r="Q15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9" spans="2:17" x14ac:dyDescent="0.25">
      <c r="B159" s="154">
        <v>43421</v>
      </c>
      <c r="C159" s="154">
        <v>43415</v>
      </c>
      <c r="D159" s="154">
        <v>43421</v>
      </c>
      <c r="E159" s="50" t="s">
        <v>24</v>
      </c>
      <c r="F159" s="50" t="s">
        <v>33</v>
      </c>
      <c r="G159" s="50" t="s">
        <v>212</v>
      </c>
      <c r="H159" s="155">
        <v>3902</v>
      </c>
      <c r="I159" s="50">
        <f>IF(TbRegistroEntradas[[#This Row],[Data do Caixa Realizado]]="",0,MONTH(TbRegistroEntradas[[#This Row],[Data do Caixa Realizado]]))</f>
        <v>11</v>
      </c>
      <c r="J159" s="50">
        <f>IF(TbRegistroEntradas[[#This Row],[Data do Caixa Realizado]]="",0,YEAR(TbRegistroEntradas[[#This Row],[Data do Caixa Realizado]]))</f>
        <v>2018</v>
      </c>
      <c r="K159" s="50">
        <f>IF(TbRegistroEntradas[[#This Row],[Data da Competência]]="",0,MONTH(TbRegistroEntradas[[#This Row],[Data da Competência]]))</f>
        <v>11</v>
      </c>
      <c r="L159" s="50">
        <f>IF(TbRegistroEntradas[[#This Row],[Data da Competência]]="",0,YEAR(TbRegistroEntradas[[#This Row],[Data da Competência]]))</f>
        <v>2018</v>
      </c>
      <c r="M159" s="156">
        <f>IF(TbRegistroEntradas[[#This Row],[Data do Caixa Previsto]]="",0,MONTH(TbRegistroEntradas[[#This Row],[Data do Caixa Previsto]]))</f>
        <v>11</v>
      </c>
      <c r="N159" s="156">
        <f>IF(TbRegistroEntradas[[#This Row],[Data do Caixa Previsto]]="",0,YEAR(TbRegistroEntradas[[#This Row],[Data do Caixa Previsto]]))</f>
        <v>2018</v>
      </c>
      <c r="O159" s="156" t="str">
        <f ca="1">IF(AND(TbRegistroEntradas[[#This Row],[Data do Caixa Previsto]]&lt;TODAY(),TbRegistroEntradas[[#This Row],[Data do Caixa Realizado]]=""),"Vencida","Não Vencida")</f>
        <v>Não Vencida</v>
      </c>
      <c r="P159" s="156" t="str">
        <f>IF(TbRegistroEntradas[[#This Row],[Data da Competência]]=TbRegistroEntradas[[#This Row],[Data do Caixa Previsto]],"Vista","Prazo")</f>
        <v>Prazo</v>
      </c>
      <c r="Q15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0" spans="2:17" x14ac:dyDescent="0.25">
      <c r="B160" s="154">
        <v>43418</v>
      </c>
      <c r="C160" s="154">
        <v>43418</v>
      </c>
      <c r="D160" s="154">
        <v>43418</v>
      </c>
      <c r="E160" s="50" t="s">
        <v>24</v>
      </c>
      <c r="F160" s="50" t="s">
        <v>33</v>
      </c>
      <c r="G160" s="50" t="s">
        <v>213</v>
      </c>
      <c r="H160" s="155">
        <v>4319</v>
      </c>
      <c r="I160" s="50">
        <f>IF(TbRegistroEntradas[[#This Row],[Data do Caixa Realizado]]="",0,MONTH(TbRegistroEntradas[[#This Row],[Data do Caixa Realizado]]))</f>
        <v>11</v>
      </c>
      <c r="J160" s="50">
        <f>IF(TbRegistroEntradas[[#This Row],[Data do Caixa Realizado]]="",0,YEAR(TbRegistroEntradas[[#This Row],[Data do Caixa Realizado]]))</f>
        <v>2018</v>
      </c>
      <c r="K160" s="50">
        <f>IF(TbRegistroEntradas[[#This Row],[Data da Competência]]="",0,MONTH(TbRegistroEntradas[[#This Row],[Data da Competência]]))</f>
        <v>11</v>
      </c>
      <c r="L160" s="50">
        <f>IF(TbRegistroEntradas[[#This Row],[Data da Competência]]="",0,YEAR(TbRegistroEntradas[[#This Row],[Data da Competência]]))</f>
        <v>2018</v>
      </c>
      <c r="M160" s="156">
        <f>IF(TbRegistroEntradas[[#This Row],[Data do Caixa Previsto]]="",0,MONTH(TbRegistroEntradas[[#This Row],[Data do Caixa Previsto]]))</f>
        <v>11</v>
      </c>
      <c r="N160" s="156">
        <f>IF(TbRegistroEntradas[[#This Row],[Data do Caixa Previsto]]="",0,YEAR(TbRegistroEntradas[[#This Row],[Data do Caixa Previsto]]))</f>
        <v>2018</v>
      </c>
      <c r="O160" s="156" t="str">
        <f ca="1">IF(AND(TbRegistroEntradas[[#This Row],[Data do Caixa Previsto]]&lt;TODAY(),TbRegistroEntradas[[#This Row],[Data do Caixa Realizado]]=""),"Vencida","Não Vencida")</f>
        <v>Não Vencida</v>
      </c>
      <c r="P160" s="156" t="str">
        <f>IF(TbRegistroEntradas[[#This Row],[Data da Competência]]=TbRegistroEntradas[[#This Row],[Data do Caixa Previsto]],"Vista","Prazo")</f>
        <v>Vista</v>
      </c>
      <c r="Q16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1" spans="2:17" x14ac:dyDescent="0.25">
      <c r="B161" s="154">
        <v>43537</v>
      </c>
      <c r="C161" s="154">
        <v>43421</v>
      </c>
      <c r="D161" s="154">
        <v>43464</v>
      </c>
      <c r="E161" s="50" t="s">
        <v>24</v>
      </c>
      <c r="F161" s="50" t="s">
        <v>31</v>
      </c>
      <c r="G161" s="50" t="s">
        <v>214</v>
      </c>
      <c r="H161" s="155">
        <v>3068</v>
      </c>
      <c r="I161" s="50">
        <f>IF(TbRegistroEntradas[[#This Row],[Data do Caixa Realizado]]="",0,MONTH(TbRegistroEntradas[[#This Row],[Data do Caixa Realizado]]))</f>
        <v>3</v>
      </c>
      <c r="J161" s="50">
        <f>IF(TbRegistroEntradas[[#This Row],[Data do Caixa Realizado]]="",0,YEAR(TbRegistroEntradas[[#This Row],[Data do Caixa Realizado]]))</f>
        <v>2019</v>
      </c>
      <c r="K161" s="50">
        <f>IF(TbRegistroEntradas[[#This Row],[Data da Competência]]="",0,MONTH(TbRegistroEntradas[[#This Row],[Data da Competência]]))</f>
        <v>11</v>
      </c>
      <c r="L161" s="50">
        <f>IF(TbRegistroEntradas[[#This Row],[Data da Competência]]="",0,YEAR(TbRegistroEntradas[[#This Row],[Data da Competência]]))</f>
        <v>2018</v>
      </c>
      <c r="M161" s="156">
        <f>IF(TbRegistroEntradas[[#This Row],[Data do Caixa Previsto]]="",0,MONTH(TbRegistroEntradas[[#This Row],[Data do Caixa Previsto]]))</f>
        <v>12</v>
      </c>
      <c r="N161" s="156">
        <f>IF(TbRegistroEntradas[[#This Row],[Data do Caixa Previsto]]="",0,YEAR(TbRegistroEntradas[[#This Row],[Data do Caixa Previsto]]))</f>
        <v>2018</v>
      </c>
      <c r="O161" s="156" t="str">
        <f ca="1">IF(AND(TbRegistroEntradas[[#This Row],[Data do Caixa Previsto]]&lt;TODAY(),TbRegistroEntradas[[#This Row],[Data do Caixa Realizado]]=""),"Vencida","Não Vencida")</f>
        <v>Não Vencida</v>
      </c>
      <c r="P161" s="156" t="str">
        <f>IF(TbRegistroEntradas[[#This Row],[Data da Competência]]=TbRegistroEntradas[[#This Row],[Data do Caixa Previsto]],"Vista","Prazo")</f>
        <v>Prazo</v>
      </c>
      <c r="Q16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73</v>
      </c>
    </row>
    <row r="162" spans="2:17" x14ac:dyDescent="0.25">
      <c r="B162" s="154">
        <v>43425</v>
      </c>
      <c r="C162" s="154">
        <v>43425</v>
      </c>
      <c r="D162" s="154">
        <v>43425</v>
      </c>
      <c r="E162" s="50" t="s">
        <v>24</v>
      </c>
      <c r="F162" s="50" t="s">
        <v>33</v>
      </c>
      <c r="G162" s="50" t="s">
        <v>215</v>
      </c>
      <c r="H162" s="155">
        <v>1880</v>
      </c>
      <c r="I162" s="50">
        <f>IF(TbRegistroEntradas[[#This Row],[Data do Caixa Realizado]]="",0,MONTH(TbRegistroEntradas[[#This Row],[Data do Caixa Realizado]]))</f>
        <v>11</v>
      </c>
      <c r="J162" s="50">
        <f>IF(TbRegistroEntradas[[#This Row],[Data do Caixa Realizado]]="",0,YEAR(TbRegistroEntradas[[#This Row],[Data do Caixa Realizado]]))</f>
        <v>2018</v>
      </c>
      <c r="K162" s="50">
        <f>IF(TbRegistroEntradas[[#This Row],[Data da Competência]]="",0,MONTH(TbRegistroEntradas[[#This Row],[Data da Competência]]))</f>
        <v>11</v>
      </c>
      <c r="L162" s="50">
        <f>IF(TbRegistroEntradas[[#This Row],[Data da Competência]]="",0,YEAR(TbRegistroEntradas[[#This Row],[Data da Competência]]))</f>
        <v>2018</v>
      </c>
      <c r="M162" s="156">
        <f>IF(TbRegistroEntradas[[#This Row],[Data do Caixa Previsto]]="",0,MONTH(TbRegistroEntradas[[#This Row],[Data do Caixa Previsto]]))</f>
        <v>11</v>
      </c>
      <c r="N162" s="156">
        <f>IF(TbRegistroEntradas[[#This Row],[Data do Caixa Previsto]]="",0,YEAR(TbRegistroEntradas[[#This Row],[Data do Caixa Previsto]]))</f>
        <v>2018</v>
      </c>
      <c r="O162" s="156" t="str">
        <f ca="1">IF(AND(TbRegistroEntradas[[#This Row],[Data do Caixa Previsto]]&lt;TODAY(),TbRegistroEntradas[[#This Row],[Data do Caixa Realizado]]=""),"Vencida","Não Vencida")</f>
        <v>Não Vencida</v>
      </c>
      <c r="P162" s="156" t="str">
        <f>IF(TbRegistroEntradas[[#This Row],[Data da Competência]]=TbRegistroEntradas[[#This Row],[Data do Caixa Previsto]],"Vista","Prazo")</f>
        <v>Vista</v>
      </c>
      <c r="Q16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3" spans="2:17" x14ac:dyDescent="0.25">
      <c r="B163" s="154">
        <v>43465</v>
      </c>
      <c r="C163" s="154">
        <v>43427</v>
      </c>
      <c r="D163" s="154">
        <v>43465</v>
      </c>
      <c r="E163" s="50" t="s">
        <v>24</v>
      </c>
      <c r="F163" s="50" t="s">
        <v>33</v>
      </c>
      <c r="G163" s="50" t="s">
        <v>216</v>
      </c>
      <c r="H163" s="155">
        <v>1414</v>
      </c>
      <c r="I163" s="50">
        <f>IF(TbRegistroEntradas[[#This Row],[Data do Caixa Realizado]]="",0,MONTH(TbRegistroEntradas[[#This Row],[Data do Caixa Realizado]]))</f>
        <v>12</v>
      </c>
      <c r="J163" s="50">
        <f>IF(TbRegistroEntradas[[#This Row],[Data do Caixa Realizado]]="",0,YEAR(TbRegistroEntradas[[#This Row],[Data do Caixa Realizado]]))</f>
        <v>2018</v>
      </c>
      <c r="K163" s="50">
        <f>IF(TbRegistroEntradas[[#This Row],[Data da Competência]]="",0,MONTH(TbRegistroEntradas[[#This Row],[Data da Competência]]))</f>
        <v>11</v>
      </c>
      <c r="L163" s="50">
        <f>IF(TbRegistroEntradas[[#This Row],[Data da Competência]]="",0,YEAR(TbRegistroEntradas[[#This Row],[Data da Competência]]))</f>
        <v>2018</v>
      </c>
      <c r="M163" s="156">
        <f>IF(TbRegistroEntradas[[#This Row],[Data do Caixa Previsto]]="",0,MONTH(TbRegistroEntradas[[#This Row],[Data do Caixa Previsto]]))</f>
        <v>12</v>
      </c>
      <c r="N163" s="156">
        <f>IF(TbRegistroEntradas[[#This Row],[Data do Caixa Previsto]]="",0,YEAR(TbRegistroEntradas[[#This Row],[Data do Caixa Previsto]]))</f>
        <v>2018</v>
      </c>
      <c r="O163" s="156" t="str">
        <f ca="1">IF(AND(TbRegistroEntradas[[#This Row],[Data do Caixa Previsto]]&lt;TODAY(),TbRegistroEntradas[[#This Row],[Data do Caixa Realizado]]=""),"Vencida","Não Vencida")</f>
        <v>Não Vencida</v>
      </c>
      <c r="P163" s="156" t="str">
        <f>IF(TbRegistroEntradas[[#This Row],[Data da Competência]]=TbRegistroEntradas[[#This Row],[Data do Caixa Previsto]],"Vista","Prazo")</f>
        <v>Prazo</v>
      </c>
      <c r="Q16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4" spans="2:17" x14ac:dyDescent="0.25">
      <c r="B164" s="154">
        <v>43457</v>
      </c>
      <c r="C164" s="154">
        <v>43430</v>
      </c>
      <c r="D164" s="154">
        <v>43447</v>
      </c>
      <c r="E164" s="50" t="s">
        <v>24</v>
      </c>
      <c r="F164" s="50" t="s">
        <v>30</v>
      </c>
      <c r="G164" s="50" t="s">
        <v>217</v>
      </c>
      <c r="H164" s="155">
        <v>919</v>
      </c>
      <c r="I164" s="50">
        <f>IF(TbRegistroEntradas[[#This Row],[Data do Caixa Realizado]]="",0,MONTH(TbRegistroEntradas[[#This Row],[Data do Caixa Realizado]]))</f>
        <v>12</v>
      </c>
      <c r="J164" s="50">
        <f>IF(TbRegistroEntradas[[#This Row],[Data do Caixa Realizado]]="",0,YEAR(TbRegistroEntradas[[#This Row],[Data do Caixa Realizado]]))</f>
        <v>2018</v>
      </c>
      <c r="K164" s="50">
        <f>IF(TbRegistroEntradas[[#This Row],[Data da Competência]]="",0,MONTH(TbRegistroEntradas[[#This Row],[Data da Competência]]))</f>
        <v>11</v>
      </c>
      <c r="L164" s="50">
        <f>IF(TbRegistroEntradas[[#This Row],[Data da Competência]]="",0,YEAR(TbRegistroEntradas[[#This Row],[Data da Competência]]))</f>
        <v>2018</v>
      </c>
      <c r="M164" s="156">
        <f>IF(TbRegistroEntradas[[#This Row],[Data do Caixa Previsto]]="",0,MONTH(TbRegistroEntradas[[#This Row],[Data do Caixa Previsto]]))</f>
        <v>12</v>
      </c>
      <c r="N164" s="156">
        <f>IF(TbRegistroEntradas[[#This Row],[Data do Caixa Previsto]]="",0,YEAR(TbRegistroEntradas[[#This Row],[Data do Caixa Previsto]]))</f>
        <v>2018</v>
      </c>
      <c r="O164" s="156" t="str">
        <f ca="1">IF(AND(TbRegistroEntradas[[#This Row],[Data do Caixa Previsto]]&lt;TODAY(),TbRegistroEntradas[[#This Row],[Data do Caixa Realizado]]=""),"Vencida","Não Vencida")</f>
        <v>Não Vencida</v>
      </c>
      <c r="P164" s="156" t="str">
        <f>IF(TbRegistroEntradas[[#This Row],[Data da Competência]]=TbRegistroEntradas[[#This Row],[Data do Caixa Previsto]],"Vista","Prazo")</f>
        <v>Prazo</v>
      </c>
      <c r="Q16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10</v>
      </c>
    </row>
    <row r="165" spans="2:17" x14ac:dyDescent="0.25">
      <c r="B165" s="154">
        <v>43431</v>
      </c>
      <c r="C165" s="154">
        <v>43431</v>
      </c>
      <c r="D165" s="154">
        <v>43431</v>
      </c>
      <c r="E165" s="50" t="s">
        <v>24</v>
      </c>
      <c r="F165" s="50" t="s">
        <v>33</v>
      </c>
      <c r="G165" s="50" t="s">
        <v>218</v>
      </c>
      <c r="H165" s="155">
        <v>4801</v>
      </c>
      <c r="I165" s="50">
        <f>IF(TbRegistroEntradas[[#This Row],[Data do Caixa Realizado]]="",0,MONTH(TbRegistroEntradas[[#This Row],[Data do Caixa Realizado]]))</f>
        <v>11</v>
      </c>
      <c r="J165" s="50">
        <f>IF(TbRegistroEntradas[[#This Row],[Data do Caixa Realizado]]="",0,YEAR(TbRegistroEntradas[[#This Row],[Data do Caixa Realizado]]))</f>
        <v>2018</v>
      </c>
      <c r="K165" s="50">
        <f>IF(TbRegistroEntradas[[#This Row],[Data da Competência]]="",0,MONTH(TbRegistroEntradas[[#This Row],[Data da Competência]]))</f>
        <v>11</v>
      </c>
      <c r="L165" s="50">
        <f>IF(TbRegistroEntradas[[#This Row],[Data da Competência]]="",0,YEAR(TbRegistroEntradas[[#This Row],[Data da Competência]]))</f>
        <v>2018</v>
      </c>
      <c r="M165" s="156">
        <f>IF(TbRegistroEntradas[[#This Row],[Data do Caixa Previsto]]="",0,MONTH(TbRegistroEntradas[[#This Row],[Data do Caixa Previsto]]))</f>
        <v>11</v>
      </c>
      <c r="N165" s="156">
        <f>IF(TbRegistroEntradas[[#This Row],[Data do Caixa Previsto]]="",0,YEAR(TbRegistroEntradas[[#This Row],[Data do Caixa Previsto]]))</f>
        <v>2018</v>
      </c>
      <c r="O165" s="156" t="str">
        <f ca="1">IF(AND(TbRegistroEntradas[[#This Row],[Data do Caixa Previsto]]&lt;TODAY(),TbRegistroEntradas[[#This Row],[Data do Caixa Realizado]]=""),"Vencida","Não Vencida")</f>
        <v>Não Vencida</v>
      </c>
      <c r="P165" s="156" t="str">
        <f>IF(TbRegistroEntradas[[#This Row],[Data da Competência]]=TbRegistroEntradas[[#This Row],[Data do Caixa Previsto]],"Vista","Prazo")</f>
        <v>Vista</v>
      </c>
      <c r="Q16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6" spans="2:17" x14ac:dyDescent="0.25">
      <c r="B166" s="154">
        <v>43434</v>
      </c>
      <c r="C166" s="154">
        <v>43434</v>
      </c>
      <c r="D166" s="154">
        <v>43434</v>
      </c>
      <c r="E166" s="50" t="s">
        <v>24</v>
      </c>
      <c r="F166" s="50" t="s">
        <v>34</v>
      </c>
      <c r="G166" s="50" t="s">
        <v>219</v>
      </c>
      <c r="H166" s="155">
        <v>4639</v>
      </c>
      <c r="I166" s="50">
        <f>IF(TbRegistroEntradas[[#This Row],[Data do Caixa Realizado]]="",0,MONTH(TbRegistroEntradas[[#This Row],[Data do Caixa Realizado]]))</f>
        <v>11</v>
      </c>
      <c r="J166" s="50">
        <f>IF(TbRegistroEntradas[[#This Row],[Data do Caixa Realizado]]="",0,YEAR(TbRegistroEntradas[[#This Row],[Data do Caixa Realizado]]))</f>
        <v>2018</v>
      </c>
      <c r="K166" s="50">
        <f>IF(TbRegistroEntradas[[#This Row],[Data da Competência]]="",0,MONTH(TbRegistroEntradas[[#This Row],[Data da Competência]]))</f>
        <v>11</v>
      </c>
      <c r="L166" s="50">
        <f>IF(TbRegistroEntradas[[#This Row],[Data da Competência]]="",0,YEAR(TbRegistroEntradas[[#This Row],[Data da Competência]]))</f>
        <v>2018</v>
      </c>
      <c r="M166" s="156">
        <f>IF(TbRegistroEntradas[[#This Row],[Data do Caixa Previsto]]="",0,MONTH(TbRegistroEntradas[[#This Row],[Data do Caixa Previsto]]))</f>
        <v>11</v>
      </c>
      <c r="N166" s="156">
        <f>IF(TbRegistroEntradas[[#This Row],[Data do Caixa Previsto]]="",0,YEAR(TbRegistroEntradas[[#This Row],[Data do Caixa Previsto]]))</f>
        <v>2018</v>
      </c>
      <c r="O166" s="156" t="str">
        <f ca="1">IF(AND(TbRegistroEntradas[[#This Row],[Data do Caixa Previsto]]&lt;TODAY(),TbRegistroEntradas[[#This Row],[Data do Caixa Realizado]]=""),"Vencida","Não Vencida")</f>
        <v>Não Vencida</v>
      </c>
      <c r="P166" s="156" t="str">
        <f>IF(TbRegistroEntradas[[#This Row],[Data da Competência]]=TbRegistroEntradas[[#This Row],[Data do Caixa Previsto]],"Vista","Prazo")</f>
        <v>Vista</v>
      </c>
      <c r="Q16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7" spans="2:17" x14ac:dyDescent="0.25">
      <c r="B167" s="154" t="s">
        <v>67</v>
      </c>
      <c r="C167" s="154">
        <v>43440</v>
      </c>
      <c r="D167" s="154">
        <v>43487</v>
      </c>
      <c r="E167" s="50" t="s">
        <v>24</v>
      </c>
      <c r="F167" s="50" t="s">
        <v>33</v>
      </c>
      <c r="G167" s="50" t="s">
        <v>220</v>
      </c>
      <c r="H167" s="155">
        <v>1209</v>
      </c>
      <c r="I167" s="50">
        <f>IF(TbRegistroEntradas[[#This Row],[Data do Caixa Realizado]]="",0,MONTH(TbRegistroEntradas[[#This Row],[Data do Caixa Realizado]]))</f>
        <v>0</v>
      </c>
      <c r="J167" s="50">
        <f>IF(TbRegistroEntradas[[#This Row],[Data do Caixa Realizado]]="",0,YEAR(TbRegistroEntradas[[#This Row],[Data do Caixa Realizado]]))</f>
        <v>0</v>
      </c>
      <c r="K167" s="50">
        <f>IF(TbRegistroEntradas[[#This Row],[Data da Competência]]="",0,MONTH(TbRegistroEntradas[[#This Row],[Data da Competência]]))</f>
        <v>12</v>
      </c>
      <c r="L167" s="50">
        <f>IF(TbRegistroEntradas[[#This Row],[Data da Competência]]="",0,YEAR(TbRegistroEntradas[[#This Row],[Data da Competência]]))</f>
        <v>2018</v>
      </c>
      <c r="M167" s="156">
        <f>IF(TbRegistroEntradas[[#This Row],[Data do Caixa Previsto]]="",0,MONTH(TbRegistroEntradas[[#This Row],[Data do Caixa Previsto]]))</f>
        <v>1</v>
      </c>
      <c r="N167" s="156">
        <f>IF(TbRegistroEntradas[[#This Row],[Data do Caixa Previsto]]="",0,YEAR(TbRegistroEntradas[[#This Row],[Data do Caixa Previsto]]))</f>
        <v>2019</v>
      </c>
      <c r="O167" s="156" t="str">
        <f ca="1">IF(AND(TbRegistroEntradas[[#This Row],[Data do Caixa Previsto]]&lt;TODAY(),TbRegistroEntradas[[#This Row],[Data do Caixa Realizado]]=""),"Vencida","Não Vencida")</f>
        <v>Vencida</v>
      </c>
      <c r="P167" s="156" t="str">
        <f>IF(TbRegistroEntradas[[#This Row],[Data da Competência]]=TbRegistroEntradas[[#This Row],[Data do Caixa Previsto]],"Vista","Prazo")</f>
        <v>Prazo</v>
      </c>
      <c r="Q16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459</v>
      </c>
    </row>
    <row r="168" spans="2:17" x14ac:dyDescent="0.25">
      <c r="B168" s="154">
        <v>43560</v>
      </c>
      <c r="C168" s="154">
        <v>43444</v>
      </c>
      <c r="D168" s="154">
        <v>43477</v>
      </c>
      <c r="E168" s="50" t="s">
        <v>24</v>
      </c>
      <c r="F168" s="50" t="s">
        <v>34</v>
      </c>
      <c r="G168" s="50" t="s">
        <v>221</v>
      </c>
      <c r="H168" s="155">
        <v>483</v>
      </c>
      <c r="I168" s="50">
        <f>IF(TbRegistroEntradas[[#This Row],[Data do Caixa Realizado]]="",0,MONTH(TbRegistroEntradas[[#This Row],[Data do Caixa Realizado]]))</f>
        <v>4</v>
      </c>
      <c r="J168" s="50">
        <f>IF(TbRegistroEntradas[[#This Row],[Data do Caixa Realizado]]="",0,YEAR(TbRegistroEntradas[[#This Row],[Data do Caixa Realizado]]))</f>
        <v>2019</v>
      </c>
      <c r="K168" s="50">
        <f>IF(TbRegistroEntradas[[#This Row],[Data da Competência]]="",0,MONTH(TbRegistroEntradas[[#This Row],[Data da Competência]]))</f>
        <v>12</v>
      </c>
      <c r="L168" s="50">
        <f>IF(TbRegistroEntradas[[#This Row],[Data da Competência]]="",0,YEAR(TbRegistroEntradas[[#This Row],[Data da Competência]]))</f>
        <v>2018</v>
      </c>
      <c r="M168" s="156">
        <f>IF(TbRegistroEntradas[[#This Row],[Data do Caixa Previsto]]="",0,MONTH(TbRegistroEntradas[[#This Row],[Data do Caixa Previsto]]))</f>
        <v>1</v>
      </c>
      <c r="N168" s="156">
        <f>IF(TbRegistroEntradas[[#This Row],[Data do Caixa Previsto]]="",0,YEAR(TbRegistroEntradas[[#This Row],[Data do Caixa Previsto]]))</f>
        <v>2019</v>
      </c>
      <c r="O168" s="156" t="str">
        <f ca="1">IF(AND(TbRegistroEntradas[[#This Row],[Data do Caixa Previsto]]&lt;TODAY(),TbRegistroEntradas[[#This Row],[Data do Caixa Realizado]]=""),"Vencida","Não Vencida")</f>
        <v>Não Vencida</v>
      </c>
      <c r="P168" s="156" t="str">
        <f>IF(TbRegistroEntradas[[#This Row],[Data da Competência]]=TbRegistroEntradas[[#This Row],[Data do Caixa Previsto]],"Vista","Prazo")</f>
        <v>Prazo</v>
      </c>
      <c r="Q16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83</v>
      </c>
    </row>
    <row r="169" spans="2:17" x14ac:dyDescent="0.25">
      <c r="B169" s="154">
        <v>43503</v>
      </c>
      <c r="C169" s="154">
        <v>43451</v>
      </c>
      <c r="D169" s="154">
        <v>43469</v>
      </c>
      <c r="E169" s="50" t="s">
        <v>24</v>
      </c>
      <c r="F169" s="50" t="s">
        <v>33</v>
      </c>
      <c r="G169" s="50" t="s">
        <v>222</v>
      </c>
      <c r="H169" s="155">
        <v>373</v>
      </c>
      <c r="I169" s="50">
        <f>IF(TbRegistroEntradas[[#This Row],[Data do Caixa Realizado]]="",0,MONTH(TbRegistroEntradas[[#This Row],[Data do Caixa Realizado]]))</f>
        <v>2</v>
      </c>
      <c r="J169" s="50">
        <f>IF(TbRegistroEntradas[[#This Row],[Data do Caixa Realizado]]="",0,YEAR(TbRegistroEntradas[[#This Row],[Data do Caixa Realizado]]))</f>
        <v>2019</v>
      </c>
      <c r="K169" s="50">
        <f>IF(TbRegistroEntradas[[#This Row],[Data da Competência]]="",0,MONTH(TbRegistroEntradas[[#This Row],[Data da Competência]]))</f>
        <v>12</v>
      </c>
      <c r="L169" s="50">
        <f>IF(TbRegistroEntradas[[#This Row],[Data da Competência]]="",0,YEAR(TbRegistroEntradas[[#This Row],[Data da Competência]]))</f>
        <v>2018</v>
      </c>
      <c r="M169" s="156">
        <f>IF(TbRegistroEntradas[[#This Row],[Data do Caixa Previsto]]="",0,MONTH(TbRegistroEntradas[[#This Row],[Data do Caixa Previsto]]))</f>
        <v>1</v>
      </c>
      <c r="N169" s="156">
        <f>IF(TbRegistroEntradas[[#This Row],[Data do Caixa Previsto]]="",0,YEAR(TbRegistroEntradas[[#This Row],[Data do Caixa Previsto]]))</f>
        <v>2019</v>
      </c>
      <c r="O169" s="156" t="str">
        <f ca="1">IF(AND(TbRegistroEntradas[[#This Row],[Data do Caixa Previsto]]&lt;TODAY(),TbRegistroEntradas[[#This Row],[Data do Caixa Realizado]]=""),"Vencida","Não Vencida")</f>
        <v>Não Vencida</v>
      </c>
      <c r="P169" s="156" t="str">
        <f>IF(TbRegistroEntradas[[#This Row],[Data da Competência]]=TbRegistroEntradas[[#This Row],[Data do Caixa Previsto]],"Vista","Prazo")</f>
        <v>Prazo</v>
      </c>
      <c r="Q16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34</v>
      </c>
    </row>
    <row r="170" spans="2:17" x14ac:dyDescent="0.25">
      <c r="B170" s="154">
        <v>43459</v>
      </c>
      <c r="C170" s="154">
        <v>43454</v>
      </c>
      <c r="D170" s="154">
        <v>43459</v>
      </c>
      <c r="E170" s="50" t="s">
        <v>24</v>
      </c>
      <c r="F170" s="50" t="s">
        <v>31</v>
      </c>
      <c r="G170" s="50" t="s">
        <v>223</v>
      </c>
      <c r="H170" s="155">
        <v>2088</v>
      </c>
      <c r="I170" s="50">
        <f>IF(TbRegistroEntradas[[#This Row],[Data do Caixa Realizado]]="",0,MONTH(TbRegistroEntradas[[#This Row],[Data do Caixa Realizado]]))</f>
        <v>12</v>
      </c>
      <c r="J170" s="50">
        <f>IF(TbRegistroEntradas[[#This Row],[Data do Caixa Realizado]]="",0,YEAR(TbRegistroEntradas[[#This Row],[Data do Caixa Realizado]]))</f>
        <v>2018</v>
      </c>
      <c r="K170" s="50">
        <f>IF(TbRegistroEntradas[[#This Row],[Data da Competência]]="",0,MONTH(TbRegistroEntradas[[#This Row],[Data da Competência]]))</f>
        <v>12</v>
      </c>
      <c r="L170" s="50">
        <f>IF(TbRegistroEntradas[[#This Row],[Data da Competência]]="",0,YEAR(TbRegistroEntradas[[#This Row],[Data da Competência]]))</f>
        <v>2018</v>
      </c>
      <c r="M170" s="156">
        <f>IF(TbRegistroEntradas[[#This Row],[Data do Caixa Previsto]]="",0,MONTH(TbRegistroEntradas[[#This Row],[Data do Caixa Previsto]]))</f>
        <v>12</v>
      </c>
      <c r="N170" s="156">
        <f>IF(TbRegistroEntradas[[#This Row],[Data do Caixa Previsto]]="",0,YEAR(TbRegistroEntradas[[#This Row],[Data do Caixa Previsto]]))</f>
        <v>2018</v>
      </c>
      <c r="O170" s="156" t="str">
        <f ca="1">IF(AND(TbRegistroEntradas[[#This Row],[Data do Caixa Previsto]]&lt;TODAY(),TbRegistroEntradas[[#This Row],[Data do Caixa Realizado]]=""),"Vencida","Não Vencida")</f>
        <v>Não Vencida</v>
      </c>
      <c r="P170" s="156" t="str">
        <f>IF(TbRegistroEntradas[[#This Row],[Data da Competência]]=TbRegistroEntradas[[#This Row],[Data do Caixa Previsto]],"Vista","Prazo")</f>
        <v>Prazo</v>
      </c>
      <c r="Q17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1" spans="2:17" x14ac:dyDescent="0.25">
      <c r="B171" s="154">
        <v>43497</v>
      </c>
      <c r="C171" s="154">
        <v>43455</v>
      </c>
      <c r="D171" s="154">
        <v>43497</v>
      </c>
      <c r="E171" s="50" t="s">
        <v>24</v>
      </c>
      <c r="F171" s="50" t="s">
        <v>34</v>
      </c>
      <c r="G171" s="50" t="s">
        <v>224</v>
      </c>
      <c r="H171" s="155">
        <v>1168</v>
      </c>
      <c r="I171" s="50">
        <f>IF(TbRegistroEntradas[[#This Row],[Data do Caixa Realizado]]="",0,MONTH(TbRegistroEntradas[[#This Row],[Data do Caixa Realizado]]))</f>
        <v>2</v>
      </c>
      <c r="J171" s="50">
        <f>IF(TbRegistroEntradas[[#This Row],[Data do Caixa Realizado]]="",0,YEAR(TbRegistroEntradas[[#This Row],[Data do Caixa Realizado]]))</f>
        <v>2019</v>
      </c>
      <c r="K171" s="50">
        <f>IF(TbRegistroEntradas[[#This Row],[Data da Competência]]="",0,MONTH(TbRegistroEntradas[[#This Row],[Data da Competência]]))</f>
        <v>12</v>
      </c>
      <c r="L171" s="50">
        <f>IF(TbRegistroEntradas[[#This Row],[Data da Competência]]="",0,YEAR(TbRegistroEntradas[[#This Row],[Data da Competência]]))</f>
        <v>2018</v>
      </c>
      <c r="M171" s="156">
        <f>IF(TbRegistroEntradas[[#This Row],[Data do Caixa Previsto]]="",0,MONTH(TbRegistroEntradas[[#This Row],[Data do Caixa Previsto]]))</f>
        <v>2</v>
      </c>
      <c r="N171" s="156">
        <f>IF(TbRegistroEntradas[[#This Row],[Data do Caixa Previsto]]="",0,YEAR(TbRegistroEntradas[[#This Row],[Data do Caixa Previsto]]))</f>
        <v>2019</v>
      </c>
      <c r="O171" s="156" t="str">
        <f ca="1">IF(AND(TbRegistroEntradas[[#This Row],[Data do Caixa Previsto]]&lt;TODAY(),TbRegistroEntradas[[#This Row],[Data do Caixa Realizado]]=""),"Vencida","Não Vencida")</f>
        <v>Não Vencida</v>
      </c>
      <c r="P171" s="156" t="str">
        <f>IF(TbRegistroEntradas[[#This Row],[Data da Competência]]=TbRegistroEntradas[[#This Row],[Data do Caixa Previsto]],"Vista","Prazo")</f>
        <v>Prazo</v>
      </c>
      <c r="Q17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2" spans="2:17" x14ac:dyDescent="0.25">
      <c r="B172" s="154">
        <v>43457</v>
      </c>
      <c r="C172" s="154">
        <v>43457</v>
      </c>
      <c r="D172" s="154">
        <v>43457</v>
      </c>
      <c r="E172" s="50" t="s">
        <v>24</v>
      </c>
      <c r="F172" s="50" t="s">
        <v>34</v>
      </c>
      <c r="G172" s="50" t="s">
        <v>225</v>
      </c>
      <c r="H172" s="155">
        <v>4429</v>
      </c>
      <c r="I172" s="50">
        <f>IF(TbRegistroEntradas[[#This Row],[Data do Caixa Realizado]]="",0,MONTH(TbRegistroEntradas[[#This Row],[Data do Caixa Realizado]]))</f>
        <v>12</v>
      </c>
      <c r="J172" s="50">
        <f>IF(TbRegistroEntradas[[#This Row],[Data do Caixa Realizado]]="",0,YEAR(TbRegistroEntradas[[#This Row],[Data do Caixa Realizado]]))</f>
        <v>2018</v>
      </c>
      <c r="K172" s="50">
        <f>IF(TbRegistroEntradas[[#This Row],[Data da Competência]]="",0,MONTH(TbRegistroEntradas[[#This Row],[Data da Competência]]))</f>
        <v>12</v>
      </c>
      <c r="L172" s="50">
        <f>IF(TbRegistroEntradas[[#This Row],[Data da Competência]]="",0,YEAR(TbRegistroEntradas[[#This Row],[Data da Competência]]))</f>
        <v>2018</v>
      </c>
      <c r="M172" s="156">
        <f>IF(TbRegistroEntradas[[#This Row],[Data do Caixa Previsto]]="",0,MONTH(TbRegistroEntradas[[#This Row],[Data do Caixa Previsto]]))</f>
        <v>12</v>
      </c>
      <c r="N172" s="156">
        <f>IF(TbRegistroEntradas[[#This Row],[Data do Caixa Previsto]]="",0,YEAR(TbRegistroEntradas[[#This Row],[Data do Caixa Previsto]]))</f>
        <v>2018</v>
      </c>
      <c r="O172" s="156" t="str">
        <f ca="1">IF(AND(TbRegistroEntradas[[#This Row],[Data do Caixa Previsto]]&lt;TODAY(),TbRegistroEntradas[[#This Row],[Data do Caixa Realizado]]=""),"Vencida","Não Vencida")</f>
        <v>Não Vencida</v>
      </c>
      <c r="P172" s="156" t="str">
        <f>IF(TbRegistroEntradas[[#This Row],[Data da Competência]]=TbRegistroEntradas[[#This Row],[Data do Caixa Previsto]],"Vista","Prazo")</f>
        <v>Vista</v>
      </c>
      <c r="Q17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3" spans="2:17" x14ac:dyDescent="0.25">
      <c r="B173" s="154">
        <v>43519</v>
      </c>
      <c r="C173" s="154">
        <v>43462</v>
      </c>
      <c r="D173" s="154">
        <v>43519</v>
      </c>
      <c r="E173" s="50" t="s">
        <v>24</v>
      </c>
      <c r="F173" s="50" t="s">
        <v>33</v>
      </c>
      <c r="G173" s="50" t="s">
        <v>226</v>
      </c>
      <c r="H173" s="155">
        <v>4955</v>
      </c>
      <c r="I173" s="50">
        <f>IF(TbRegistroEntradas[[#This Row],[Data do Caixa Realizado]]="",0,MONTH(TbRegistroEntradas[[#This Row],[Data do Caixa Realizado]]))</f>
        <v>2</v>
      </c>
      <c r="J173" s="50">
        <f>IF(TbRegistroEntradas[[#This Row],[Data do Caixa Realizado]]="",0,YEAR(TbRegistroEntradas[[#This Row],[Data do Caixa Realizado]]))</f>
        <v>2019</v>
      </c>
      <c r="K173" s="50">
        <f>IF(TbRegistroEntradas[[#This Row],[Data da Competência]]="",0,MONTH(TbRegistroEntradas[[#This Row],[Data da Competência]]))</f>
        <v>12</v>
      </c>
      <c r="L173" s="50">
        <f>IF(TbRegistroEntradas[[#This Row],[Data da Competência]]="",0,YEAR(TbRegistroEntradas[[#This Row],[Data da Competência]]))</f>
        <v>2018</v>
      </c>
      <c r="M173" s="156">
        <f>IF(TbRegistroEntradas[[#This Row],[Data do Caixa Previsto]]="",0,MONTH(TbRegistroEntradas[[#This Row],[Data do Caixa Previsto]]))</f>
        <v>2</v>
      </c>
      <c r="N173" s="156">
        <f>IF(TbRegistroEntradas[[#This Row],[Data do Caixa Previsto]]="",0,YEAR(TbRegistroEntradas[[#This Row],[Data do Caixa Previsto]]))</f>
        <v>2019</v>
      </c>
      <c r="O173" s="156" t="str">
        <f ca="1">IF(AND(TbRegistroEntradas[[#This Row],[Data do Caixa Previsto]]&lt;TODAY(),TbRegistroEntradas[[#This Row],[Data do Caixa Realizado]]=""),"Vencida","Não Vencida")</f>
        <v>Não Vencida</v>
      </c>
      <c r="P173" s="156" t="str">
        <f>IF(TbRegistroEntradas[[#This Row],[Data da Competência]]=TbRegistroEntradas[[#This Row],[Data do Caixa Previsto]],"Vista","Prazo")</f>
        <v>Prazo</v>
      </c>
      <c r="Q17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4" spans="2:17" x14ac:dyDescent="0.25">
      <c r="B174" s="154">
        <v>43483</v>
      </c>
      <c r="C174" s="154">
        <v>43465</v>
      </c>
      <c r="D174" s="154">
        <v>43483</v>
      </c>
      <c r="E174" s="50" t="s">
        <v>24</v>
      </c>
      <c r="F174" s="50" t="s">
        <v>33</v>
      </c>
      <c r="G174" s="50" t="s">
        <v>227</v>
      </c>
      <c r="H174" s="155">
        <v>3201</v>
      </c>
      <c r="I174" s="50">
        <f>IF(TbRegistroEntradas[[#This Row],[Data do Caixa Realizado]]="",0,MONTH(TbRegistroEntradas[[#This Row],[Data do Caixa Realizado]]))</f>
        <v>1</v>
      </c>
      <c r="J174" s="50">
        <f>IF(TbRegistroEntradas[[#This Row],[Data do Caixa Realizado]]="",0,YEAR(TbRegistroEntradas[[#This Row],[Data do Caixa Realizado]]))</f>
        <v>2019</v>
      </c>
      <c r="K174" s="50">
        <f>IF(TbRegistroEntradas[[#This Row],[Data da Competência]]="",0,MONTH(TbRegistroEntradas[[#This Row],[Data da Competência]]))</f>
        <v>12</v>
      </c>
      <c r="L174" s="50">
        <f>IF(TbRegistroEntradas[[#This Row],[Data da Competência]]="",0,YEAR(TbRegistroEntradas[[#This Row],[Data da Competência]]))</f>
        <v>2018</v>
      </c>
      <c r="M174" s="156">
        <f>IF(TbRegistroEntradas[[#This Row],[Data do Caixa Previsto]]="",0,MONTH(TbRegistroEntradas[[#This Row],[Data do Caixa Previsto]]))</f>
        <v>1</v>
      </c>
      <c r="N174" s="156">
        <f>IF(TbRegistroEntradas[[#This Row],[Data do Caixa Previsto]]="",0,YEAR(TbRegistroEntradas[[#This Row],[Data do Caixa Previsto]]))</f>
        <v>2019</v>
      </c>
      <c r="O174" s="156" t="str">
        <f ca="1">IF(AND(TbRegistroEntradas[[#This Row],[Data do Caixa Previsto]]&lt;TODAY(),TbRegistroEntradas[[#This Row],[Data do Caixa Realizado]]=""),"Vencida","Não Vencida")</f>
        <v>Não Vencida</v>
      </c>
      <c r="P174" s="156" t="str">
        <f>IF(TbRegistroEntradas[[#This Row],[Data da Competência]]=TbRegistroEntradas[[#This Row],[Data do Caixa Previsto]],"Vista","Prazo")</f>
        <v>Prazo</v>
      </c>
      <c r="Q17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5" spans="2:17" x14ac:dyDescent="0.25">
      <c r="B175" s="154">
        <v>43511</v>
      </c>
      <c r="C175" s="154">
        <v>43469</v>
      </c>
      <c r="D175" s="154">
        <v>43511</v>
      </c>
      <c r="E175" s="50" t="s">
        <v>24</v>
      </c>
      <c r="F175" s="50" t="s">
        <v>32</v>
      </c>
      <c r="G175" s="50" t="s">
        <v>228</v>
      </c>
      <c r="H175" s="155">
        <v>3007</v>
      </c>
      <c r="I175" s="50">
        <f>IF(TbRegistroEntradas[[#This Row],[Data do Caixa Realizado]]="",0,MONTH(TbRegistroEntradas[[#This Row],[Data do Caixa Realizado]]))</f>
        <v>2</v>
      </c>
      <c r="J175" s="50">
        <f>IF(TbRegistroEntradas[[#This Row],[Data do Caixa Realizado]]="",0,YEAR(TbRegistroEntradas[[#This Row],[Data do Caixa Realizado]]))</f>
        <v>2019</v>
      </c>
      <c r="K175" s="50">
        <f>IF(TbRegistroEntradas[[#This Row],[Data da Competência]]="",0,MONTH(TbRegistroEntradas[[#This Row],[Data da Competência]]))</f>
        <v>1</v>
      </c>
      <c r="L175" s="50">
        <f>IF(TbRegistroEntradas[[#This Row],[Data da Competência]]="",0,YEAR(TbRegistroEntradas[[#This Row],[Data da Competência]]))</f>
        <v>2019</v>
      </c>
      <c r="M175" s="156">
        <f>IF(TbRegistroEntradas[[#This Row],[Data do Caixa Previsto]]="",0,MONTH(TbRegistroEntradas[[#This Row],[Data do Caixa Previsto]]))</f>
        <v>2</v>
      </c>
      <c r="N175" s="156">
        <f>IF(TbRegistroEntradas[[#This Row],[Data do Caixa Previsto]]="",0,YEAR(TbRegistroEntradas[[#This Row],[Data do Caixa Previsto]]))</f>
        <v>2019</v>
      </c>
      <c r="O175" s="156" t="str">
        <f ca="1">IF(AND(TbRegistroEntradas[[#This Row],[Data do Caixa Previsto]]&lt;TODAY(),TbRegistroEntradas[[#This Row],[Data do Caixa Realizado]]=""),"Vencida","Não Vencida")</f>
        <v>Não Vencida</v>
      </c>
      <c r="P175" s="156" t="str">
        <f>IF(TbRegistroEntradas[[#This Row],[Data da Competência]]=TbRegistroEntradas[[#This Row],[Data do Caixa Previsto]],"Vista","Prazo")</f>
        <v>Prazo</v>
      </c>
      <c r="Q17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6" spans="2:17" x14ac:dyDescent="0.25">
      <c r="B176" s="154">
        <v>43473</v>
      </c>
      <c r="C176" s="154">
        <v>43473</v>
      </c>
      <c r="D176" s="154">
        <v>43473</v>
      </c>
      <c r="E176" s="50" t="s">
        <v>24</v>
      </c>
      <c r="F176" s="50" t="s">
        <v>34</v>
      </c>
      <c r="G176" s="50" t="s">
        <v>229</v>
      </c>
      <c r="H176" s="155">
        <v>900</v>
      </c>
      <c r="I176" s="50">
        <f>IF(TbRegistroEntradas[[#This Row],[Data do Caixa Realizado]]="",0,MONTH(TbRegistroEntradas[[#This Row],[Data do Caixa Realizado]]))</f>
        <v>1</v>
      </c>
      <c r="J176" s="50">
        <f>IF(TbRegistroEntradas[[#This Row],[Data do Caixa Realizado]]="",0,YEAR(TbRegistroEntradas[[#This Row],[Data do Caixa Realizado]]))</f>
        <v>2019</v>
      </c>
      <c r="K176" s="50">
        <f>IF(TbRegistroEntradas[[#This Row],[Data da Competência]]="",0,MONTH(TbRegistroEntradas[[#This Row],[Data da Competência]]))</f>
        <v>1</v>
      </c>
      <c r="L176" s="50">
        <f>IF(TbRegistroEntradas[[#This Row],[Data da Competência]]="",0,YEAR(TbRegistroEntradas[[#This Row],[Data da Competência]]))</f>
        <v>2019</v>
      </c>
      <c r="M176" s="156">
        <f>IF(TbRegistroEntradas[[#This Row],[Data do Caixa Previsto]]="",0,MONTH(TbRegistroEntradas[[#This Row],[Data do Caixa Previsto]]))</f>
        <v>1</v>
      </c>
      <c r="N176" s="156">
        <f>IF(TbRegistroEntradas[[#This Row],[Data do Caixa Previsto]]="",0,YEAR(TbRegistroEntradas[[#This Row],[Data do Caixa Previsto]]))</f>
        <v>2019</v>
      </c>
      <c r="O176" s="156" t="str">
        <f ca="1">IF(AND(TbRegistroEntradas[[#This Row],[Data do Caixa Previsto]]&lt;TODAY(),TbRegistroEntradas[[#This Row],[Data do Caixa Realizado]]=""),"Vencida","Não Vencida")</f>
        <v>Não Vencida</v>
      </c>
      <c r="P176" s="156" t="str">
        <f>IF(TbRegistroEntradas[[#This Row],[Data da Competência]]=TbRegistroEntradas[[#This Row],[Data do Caixa Previsto]],"Vista","Prazo")</f>
        <v>Vista</v>
      </c>
      <c r="Q17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7" spans="2:17" x14ac:dyDescent="0.25">
      <c r="B177" s="154">
        <v>43478</v>
      </c>
      <c r="C177" s="154">
        <v>43478</v>
      </c>
      <c r="D177" s="154">
        <v>43478</v>
      </c>
      <c r="E177" s="50" t="s">
        <v>24</v>
      </c>
      <c r="F177" s="50" t="s">
        <v>33</v>
      </c>
      <c r="G177" s="50" t="s">
        <v>230</v>
      </c>
      <c r="H177" s="155">
        <v>2970</v>
      </c>
      <c r="I177" s="50">
        <f>IF(TbRegistroEntradas[[#This Row],[Data do Caixa Realizado]]="",0,MONTH(TbRegistroEntradas[[#This Row],[Data do Caixa Realizado]]))</f>
        <v>1</v>
      </c>
      <c r="J177" s="50">
        <f>IF(TbRegistroEntradas[[#This Row],[Data do Caixa Realizado]]="",0,YEAR(TbRegistroEntradas[[#This Row],[Data do Caixa Realizado]]))</f>
        <v>2019</v>
      </c>
      <c r="K177" s="50">
        <f>IF(TbRegistroEntradas[[#This Row],[Data da Competência]]="",0,MONTH(TbRegistroEntradas[[#This Row],[Data da Competência]]))</f>
        <v>1</v>
      </c>
      <c r="L177" s="50">
        <f>IF(TbRegistroEntradas[[#This Row],[Data da Competência]]="",0,YEAR(TbRegistroEntradas[[#This Row],[Data da Competência]]))</f>
        <v>2019</v>
      </c>
      <c r="M177" s="156">
        <f>IF(TbRegistroEntradas[[#This Row],[Data do Caixa Previsto]]="",0,MONTH(TbRegistroEntradas[[#This Row],[Data do Caixa Previsto]]))</f>
        <v>1</v>
      </c>
      <c r="N177" s="156">
        <f>IF(TbRegistroEntradas[[#This Row],[Data do Caixa Previsto]]="",0,YEAR(TbRegistroEntradas[[#This Row],[Data do Caixa Previsto]]))</f>
        <v>2019</v>
      </c>
      <c r="O177" s="156" t="str">
        <f ca="1">IF(AND(TbRegistroEntradas[[#This Row],[Data do Caixa Previsto]]&lt;TODAY(),TbRegistroEntradas[[#This Row],[Data do Caixa Realizado]]=""),"Vencida","Não Vencida")</f>
        <v>Não Vencida</v>
      </c>
      <c r="P177" s="156" t="str">
        <f>IF(TbRegistroEntradas[[#This Row],[Data da Competência]]=TbRegistroEntradas[[#This Row],[Data do Caixa Previsto]],"Vista","Prazo")</f>
        <v>Vista</v>
      </c>
      <c r="Q17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8" spans="2:17" x14ac:dyDescent="0.25">
      <c r="B178" s="154">
        <v>43538</v>
      </c>
      <c r="C178" s="154">
        <v>43482</v>
      </c>
      <c r="D178" s="154">
        <v>43538</v>
      </c>
      <c r="E178" s="50" t="s">
        <v>24</v>
      </c>
      <c r="F178" s="50" t="s">
        <v>30</v>
      </c>
      <c r="G178" s="50" t="s">
        <v>231</v>
      </c>
      <c r="H178" s="155">
        <v>4993</v>
      </c>
      <c r="I178" s="50">
        <f>IF(TbRegistroEntradas[[#This Row],[Data do Caixa Realizado]]="",0,MONTH(TbRegistroEntradas[[#This Row],[Data do Caixa Realizado]]))</f>
        <v>3</v>
      </c>
      <c r="J178" s="50">
        <f>IF(TbRegistroEntradas[[#This Row],[Data do Caixa Realizado]]="",0,YEAR(TbRegistroEntradas[[#This Row],[Data do Caixa Realizado]]))</f>
        <v>2019</v>
      </c>
      <c r="K178" s="50">
        <f>IF(TbRegistroEntradas[[#This Row],[Data da Competência]]="",0,MONTH(TbRegistroEntradas[[#This Row],[Data da Competência]]))</f>
        <v>1</v>
      </c>
      <c r="L178" s="50">
        <f>IF(TbRegistroEntradas[[#This Row],[Data da Competência]]="",0,YEAR(TbRegistroEntradas[[#This Row],[Data da Competência]]))</f>
        <v>2019</v>
      </c>
      <c r="M178" s="156">
        <f>IF(TbRegistroEntradas[[#This Row],[Data do Caixa Previsto]]="",0,MONTH(TbRegistroEntradas[[#This Row],[Data do Caixa Previsto]]))</f>
        <v>3</v>
      </c>
      <c r="N178" s="156">
        <f>IF(TbRegistroEntradas[[#This Row],[Data do Caixa Previsto]]="",0,YEAR(TbRegistroEntradas[[#This Row],[Data do Caixa Previsto]]))</f>
        <v>2019</v>
      </c>
      <c r="O178" s="156" t="str">
        <f ca="1">IF(AND(TbRegistroEntradas[[#This Row],[Data do Caixa Previsto]]&lt;TODAY(),TbRegistroEntradas[[#This Row],[Data do Caixa Realizado]]=""),"Vencida","Não Vencida")</f>
        <v>Não Vencida</v>
      </c>
      <c r="P178" s="156" t="str">
        <f>IF(TbRegistroEntradas[[#This Row],[Data da Competência]]=TbRegistroEntradas[[#This Row],[Data do Caixa Previsto]],"Vista","Prazo")</f>
        <v>Prazo</v>
      </c>
      <c r="Q17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9" spans="2:17" x14ac:dyDescent="0.25">
      <c r="B179" s="154">
        <v>43485</v>
      </c>
      <c r="C179" s="154">
        <v>43485</v>
      </c>
      <c r="D179" s="154">
        <v>43485</v>
      </c>
      <c r="E179" s="50" t="s">
        <v>24</v>
      </c>
      <c r="F179" s="50" t="s">
        <v>34</v>
      </c>
      <c r="G179" s="50" t="s">
        <v>232</v>
      </c>
      <c r="H179" s="155">
        <v>1664</v>
      </c>
      <c r="I179" s="50">
        <f>IF(TbRegistroEntradas[[#This Row],[Data do Caixa Realizado]]="",0,MONTH(TbRegistroEntradas[[#This Row],[Data do Caixa Realizado]]))</f>
        <v>1</v>
      </c>
      <c r="J179" s="50">
        <f>IF(TbRegistroEntradas[[#This Row],[Data do Caixa Realizado]]="",0,YEAR(TbRegistroEntradas[[#This Row],[Data do Caixa Realizado]]))</f>
        <v>2019</v>
      </c>
      <c r="K179" s="50">
        <f>IF(TbRegistroEntradas[[#This Row],[Data da Competência]]="",0,MONTH(TbRegistroEntradas[[#This Row],[Data da Competência]]))</f>
        <v>1</v>
      </c>
      <c r="L179" s="50">
        <f>IF(TbRegistroEntradas[[#This Row],[Data da Competência]]="",0,YEAR(TbRegistroEntradas[[#This Row],[Data da Competência]]))</f>
        <v>2019</v>
      </c>
      <c r="M179" s="156">
        <f>IF(TbRegistroEntradas[[#This Row],[Data do Caixa Previsto]]="",0,MONTH(TbRegistroEntradas[[#This Row],[Data do Caixa Previsto]]))</f>
        <v>1</v>
      </c>
      <c r="N179" s="156">
        <f>IF(TbRegistroEntradas[[#This Row],[Data do Caixa Previsto]]="",0,YEAR(TbRegistroEntradas[[#This Row],[Data do Caixa Previsto]]))</f>
        <v>2019</v>
      </c>
      <c r="O179" s="156" t="str">
        <f ca="1">IF(AND(TbRegistroEntradas[[#This Row],[Data do Caixa Previsto]]&lt;TODAY(),TbRegistroEntradas[[#This Row],[Data do Caixa Realizado]]=""),"Vencida","Não Vencida")</f>
        <v>Não Vencida</v>
      </c>
      <c r="P179" s="156" t="str">
        <f>IF(TbRegistroEntradas[[#This Row],[Data da Competência]]=TbRegistroEntradas[[#This Row],[Data do Caixa Previsto]],"Vista","Prazo")</f>
        <v>Vista</v>
      </c>
      <c r="Q17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0" spans="2:17" x14ac:dyDescent="0.25">
      <c r="B180" s="154" t="s">
        <v>67</v>
      </c>
      <c r="C180" s="154">
        <v>43486</v>
      </c>
      <c r="D180" s="154">
        <v>43522</v>
      </c>
      <c r="E180" s="50" t="s">
        <v>24</v>
      </c>
      <c r="F180" s="50" t="s">
        <v>33</v>
      </c>
      <c r="G180" s="50" t="s">
        <v>233</v>
      </c>
      <c r="H180" s="155">
        <v>1815</v>
      </c>
      <c r="I180" s="50">
        <f>IF(TbRegistroEntradas[[#This Row],[Data do Caixa Realizado]]="",0,MONTH(TbRegistroEntradas[[#This Row],[Data do Caixa Realizado]]))</f>
        <v>0</v>
      </c>
      <c r="J180" s="50">
        <f>IF(TbRegistroEntradas[[#This Row],[Data do Caixa Realizado]]="",0,YEAR(TbRegistroEntradas[[#This Row],[Data do Caixa Realizado]]))</f>
        <v>0</v>
      </c>
      <c r="K180" s="50">
        <f>IF(TbRegistroEntradas[[#This Row],[Data da Competência]]="",0,MONTH(TbRegistroEntradas[[#This Row],[Data da Competência]]))</f>
        <v>1</v>
      </c>
      <c r="L180" s="50">
        <f>IF(TbRegistroEntradas[[#This Row],[Data da Competência]]="",0,YEAR(TbRegistroEntradas[[#This Row],[Data da Competência]]))</f>
        <v>2019</v>
      </c>
      <c r="M180" s="156">
        <f>IF(TbRegistroEntradas[[#This Row],[Data do Caixa Previsto]]="",0,MONTH(TbRegistroEntradas[[#This Row],[Data do Caixa Previsto]]))</f>
        <v>2</v>
      </c>
      <c r="N180" s="156">
        <f>IF(TbRegistroEntradas[[#This Row],[Data do Caixa Previsto]]="",0,YEAR(TbRegistroEntradas[[#This Row],[Data do Caixa Previsto]]))</f>
        <v>2019</v>
      </c>
      <c r="O180" s="156" t="str">
        <f ca="1">IF(AND(TbRegistroEntradas[[#This Row],[Data do Caixa Previsto]]&lt;TODAY(),TbRegistroEntradas[[#This Row],[Data do Caixa Realizado]]=""),"Vencida","Não Vencida")</f>
        <v>Vencida</v>
      </c>
      <c r="P180" s="156" t="str">
        <f>IF(TbRegistroEntradas[[#This Row],[Data da Competência]]=TbRegistroEntradas[[#This Row],[Data do Caixa Previsto]],"Vista","Prazo")</f>
        <v>Prazo</v>
      </c>
      <c r="Q18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424</v>
      </c>
    </row>
    <row r="181" spans="2:17" x14ac:dyDescent="0.25">
      <c r="B181" s="154">
        <v>43505</v>
      </c>
      <c r="C181" s="154">
        <v>43488</v>
      </c>
      <c r="D181" s="154">
        <v>43505</v>
      </c>
      <c r="E181" s="50" t="s">
        <v>24</v>
      </c>
      <c r="F181" s="50" t="s">
        <v>32</v>
      </c>
      <c r="G181" s="50" t="s">
        <v>234</v>
      </c>
      <c r="H181" s="155">
        <v>3752</v>
      </c>
      <c r="I181" s="50">
        <f>IF(TbRegistroEntradas[[#This Row],[Data do Caixa Realizado]]="",0,MONTH(TbRegistroEntradas[[#This Row],[Data do Caixa Realizado]]))</f>
        <v>2</v>
      </c>
      <c r="J181" s="50">
        <f>IF(TbRegistroEntradas[[#This Row],[Data do Caixa Realizado]]="",0,YEAR(TbRegistroEntradas[[#This Row],[Data do Caixa Realizado]]))</f>
        <v>2019</v>
      </c>
      <c r="K181" s="50">
        <f>IF(TbRegistroEntradas[[#This Row],[Data da Competência]]="",0,MONTH(TbRegistroEntradas[[#This Row],[Data da Competência]]))</f>
        <v>1</v>
      </c>
      <c r="L181" s="50">
        <f>IF(TbRegistroEntradas[[#This Row],[Data da Competência]]="",0,YEAR(TbRegistroEntradas[[#This Row],[Data da Competência]]))</f>
        <v>2019</v>
      </c>
      <c r="M181" s="156">
        <f>IF(TbRegistroEntradas[[#This Row],[Data do Caixa Previsto]]="",0,MONTH(TbRegistroEntradas[[#This Row],[Data do Caixa Previsto]]))</f>
        <v>2</v>
      </c>
      <c r="N181" s="156">
        <f>IF(TbRegistroEntradas[[#This Row],[Data do Caixa Previsto]]="",0,YEAR(TbRegistroEntradas[[#This Row],[Data do Caixa Previsto]]))</f>
        <v>2019</v>
      </c>
      <c r="O181" s="156" t="str">
        <f ca="1">IF(AND(TbRegistroEntradas[[#This Row],[Data do Caixa Previsto]]&lt;TODAY(),TbRegistroEntradas[[#This Row],[Data do Caixa Realizado]]=""),"Vencida","Não Vencida")</f>
        <v>Não Vencida</v>
      </c>
      <c r="P181" s="156" t="str">
        <f>IF(TbRegistroEntradas[[#This Row],[Data da Competência]]=TbRegistroEntradas[[#This Row],[Data do Caixa Previsto]],"Vista","Prazo")</f>
        <v>Prazo</v>
      </c>
      <c r="Q18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2" spans="2:17" x14ac:dyDescent="0.25">
      <c r="B182" s="154" t="s">
        <v>67</v>
      </c>
      <c r="C182" s="154">
        <v>43492</v>
      </c>
      <c r="D182" s="154">
        <v>43513</v>
      </c>
      <c r="E182" s="50" t="s">
        <v>24</v>
      </c>
      <c r="F182" s="50" t="s">
        <v>33</v>
      </c>
      <c r="G182" s="50" t="s">
        <v>235</v>
      </c>
      <c r="H182" s="155">
        <v>177</v>
      </c>
      <c r="I182" s="50">
        <f>IF(TbRegistroEntradas[[#This Row],[Data do Caixa Realizado]]="",0,MONTH(TbRegistroEntradas[[#This Row],[Data do Caixa Realizado]]))</f>
        <v>0</v>
      </c>
      <c r="J182" s="50">
        <f>IF(TbRegistroEntradas[[#This Row],[Data do Caixa Realizado]]="",0,YEAR(TbRegistroEntradas[[#This Row],[Data do Caixa Realizado]]))</f>
        <v>0</v>
      </c>
      <c r="K182" s="50">
        <f>IF(TbRegistroEntradas[[#This Row],[Data da Competência]]="",0,MONTH(TbRegistroEntradas[[#This Row],[Data da Competência]]))</f>
        <v>1</v>
      </c>
      <c r="L182" s="50">
        <f>IF(TbRegistroEntradas[[#This Row],[Data da Competência]]="",0,YEAR(TbRegistroEntradas[[#This Row],[Data da Competência]]))</f>
        <v>2019</v>
      </c>
      <c r="M182" s="156">
        <f>IF(TbRegistroEntradas[[#This Row],[Data do Caixa Previsto]]="",0,MONTH(TbRegistroEntradas[[#This Row],[Data do Caixa Previsto]]))</f>
        <v>2</v>
      </c>
      <c r="N182" s="156">
        <f>IF(TbRegistroEntradas[[#This Row],[Data do Caixa Previsto]]="",0,YEAR(TbRegistroEntradas[[#This Row],[Data do Caixa Previsto]]))</f>
        <v>2019</v>
      </c>
      <c r="O182" s="156" t="str">
        <f ca="1">IF(AND(TbRegistroEntradas[[#This Row],[Data do Caixa Previsto]]&lt;TODAY(),TbRegistroEntradas[[#This Row],[Data do Caixa Realizado]]=""),"Vencida","Não Vencida")</f>
        <v>Vencida</v>
      </c>
      <c r="P182" s="156" t="str">
        <f>IF(TbRegistroEntradas[[#This Row],[Data da Competência]]=TbRegistroEntradas[[#This Row],[Data do Caixa Previsto]],"Vista","Prazo")</f>
        <v>Prazo</v>
      </c>
      <c r="Q18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433</v>
      </c>
    </row>
    <row r="183" spans="2:17" x14ac:dyDescent="0.25">
      <c r="B183" s="154">
        <v>43494</v>
      </c>
      <c r="C183" s="154">
        <v>43494</v>
      </c>
      <c r="D183" s="154">
        <v>43494</v>
      </c>
      <c r="E183" s="50" t="s">
        <v>24</v>
      </c>
      <c r="F183" s="50" t="s">
        <v>33</v>
      </c>
      <c r="G183" s="50" t="s">
        <v>236</v>
      </c>
      <c r="H183" s="155">
        <v>3619</v>
      </c>
      <c r="I183" s="50">
        <f>IF(TbRegistroEntradas[[#This Row],[Data do Caixa Realizado]]="",0,MONTH(TbRegistroEntradas[[#This Row],[Data do Caixa Realizado]]))</f>
        <v>1</v>
      </c>
      <c r="J183" s="50">
        <f>IF(TbRegistroEntradas[[#This Row],[Data do Caixa Realizado]]="",0,YEAR(TbRegistroEntradas[[#This Row],[Data do Caixa Realizado]]))</f>
        <v>2019</v>
      </c>
      <c r="K183" s="50">
        <f>IF(TbRegistroEntradas[[#This Row],[Data da Competência]]="",0,MONTH(TbRegistroEntradas[[#This Row],[Data da Competência]]))</f>
        <v>1</v>
      </c>
      <c r="L183" s="50">
        <f>IF(TbRegistroEntradas[[#This Row],[Data da Competência]]="",0,YEAR(TbRegistroEntradas[[#This Row],[Data da Competência]]))</f>
        <v>2019</v>
      </c>
      <c r="M183" s="156">
        <f>IF(TbRegistroEntradas[[#This Row],[Data do Caixa Previsto]]="",0,MONTH(TbRegistroEntradas[[#This Row],[Data do Caixa Previsto]]))</f>
        <v>1</v>
      </c>
      <c r="N183" s="156">
        <f>IF(TbRegistroEntradas[[#This Row],[Data do Caixa Previsto]]="",0,YEAR(TbRegistroEntradas[[#This Row],[Data do Caixa Previsto]]))</f>
        <v>2019</v>
      </c>
      <c r="O183" s="156" t="str">
        <f ca="1">IF(AND(TbRegistroEntradas[[#This Row],[Data do Caixa Previsto]]&lt;TODAY(),TbRegistroEntradas[[#This Row],[Data do Caixa Realizado]]=""),"Vencida","Não Vencida")</f>
        <v>Não Vencida</v>
      </c>
      <c r="P183" s="156" t="str">
        <f>IF(TbRegistroEntradas[[#This Row],[Data da Competência]]=TbRegistroEntradas[[#This Row],[Data do Caixa Previsto]],"Vista","Prazo")</f>
        <v>Vista</v>
      </c>
      <c r="Q18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4" spans="2:17" x14ac:dyDescent="0.25">
      <c r="B184" s="154">
        <v>43535</v>
      </c>
      <c r="C184" s="154">
        <v>43498</v>
      </c>
      <c r="D184" s="154">
        <v>43534</v>
      </c>
      <c r="E184" s="50" t="s">
        <v>24</v>
      </c>
      <c r="F184" s="50" t="s">
        <v>32</v>
      </c>
      <c r="G184" s="50" t="s">
        <v>237</v>
      </c>
      <c r="H184" s="155">
        <v>4030</v>
      </c>
      <c r="I184" s="50">
        <f>IF(TbRegistroEntradas[[#This Row],[Data do Caixa Realizado]]="",0,MONTH(TbRegistroEntradas[[#This Row],[Data do Caixa Realizado]]))</f>
        <v>3</v>
      </c>
      <c r="J184" s="50">
        <f>IF(TbRegistroEntradas[[#This Row],[Data do Caixa Realizado]]="",0,YEAR(TbRegistroEntradas[[#This Row],[Data do Caixa Realizado]]))</f>
        <v>2019</v>
      </c>
      <c r="K184" s="50">
        <f>IF(TbRegistroEntradas[[#This Row],[Data da Competência]]="",0,MONTH(TbRegistroEntradas[[#This Row],[Data da Competência]]))</f>
        <v>2</v>
      </c>
      <c r="L184" s="50">
        <f>IF(TbRegistroEntradas[[#This Row],[Data da Competência]]="",0,YEAR(TbRegistroEntradas[[#This Row],[Data da Competência]]))</f>
        <v>2019</v>
      </c>
      <c r="M184" s="156">
        <f>IF(TbRegistroEntradas[[#This Row],[Data do Caixa Previsto]]="",0,MONTH(TbRegistroEntradas[[#This Row],[Data do Caixa Previsto]]))</f>
        <v>3</v>
      </c>
      <c r="N184" s="156">
        <f>IF(TbRegistroEntradas[[#This Row],[Data do Caixa Previsto]]="",0,YEAR(TbRegistroEntradas[[#This Row],[Data do Caixa Previsto]]))</f>
        <v>2019</v>
      </c>
      <c r="O184" s="156" t="str">
        <f ca="1">IF(AND(TbRegistroEntradas[[#This Row],[Data do Caixa Previsto]]&lt;TODAY(),TbRegistroEntradas[[#This Row],[Data do Caixa Realizado]]=""),"Vencida","Não Vencida")</f>
        <v>Não Vencida</v>
      </c>
      <c r="P184" s="156" t="str">
        <f>IF(TbRegistroEntradas[[#This Row],[Data da Competência]]=TbRegistroEntradas[[#This Row],[Data do Caixa Previsto]],"Vista","Prazo")</f>
        <v>Prazo</v>
      </c>
      <c r="Q18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</v>
      </c>
    </row>
    <row r="185" spans="2:17" x14ac:dyDescent="0.25">
      <c r="B185" s="154">
        <v>43512</v>
      </c>
      <c r="C185" s="154">
        <v>43501</v>
      </c>
      <c r="D185" s="154">
        <v>43512</v>
      </c>
      <c r="E185" s="50" t="s">
        <v>24</v>
      </c>
      <c r="F185" s="50" t="s">
        <v>32</v>
      </c>
      <c r="G185" s="50" t="s">
        <v>238</v>
      </c>
      <c r="H185" s="155">
        <v>4157</v>
      </c>
      <c r="I185" s="50">
        <f>IF(TbRegistroEntradas[[#This Row],[Data do Caixa Realizado]]="",0,MONTH(TbRegistroEntradas[[#This Row],[Data do Caixa Realizado]]))</f>
        <v>2</v>
      </c>
      <c r="J185" s="50">
        <f>IF(TbRegistroEntradas[[#This Row],[Data do Caixa Realizado]]="",0,YEAR(TbRegistroEntradas[[#This Row],[Data do Caixa Realizado]]))</f>
        <v>2019</v>
      </c>
      <c r="K185" s="50">
        <f>IF(TbRegistroEntradas[[#This Row],[Data da Competência]]="",0,MONTH(TbRegistroEntradas[[#This Row],[Data da Competência]]))</f>
        <v>2</v>
      </c>
      <c r="L185" s="50">
        <f>IF(TbRegistroEntradas[[#This Row],[Data da Competência]]="",0,YEAR(TbRegistroEntradas[[#This Row],[Data da Competência]]))</f>
        <v>2019</v>
      </c>
      <c r="M185" s="156">
        <f>IF(TbRegistroEntradas[[#This Row],[Data do Caixa Previsto]]="",0,MONTH(TbRegistroEntradas[[#This Row],[Data do Caixa Previsto]]))</f>
        <v>2</v>
      </c>
      <c r="N185" s="156">
        <f>IF(TbRegistroEntradas[[#This Row],[Data do Caixa Previsto]]="",0,YEAR(TbRegistroEntradas[[#This Row],[Data do Caixa Previsto]]))</f>
        <v>2019</v>
      </c>
      <c r="O185" s="156" t="str">
        <f ca="1">IF(AND(TbRegistroEntradas[[#This Row],[Data do Caixa Previsto]]&lt;TODAY(),TbRegistroEntradas[[#This Row],[Data do Caixa Realizado]]=""),"Vencida","Não Vencida")</f>
        <v>Não Vencida</v>
      </c>
      <c r="P185" s="156" t="str">
        <f>IF(TbRegistroEntradas[[#This Row],[Data da Competência]]=TbRegistroEntradas[[#This Row],[Data do Caixa Previsto]],"Vista","Prazo")</f>
        <v>Prazo</v>
      </c>
      <c r="Q18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6" spans="2:17" x14ac:dyDescent="0.25">
      <c r="B186" s="154">
        <v>43532</v>
      </c>
      <c r="C186" s="154">
        <v>43502</v>
      </c>
      <c r="D186" s="154">
        <v>43532</v>
      </c>
      <c r="E186" s="50" t="s">
        <v>24</v>
      </c>
      <c r="F186" s="50" t="s">
        <v>31</v>
      </c>
      <c r="G186" s="50" t="s">
        <v>239</v>
      </c>
      <c r="H186" s="155">
        <v>1417</v>
      </c>
      <c r="I186" s="50">
        <f>IF(TbRegistroEntradas[[#This Row],[Data do Caixa Realizado]]="",0,MONTH(TbRegistroEntradas[[#This Row],[Data do Caixa Realizado]]))</f>
        <v>3</v>
      </c>
      <c r="J186" s="50">
        <f>IF(TbRegistroEntradas[[#This Row],[Data do Caixa Realizado]]="",0,YEAR(TbRegistroEntradas[[#This Row],[Data do Caixa Realizado]]))</f>
        <v>2019</v>
      </c>
      <c r="K186" s="50">
        <f>IF(TbRegistroEntradas[[#This Row],[Data da Competência]]="",0,MONTH(TbRegistroEntradas[[#This Row],[Data da Competência]]))</f>
        <v>2</v>
      </c>
      <c r="L186" s="50">
        <f>IF(TbRegistroEntradas[[#This Row],[Data da Competência]]="",0,YEAR(TbRegistroEntradas[[#This Row],[Data da Competência]]))</f>
        <v>2019</v>
      </c>
      <c r="M186" s="156">
        <f>IF(TbRegistroEntradas[[#This Row],[Data do Caixa Previsto]]="",0,MONTH(TbRegistroEntradas[[#This Row],[Data do Caixa Previsto]]))</f>
        <v>3</v>
      </c>
      <c r="N186" s="156">
        <f>IF(TbRegistroEntradas[[#This Row],[Data do Caixa Previsto]]="",0,YEAR(TbRegistroEntradas[[#This Row],[Data do Caixa Previsto]]))</f>
        <v>2019</v>
      </c>
      <c r="O186" s="156" t="str">
        <f ca="1">IF(AND(TbRegistroEntradas[[#This Row],[Data do Caixa Previsto]]&lt;TODAY(),TbRegistroEntradas[[#This Row],[Data do Caixa Realizado]]=""),"Vencida","Não Vencida")</f>
        <v>Não Vencida</v>
      </c>
      <c r="P186" s="156" t="str">
        <f>IF(TbRegistroEntradas[[#This Row],[Data da Competência]]=TbRegistroEntradas[[#This Row],[Data do Caixa Previsto]],"Vista","Prazo")</f>
        <v>Prazo</v>
      </c>
      <c r="Q18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7" spans="2:17" x14ac:dyDescent="0.25">
      <c r="B187" s="154">
        <v>43540</v>
      </c>
      <c r="C187" s="154">
        <v>43505</v>
      </c>
      <c r="D187" s="154">
        <v>43540</v>
      </c>
      <c r="E187" s="50" t="s">
        <v>24</v>
      </c>
      <c r="F187" s="50" t="s">
        <v>34</v>
      </c>
      <c r="G187" s="50" t="s">
        <v>240</v>
      </c>
      <c r="H187" s="155">
        <v>1117</v>
      </c>
      <c r="I187" s="50">
        <f>IF(TbRegistroEntradas[[#This Row],[Data do Caixa Realizado]]="",0,MONTH(TbRegistroEntradas[[#This Row],[Data do Caixa Realizado]]))</f>
        <v>3</v>
      </c>
      <c r="J187" s="50">
        <f>IF(TbRegistroEntradas[[#This Row],[Data do Caixa Realizado]]="",0,YEAR(TbRegistroEntradas[[#This Row],[Data do Caixa Realizado]]))</f>
        <v>2019</v>
      </c>
      <c r="K187" s="50">
        <f>IF(TbRegistroEntradas[[#This Row],[Data da Competência]]="",0,MONTH(TbRegistroEntradas[[#This Row],[Data da Competência]]))</f>
        <v>2</v>
      </c>
      <c r="L187" s="50">
        <f>IF(TbRegistroEntradas[[#This Row],[Data da Competência]]="",0,YEAR(TbRegistroEntradas[[#This Row],[Data da Competência]]))</f>
        <v>2019</v>
      </c>
      <c r="M187" s="156">
        <f>IF(TbRegistroEntradas[[#This Row],[Data do Caixa Previsto]]="",0,MONTH(TbRegistroEntradas[[#This Row],[Data do Caixa Previsto]]))</f>
        <v>3</v>
      </c>
      <c r="N187" s="156">
        <f>IF(TbRegistroEntradas[[#This Row],[Data do Caixa Previsto]]="",0,YEAR(TbRegistroEntradas[[#This Row],[Data do Caixa Previsto]]))</f>
        <v>2019</v>
      </c>
      <c r="O187" s="156" t="str">
        <f ca="1">IF(AND(TbRegistroEntradas[[#This Row],[Data do Caixa Previsto]]&lt;TODAY(),TbRegistroEntradas[[#This Row],[Data do Caixa Realizado]]=""),"Vencida","Não Vencida")</f>
        <v>Não Vencida</v>
      </c>
      <c r="P187" s="156" t="str">
        <f>IF(TbRegistroEntradas[[#This Row],[Data da Competência]]=TbRegistroEntradas[[#This Row],[Data do Caixa Previsto]],"Vista","Prazo")</f>
        <v>Prazo</v>
      </c>
      <c r="Q18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8" spans="2:17" x14ac:dyDescent="0.25">
      <c r="B188" s="154">
        <v>43541</v>
      </c>
      <c r="C188" s="154">
        <v>43506</v>
      </c>
      <c r="D188" s="154">
        <v>43541</v>
      </c>
      <c r="E188" s="50" t="s">
        <v>24</v>
      </c>
      <c r="F188" s="50" t="s">
        <v>30</v>
      </c>
      <c r="G188" s="50" t="s">
        <v>241</v>
      </c>
      <c r="H188" s="155">
        <v>4461</v>
      </c>
      <c r="I188" s="50">
        <f>IF(TbRegistroEntradas[[#This Row],[Data do Caixa Realizado]]="",0,MONTH(TbRegistroEntradas[[#This Row],[Data do Caixa Realizado]]))</f>
        <v>3</v>
      </c>
      <c r="J188" s="50">
        <f>IF(TbRegistroEntradas[[#This Row],[Data do Caixa Realizado]]="",0,YEAR(TbRegistroEntradas[[#This Row],[Data do Caixa Realizado]]))</f>
        <v>2019</v>
      </c>
      <c r="K188" s="50">
        <f>IF(TbRegistroEntradas[[#This Row],[Data da Competência]]="",0,MONTH(TbRegistroEntradas[[#This Row],[Data da Competência]]))</f>
        <v>2</v>
      </c>
      <c r="L188" s="50">
        <f>IF(TbRegistroEntradas[[#This Row],[Data da Competência]]="",0,YEAR(TbRegistroEntradas[[#This Row],[Data da Competência]]))</f>
        <v>2019</v>
      </c>
      <c r="M188" s="156">
        <f>IF(TbRegistroEntradas[[#This Row],[Data do Caixa Previsto]]="",0,MONTH(TbRegistroEntradas[[#This Row],[Data do Caixa Previsto]]))</f>
        <v>3</v>
      </c>
      <c r="N188" s="156">
        <f>IF(TbRegistroEntradas[[#This Row],[Data do Caixa Previsto]]="",0,YEAR(TbRegistroEntradas[[#This Row],[Data do Caixa Previsto]]))</f>
        <v>2019</v>
      </c>
      <c r="O188" s="156" t="str">
        <f ca="1">IF(AND(TbRegistroEntradas[[#This Row],[Data do Caixa Previsto]]&lt;TODAY(),TbRegistroEntradas[[#This Row],[Data do Caixa Realizado]]=""),"Vencida","Não Vencida")</f>
        <v>Não Vencida</v>
      </c>
      <c r="P188" s="156" t="str">
        <f>IF(TbRegistroEntradas[[#This Row],[Data da Competência]]=TbRegistroEntradas[[#This Row],[Data do Caixa Previsto]],"Vista","Prazo")</f>
        <v>Prazo</v>
      </c>
      <c r="Q18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9" spans="2:17" x14ac:dyDescent="0.25">
      <c r="B189" s="154">
        <v>43549</v>
      </c>
      <c r="C189" s="154">
        <v>43508</v>
      </c>
      <c r="D189" s="154">
        <v>43508</v>
      </c>
      <c r="E189" s="50" t="s">
        <v>24</v>
      </c>
      <c r="F189" s="50" t="s">
        <v>33</v>
      </c>
      <c r="G189" s="50" t="s">
        <v>242</v>
      </c>
      <c r="H189" s="155">
        <v>3732</v>
      </c>
      <c r="I189" s="50">
        <f>IF(TbRegistroEntradas[[#This Row],[Data do Caixa Realizado]]="",0,MONTH(TbRegistroEntradas[[#This Row],[Data do Caixa Realizado]]))</f>
        <v>3</v>
      </c>
      <c r="J189" s="50">
        <f>IF(TbRegistroEntradas[[#This Row],[Data do Caixa Realizado]]="",0,YEAR(TbRegistroEntradas[[#This Row],[Data do Caixa Realizado]]))</f>
        <v>2019</v>
      </c>
      <c r="K189" s="50">
        <f>IF(TbRegistroEntradas[[#This Row],[Data da Competência]]="",0,MONTH(TbRegistroEntradas[[#This Row],[Data da Competência]]))</f>
        <v>2</v>
      </c>
      <c r="L189" s="50">
        <f>IF(TbRegistroEntradas[[#This Row],[Data da Competência]]="",0,YEAR(TbRegistroEntradas[[#This Row],[Data da Competência]]))</f>
        <v>2019</v>
      </c>
      <c r="M189" s="156">
        <f>IF(TbRegistroEntradas[[#This Row],[Data do Caixa Previsto]]="",0,MONTH(TbRegistroEntradas[[#This Row],[Data do Caixa Previsto]]))</f>
        <v>2</v>
      </c>
      <c r="N189" s="156">
        <f>IF(TbRegistroEntradas[[#This Row],[Data do Caixa Previsto]]="",0,YEAR(TbRegistroEntradas[[#This Row],[Data do Caixa Previsto]]))</f>
        <v>2019</v>
      </c>
      <c r="O189" s="156" t="str">
        <f ca="1">IF(AND(TbRegistroEntradas[[#This Row],[Data do Caixa Previsto]]&lt;TODAY(),TbRegistroEntradas[[#This Row],[Data do Caixa Realizado]]=""),"Vencida","Não Vencida")</f>
        <v>Não Vencida</v>
      </c>
      <c r="P189" s="156" t="str">
        <f>IF(TbRegistroEntradas[[#This Row],[Data da Competência]]=TbRegistroEntradas[[#This Row],[Data do Caixa Previsto]],"Vista","Prazo")</f>
        <v>Vista</v>
      </c>
      <c r="Q18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41</v>
      </c>
    </row>
    <row r="190" spans="2:17" x14ac:dyDescent="0.25">
      <c r="B190" s="154">
        <v>43509</v>
      </c>
      <c r="C190" s="154">
        <v>43509</v>
      </c>
      <c r="D190" s="154">
        <v>43509</v>
      </c>
      <c r="E190" s="50" t="s">
        <v>24</v>
      </c>
      <c r="F190" s="50" t="s">
        <v>34</v>
      </c>
      <c r="G190" s="50" t="s">
        <v>243</v>
      </c>
      <c r="H190" s="155">
        <v>2024</v>
      </c>
      <c r="I190" s="50">
        <f>IF(TbRegistroEntradas[[#This Row],[Data do Caixa Realizado]]="",0,MONTH(TbRegistroEntradas[[#This Row],[Data do Caixa Realizado]]))</f>
        <v>2</v>
      </c>
      <c r="J190" s="50">
        <f>IF(TbRegistroEntradas[[#This Row],[Data do Caixa Realizado]]="",0,YEAR(TbRegistroEntradas[[#This Row],[Data do Caixa Realizado]]))</f>
        <v>2019</v>
      </c>
      <c r="K190" s="50">
        <f>IF(TbRegistroEntradas[[#This Row],[Data da Competência]]="",0,MONTH(TbRegistroEntradas[[#This Row],[Data da Competência]]))</f>
        <v>2</v>
      </c>
      <c r="L190" s="50">
        <f>IF(TbRegistroEntradas[[#This Row],[Data da Competência]]="",0,YEAR(TbRegistroEntradas[[#This Row],[Data da Competência]]))</f>
        <v>2019</v>
      </c>
      <c r="M190" s="156">
        <f>IF(TbRegistroEntradas[[#This Row],[Data do Caixa Previsto]]="",0,MONTH(TbRegistroEntradas[[#This Row],[Data do Caixa Previsto]]))</f>
        <v>2</v>
      </c>
      <c r="N190" s="156">
        <f>IF(TbRegistroEntradas[[#This Row],[Data do Caixa Previsto]]="",0,YEAR(TbRegistroEntradas[[#This Row],[Data do Caixa Previsto]]))</f>
        <v>2019</v>
      </c>
      <c r="O190" s="156" t="str">
        <f ca="1">IF(AND(TbRegistroEntradas[[#This Row],[Data do Caixa Previsto]]&lt;TODAY(),TbRegistroEntradas[[#This Row],[Data do Caixa Realizado]]=""),"Vencida","Não Vencida")</f>
        <v>Não Vencida</v>
      </c>
      <c r="P190" s="156" t="str">
        <f>IF(TbRegistroEntradas[[#This Row],[Data da Competência]]=TbRegistroEntradas[[#This Row],[Data do Caixa Previsto]],"Vista","Prazo")</f>
        <v>Vista</v>
      </c>
      <c r="Q19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1" spans="2:17" x14ac:dyDescent="0.25">
      <c r="B191" s="154">
        <v>43512</v>
      </c>
      <c r="C191" s="154">
        <v>43512</v>
      </c>
      <c r="D191" s="154">
        <v>43512</v>
      </c>
      <c r="E191" s="50" t="s">
        <v>24</v>
      </c>
      <c r="F191" s="50" t="s">
        <v>33</v>
      </c>
      <c r="G191" s="50" t="s">
        <v>244</v>
      </c>
      <c r="H191" s="155">
        <v>928</v>
      </c>
      <c r="I191" s="50">
        <f>IF(TbRegistroEntradas[[#This Row],[Data do Caixa Realizado]]="",0,MONTH(TbRegistroEntradas[[#This Row],[Data do Caixa Realizado]]))</f>
        <v>2</v>
      </c>
      <c r="J191" s="50">
        <f>IF(TbRegistroEntradas[[#This Row],[Data do Caixa Realizado]]="",0,YEAR(TbRegistroEntradas[[#This Row],[Data do Caixa Realizado]]))</f>
        <v>2019</v>
      </c>
      <c r="K191" s="50">
        <f>IF(TbRegistroEntradas[[#This Row],[Data da Competência]]="",0,MONTH(TbRegistroEntradas[[#This Row],[Data da Competência]]))</f>
        <v>2</v>
      </c>
      <c r="L191" s="50">
        <f>IF(TbRegistroEntradas[[#This Row],[Data da Competência]]="",0,YEAR(TbRegistroEntradas[[#This Row],[Data da Competência]]))</f>
        <v>2019</v>
      </c>
      <c r="M191" s="156">
        <f>IF(TbRegistroEntradas[[#This Row],[Data do Caixa Previsto]]="",0,MONTH(TbRegistroEntradas[[#This Row],[Data do Caixa Previsto]]))</f>
        <v>2</v>
      </c>
      <c r="N191" s="156">
        <f>IF(TbRegistroEntradas[[#This Row],[Data do Caixa Previsto]]="",0,YEAR(TbRegistroEntradas[[#This Row],[Data do Caixa Previsto]]))</f>
        <v>2019</v>
      </c>
      <c r="O191" s="156" t="str">
        <f ca="1">IF(AND(TbRegistroEntradas[[#This Row],[Data do Caixa Previsto]]&lt;TODAY(),TbRegistroEntradas[[#This Row],[Data do Caixa Realizado]]=""),"Vencida","Não Vencida")</f>
        <v>Não Vencida</v>
      </c>
      <c r="P191" s="156" t="str">
        <f>IF(TbRegistroEntradas[[#This Row],[Data da Competência]]=TbRegistroEntradas[[#This Row],[Data do Caixa Previsto]],"Vista","Prazo")</f>
        <v>Vista</v>
      </c>
      <c r="Q19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2" spans="2:17" x14ac:dyDescent="0.25">
      <c r="B192" s="154">
        <v>43533</v>
      </c>
      <c r="C192" s="154">
        <v>43513</v>
      </c>
      <c r="D192" s="154">
        <v>43513</v>
      </c>
      <c r="E192" s="50" t="s">
        <v>24</v>
      </c>
      <c r="F192" s="50" t="s">
        <v>33</v>
      </c>
      <c r="G192" s="50" t="s">
        <v>245</v>
      </c>
      <c r="H192" s="155">
        <v>3557</v>
      </c>
      <c r="I192" s="50">
        <f>IF(TbRegistroEntradas[[#This Row],[Data do Caixa Realizado]]="",0,MONTH(TbRegistroEntradas[[#This Row],[Data do Caixa Realizado]]))</f>
        <v>3</v>
      </c>
      <c r="J192" s="50">
        <f>IF(TbRegistroEntradas[[#This Row],[Data do Caixa Realizado]]="",0,YEAR(TbRegistroEntradas[[#This Row],[Data do Caixa Realizado]]))</f>
        <v>2019</v>
      </c>
      <c r="K192" s="50">
        <f>IF(TbRegistroEntradas[[#This Row],[Data da Competência]]="",0,MONTH(TbRegistroEntradas[[#This Row],[Data da Competência]]))</f>
        <v>2</v>
      </c>
      <c r="L192" s="50">
        <f>IF(TbRegistroEntradas[[#This Row],[Data da Competência]]="",0,YEAR(TbRegistroEntradas[[#This Row],[Data da Competência]]))</f>
        <v>2019</v>
      </c>
      <c r="M192" s="156">
        <f>IF(TbRegistroEntradas[[#This Row],[Data do Caixa Previsto]]="",0,MONTH(TbRegistroEntradas[[#This Row],[Data do Caixa Previsto]]))</f>
        <v>2</v>
      </c>
      <c r="N192" s="156">
        <f>IF(TbRegistroEntradas[[#This Row],[Data do Caixa Previsto]]="",0,YEAR(TbRegistroEntradas[[#This Row],[Data do Caixa Previsto]]))</f>
        <v>2019</v>
      </c>
      <c r="O192" s="156" t="str">
        <f ca="1">IF(AND(TbRegistroEntradas[[#This Row],[Data do Caixa Previsto]]&lt;TODAY(),TbRegistroEntradas[[#This Row],[Data do Caixa Realizado]]=""),"Vencida","Não Vencida")</f>
        <v>Não Vencida</v>
      </c>
      <c r="P192" s="156" t="str">
        <f>IF(TbRegistroEntradas[[#This Row],[Data da Competência]]=TbRegistroEntradas[[#This Row],[Data do Caixa Previsto]],"Vista","Prazo")</f>
        <v>Vista</v>
      </c>
      <c r="Q19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20</v>
      </c>
    </row>
    <row r="193" spans="2:17" x14ac:dyDescent="0.25">
      <c r="B193" s="154">
        <v>43540</v>
      </c>
      <c r="C193" s="154">
        <v>43514</v>
      </c>
      <c r="D193" s="154">
        <v>43540</v>
      </c>
      <c r="E193" s="50" t="s">
        <v>24</v>
      </c>
      <c r="F193" s="50" t="s">
        <v>34</v>
      </c>
      <c r="G193" s="50" t="s">
        <v>246</v>
      </c>
      <c r="H193" s="155">
        <v>741</v>
      </c>
      <c r="I193" s="50">
        <f>IF(TbRegistroEntradas[[#This Row],[Data do Caixa Realizado]]="",0,MONTH(TbRegistroEntradas[[#This Row],[Data do Caixa Realizado]]))</f>
        <v>3</v>
      </c>
      <c r="J193" s="50">
        <f>IF(TbRegistroEntradas[[#This Row],[Data do Caixa Realizado]]="",0,YEAR(TbRegistroEntradas[[#This Row],[Data do Caixa Realizado]]))</f>
        <v>2019</v>
      </c>
      <c r="K193" s="50">
        <f>IF(TbRegistroEntradas[[#This Row],[Data da Competência]]="",0,MONTH(TbRegistroEntradas[[#This Row],[Data da Competência]]))</f>
        <v>2</v>
      </c>
      <c r="L193" s="50">
        <f>IF(TbRegistroEntradas[[#This Row],[Data da Competência]]="",0,YEAR(TbRegistroEntradas[[#This Row],[Data da Competência]]))</f>
        <v>2019</v>
      </c>
      <c r="M193" s="156">
        <f>IF(TbRegistroEntradas[[#This Row],[Data do Caixa Previsto]]="",0,MONTH(TbRegistroEntradas[[#This Row],[Data do Caixa Previsto]]))</f>
        <v>3</v>
      </c>
      <c r="N193" s="156">
        <f>IF(TbRegistroEntradas[[#This Row],[Data do Caixa Previsto]]="",0,YEAR(TbRegistroEntradas[[#This Row],[Data do Caixa Previsto]]))</f>
        <v>2019</v>
      </c>
      <c r="O193" s="156" t="str">
        <f ca="1">IF(AND(TbRegistroEntradas[[#This Row],[Data do Caixa Previsto]]&lt;TODAY(),TbRegistroEntradas[[#This Row],[Data do Caixa Realizado]]=""),"Vencida","Não Vencida")</f>
        <v>Não Vencida</v>
      </c>
      <c r="P193" s="156" t="str">
        <f>IF(TbRegistroEntradas[[#This Row],[Data da Competência]]=TbRegistroEntradas[[#This Row],[Data do Caixa Previsto]],"Vista","Prazo")</f>
        <v>Prazo</v>
      </c>
      <c r="Q19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4" spans="2:17" x14ac:dyDescent="0.25">
      <c r="B194" s="154">
        <v>43548</v>
      </c>
      <c r="C194" s="154">
        <v>43517</v>
      </c>
      <c r="D194" s="154">
        <v>43548</v>
      </c>
      <c r="E194" s="50" t="s">
        <v>24</v>
      </c>
      <c r="F194" s="50" t="s">
        <v>34</v>
      </c>
      <c r="G194" s="50" t="s">
        <v>247</v>
      </c>
      <c r="H194" s="155">
        <v>850</v>
      </c>
      <c r="I194" s="50">
        <f>IF(TbRegistroEntradas[[#This Row],[Data do Caixa Realizado]]="",0,MONTH(TbRegistroEntradas[[#This Row],[Data do Caixa Realizado]]))</f>
        <v>3</v>
      </c>
      <c r="J194" s="50">
        <f>IF(TbRegistroEntradas[[#This Row],[Data do Caixa Realizado]]="",0,YEAR(TbRegistroEntradas[[#This Row],[Data do Caixa Realizado]]))</f>
        <v>2019</v>
      </c>
      <c r="K194" s="50">
        <f>IF(TbRegistroEntradas[[#This Row],[Data da Competência]]="",0,MONTH(TbRegistroEntradas[[#This Row],[Data da Competência]]))</f>
        <v>2</v>
      </c>
      <c r="L194" s="50">
        <f>IF(TbRegistroEntradas[[#This Row],[Data da Competência]]="",0,YEAR(TbRegistroEntradas[[#This Row],[Data da Competência]]))</f>
        <v>2019</v>
      </c>
      <c r="M194" s="156">
        <f>IF(TbRegistroEntradas[[#This Row],[Data do Caixa Previsto]]="",0,MONTH(TbRegistroEntradas[[#This Row],[Data do Caixa Previsto]]))</f>
        <v>3</v>
      </c>
      <c r="N194" s="156">
        <f>IF(TbRegistroEntradas[[#This Row],[Data do Caixa Previsto]]="",0,YEAR(TbRegistroEntradas[[#This Row],[Data do Caixa Previsto]]))</f>
        <v>2019</v>
      </c>
      <c r="O194" s="156" t="str">
        <f ca="1">IF(AND(TbRegistroEntradas[[#This Row],[Data do Caixa Previsto]]&lt;TODAY(),TbRegistroEntradas[[#This Row],[Data do Caixa Realizado]]=""),"Vencida","Não Vencida")</f>
        <v>Não Vencida</v>
      </c>
      <c r="P194" s="156" t="str">
        <f>IF(TbRegistroEntradas[[#This Row],[Data da Competência]]=TbRegistroEntradas[[#This Row],[Data do Caixa Previsto]],"Vista","Prazo")</f>
        <v>Prazo</v>
      </c>
      <c r="Q19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5" spans="2:17" x14ac:dyDescent="0.25">
      <c r="B195" s="154">
        <v>43522</v>
      </c>
      <c r="C195" s="154">
        <v>43522</v>
      </c>
      <c r="D195" s="154">
        <v>43522</v>
      </c>
      <c r="E195" s="50" t="s">
        <v>24</v>
      </c>
      <c r="F195" s="50" t="s">
        <v>33</v>
      </c>
      <c r="G195" s="50" t="s">
        <v>248</v>
      </c>
      <c r="H195" s="155">
        <v>4741</v>
      </c>
      <c r="I195" s="50">
        <f>IF(TbRegistroEntradas[[#This Row],[Data do Caixa Realizado]]="",0,MONTH(TbRegistroEntradas[[#This Row],[Data do Caixa Realizado]]))</f>
        <v>2</v>
      </c>
      <c r="J195" s="50">
        <f>IF(TbRegistroEntradas[[#This Row],[Data do Caixa Realizado]]="",0,YEAR(TbRegistroEntradas[[#This Row],[Data do Caixa Realizado]]))</f>
        <v>2019</v>
      </c>
      <c r="K195" s="50">
        <f>IF(TbRegistroEntradas[[#This Row],[Data da Competência]]="",0,MONTH(TbRegistroEntradas[[#This Row],[Data da Competência]]))</f>
        <v>2</v>
      </c>
      <c r="L195" s="50">
        <f>IF(TbRegistroEntradas[[#This Row],[Data da Competência]]="",0,YEAR(TbRegistroEntradas[[#This Row],[Data da Competência]]))</f>
        <v>2019</v>
      </c>
      <c r="M195" s="156">
        <f>IF(TbRegistroEntradas[[#This Row],[Data do Caixa Previsto]]="",0,MONTH(TbRegistroEntradas[[#This Row],[Data do Caixa Previsto]]))</f>
        <v>2</v>
      </c>
      <c r="N195" s="156">
        <f>IF(TbRegistroEntradas[[#This Row],[Data do Caixa Previsto]]="",0,YEAR(TbRegistroEntradas[[#This Row],[Data do Caixa Previsto]]))</f>
        <v>2019</v>
      </c>
      <c r="O195" s="156" t="str">
        <f ca="1">IF(AND(TbRegistroEntradas[[#This Row],[Data do Caixa Previsto]]&lt;TODAY(),TbRegistroEntradas[[#This Row],[Data do Caixa Realizado]]=""),"Vencida","Não Vencida")</f>
        <v>Não Vencida</v>
      </c>
      <c r="P195" s="156" t="str">
        <f>IF(TbRegistroEntradas[[#This Row],[Data da Competência]]=TbRegistroEntradas[[#This Row],[Data do Caixa Previsto]],"Vista","Prazo")</f>
        <v>Vista</v>
      </c>
      <c r="Q19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6" spans="2:17" x14ac:dyDescent="0.25">
      <c r="B196" s="154">
        <v>43525</v>
      </c>
      <c r="C196" s="154">
        <v>43525</v>
      </c>
      <c r="D196" s="154">
        <v>43525</v>
      </c>
      <c r="E196" s="50" t="s">
        <v>24</v>
      </c>
      <c r="F196" s="50" t="s">
        <v>31</v>
      </c>
      <c r="G196" s="50" t="s">
        <v>249</v>
      </c>
      <c r="H196" s="155">
        <v>471</v>
      </c>
      <c r="I196" s="50">
        <f>IF(TbRegistroEntradas[[#This Row],[Data do Caixa Realizado]]="",0,MONTH(TbRegistroEntradas[[#This Row],[Data do Caixa Realizado]]))</f>
        <v>3</v>
      </c>
      <c r="J196" s="50">
        <f>IF(TbRegistroEntradas[[#This Row],[Data do Caixa Realizado]]="",0,YEAR(TbRegistroEntradas[[#This Row],[Data do Caixa Realizado]]))</f>
        <v>2019</v>
      </c>
      <c r="K196" s="50">
        <f>IF(TbRegistroEntradas[[#This Row],[Data da Competência]]="",0,MONTH(TbRegistroEntradas[[#This Row],[Data da Competência]]))</f>
        <v>3</v>
      </c>
      <c r="L196" s="50">
        <f>IF(TbRegistroEntradas[[#This Row],[Data da Competência]]="",0,YEAR(TbRegistroEntradas[[#This Row],[Data da Competência]]))</f>
        <v>2019</v>
      </c>
      <c r="M196" s="156">
        <f>IF(TbRegistroEntradas[[#This Row],[Data do Caixa Previsto]]="",0,MONTH(TbRegistroEntradas[[#This Row],[Data do Caixa Previsto]]))</f>
        <v>3</v>
      </c>
      <c r="N196" s="156">
        <f>IF(TbRegistroEntradas[[#This Row],[Data do Caixa Previsto]]="",0,YEAR(TbRegistroEntradas[[#This Row],[Data do Caixa Previsto]]))</f>
        <v>2019</v>
      </c>
      <c r="O196" s="156" t="str">
        <f ca="1">IF(AND(TbRegistroEntradas[[#This Row],[Data do Caixa Previsto]]&lt;TODAY(),TbRegistroEntradas[[#This Row],[Data do Caixa Realizado]]=""),"Vencida","Não Vencida")</f>
        <v>Não Vencida</v>
      </c>
      <c r="P196" s="156" t="str">
        <f>IF(TbRegistroEntradas[[#This Row],[Data da Competência]]=TbRegistroEntradas[[#This Row],[Data do Caixa Previsto]],"Vista","Prazo")</f>
        <v>Vista</v>
      </c>
      <c r="Q19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7" spans="2:17" x14ac:dyDescent="0.25">
      <c r="B197" s="154">
        <v>43527</v>
      </c>
      <c r="C197" s="154">
        <v>43527</v>
      </c>
      <c r="D197" s="154">
        <v>43527</v>
      </c>
      <c r="E197" s="50" t="s">
        <v>24</v>
      </c>
      <c r="F197" s="50" t="s">
        <v>31</v>
      </c>
      <c r="G197" s="50" t="s">
        <v>250</v>
      </c>
      <c r="H197" s="155">
        <v>517</v>
      </c>
      <c r="I197" s="50">
        <f>IF(TbRegistroEntradas[[#This Row],[Data do Caixa Realizado]]="",0,MONTH(TbRegistroEntradas[[#This Row],[Data do Caixa Realizado]]))</f>
        <v>3</v>
      </c>
      <c r="J197" s="50">
        <f>IF(TbRegistroEntradas[[#This Row],[Data do Caixa Realizado]]="",0,YEAR(TbRegistroEntradas[[#This Row],[Data do Caixa Realizado]]))</f>
        <v>2019</v>
      </c>
      <c r="K197" s="50">
        <f>IF(TbRegistroEntradas[[#This Row],[Data da Competência]]="",0,MONTH(TbRegistroEntradas[[#This Row],[Data da Competência]]))</f>
        <v>3</v>
      </c>
      <c r="L197" s="50">
        <f>IF(TbRegistroEntradas[[#This Row],[Data da Competência]]="",0,YEAR(TbRegistroEntradas[[#This Row],[Data da Competência]]))</f>
        <v>2019</v>
      </c>
      <c r="M197" s="156">
        <f>IF(TbRegistroEntradas[[#This Row],[Data do Caixa Previsto]]="",0,MONTH(TbRegistroEntradas[[#This Row],[Data do Caixa Previsto]]))</f>
        <v>3</v>
      </c>
      <c r="N197" s="156">
        <f>IF(TbRegistroEntradas[[#This Row],[Data do Caixa Previsto]]="",0,YEAR(TbRegistroEntradas[[#This Row],[Data do Caixa Previsto]]))</f>
        <v>2019</v>
      </c>
      <c r="O197" s="156" t="str">
        <f ca="1">IF(AND(TbRegistroEntradas[[#This Row],[Data do Caixa Previsto]]&lt;TODAY(),TbRegistroEntradas[[#This Row],[Data do Caixa Realizado]]=""),"Vencida","Não Vencida")</f>
        <v>Não Vencida</v>
      </c>
      <c r="P197" s="156" t="str">
        <f>IF(TbRegistroEntradas[[#This Row],[Data da Competência]]=TbRegistroEntradas[[#This Row],[Data do Caixa Previsto]],"Vista","Prazo")</f>
        <v>Vista</v>
      </c>
      <c r="Q19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8" spans="2:17" x14ac:dyDescent="0.25">
      <c r="B198" s="154">
        <v>43563</v>
      </c>
      <c r="C198" s="154">
        <v>43534</v>
      </c>
      <c r="D198" s="154">
        <v>43563</v>
      </c>
      <c r="E198" s="50" t="s">
        <v>24</v>
      </c>
      <c r="F198" s="50" t="s">
        <v>31</v>
      </c>
      <c r="G198" s="50" t="s">
        <v>251</v>
      </c>
      <c r="H198" s="155">
        <v>3034</v>
      </c>
      <c r="I198" s="50">
        <f>IF(TbRegistroEntradas[[#This Row],[Data do Caixa Realizado]]="",0,MONTH(TbRegistroEntradas[[#This Row],[Data do Caixa Realizado]]))</f>
        <v>4</v>
      </c>
      <c r="J198" s="50">
        <f>IF(TbRegistroEntradas[[#This Row],[Data do Caixa Realizado]]="",0,YEAR(TbRegistroEntradas[[#This Row],[Data do Caixa Realizado]]))</f>
        <v>2019</v>
      </c>
      <c r="K198" s="50">
        <f>IF(TbRegistroEntradas[[#This Row],[Data da Competência]]="",0,MONTH(TbRegistroEntradas[[#This Row],[Data da Competência]]))</f>
        <v>3</v>
      </c>
      <c r="L198" s="50">
        <f>IF(TbRegistroEntradas[[#This Row],[Data da Competência]]="",0,YEAR(TbRegistroEntradas[[#This Row],[Data da Competência]]))</f>
        <v>2019</v>
      </c>
      <c r="M198" s="156">
        <f>IF(TbRegistroEntradas[[#This Row],[Data do Caixa Previsto]]="",0,MONTH(TbRegistroEntradas[[#This Row],[Data do Caixa Previsto]]))</f>
        <v>4</v>
      </c>
      <c r="N198" s="156">
        <f>IF(TbRegistroEntradas[[#This Row],[Data do Caixa Previsto]]="",0,YEAR(TbRegistroEntradas[[#This Row],[Data do Caixa Previsto]]))</f>
        <v>2019</v>
      </c>
      <c r="O198" s="156" t="str">
        <f ca="1">IF(AND(TbRegistroEntradas[[#This Row],[Data do Caixa Previsto]]&lt;TODAY(),TbRegistroEntradas[[#This Row],[Data do Caixa Realizado]]=""),"Vencida","Não Vencida")</f>
        <v>Não Vencida</v>
      </c>
      <c r="P198" s="156" t="str">
        <f>IF(TbRegistroEntradas[[#This Row],[Data da Competência]]=TbRegistroEntradas[[#This Row],[Data do Caixa Previsto]],"Vista","Prazo")</f>
        <v>Prazo</v>
      </c>
      <c r="Q19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9" spans="2:17" x14ac:dyDescent="0.25">
      <c r="B199" s="154">
        <v>43578</v>
      </c>
      <c r="C199" s="154">
        <v>43537</v>
      </c>
      <c r="D199" s="154">
        <v>43578</v>
      </c>
      <c r="E199" s="50" t="s">
        <v>24</v>
      </c>
      <c r="F199" s="50" t="s">
        <v>33</v>
      </c>
      <c r="G199" s="50" t="s">
        <v>252</v>
      </c>
      <c r="H199" s="155">
        <v>3172</v>
      </c>
      <c r="I199" s="50">
        <f>IF(TbRegistroEntradas[[#This Row],[Data do Caixa Realizado]]="",0,MONTH(TbRegistroEntradas[[#This Row],[Data do Caixa Realizado]]))</f>
        <v>4</v>
      </c>
      <c r="J199" s="50">
        <f>IF(TbRegistroEntradas[[#This Row],[Data do Caixa Realizado]]="",0,YEAR(TbRegistroEntradas[[#This Row],[Data do Caixa Realizado]]))</f>
        <v>2019</v>
      </c>
      <c r="K199" s="50">
        <f>IF(TbRegistroEntradas[[#This Row],[Data da Competência]]="",0,MONTH(TbRegistroEntradas[[#This Row],[Data da Competência]]))</f>
        <v>3</v>
      </c>
      <c r="L199" s="50">
        <f>IF(TbRegistroEntradas[[#This Row],[Data da Competência]]="",0,YEAR(TbRegistroEntradas[[#This Row],[Data da Competência]]))</f>
        <v>2019</v>
      </c>
      <c r="M199" s="156">
        <f>IF(TbRegistroEntradas[[#This Row],[Data do Caixa Previsto]]="",0,MONTH(TbRegistroEntradas[[#This Row],[Data do Caixa Previsto]]))</f>
        <v>4</v>
      </c>
      <c r="N199" s="156">
        <f>IF(TbRegistroEntradas[[#This Row],[Data do Caixa Previsto]]="",0,YEAR(TbRegistroEntradas[[#This Row],[Data do Caixa Previsto]]))</f>
        <v>2019</v>
      </c>
      <c r="O199" s="156" t="str">
        <f ca="1">IF(AND(TbRegistroEntradas[[#This Row],[Data do Caixa Previsto]]&lt;TODAY(),TbRegistroEntradas[[#This Row],[Data do Caixa Realizado]]=""),"Vencida","Não Vencida")</f>
        <v>Não Vencida</v>
      </c>
      <c r="P199" s="156" t="str">
        <f>IF(TbRegistroEntradas[[#This Row],[Data da Competência]]=TbRegistroEntradas[[#This Row],[Data do Caixa Previsto]],"Vista","Prazo")</f>
        <v>Prazo</v>
      </c>
      <c r="Q19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0" spans="2:17" x14ac:dyDescent="0.25">
      <c r="B200" s="154">
        <v>43543</v>
      </c>
      <c r="C200" s="154">
        <v>43543</v>
      </c>
      <c r="D200" s="154">
        <v>43543</v>
      </c>
      <c r="E200" s="50" t="s">
        <v>24</v>
      </c>
      <c r="F200" s="50" t="s">
        <v>32</v>
      </c>
      <c r="G200" s="50" t="s">
        <v>253</v>
      </c>
      <c r="H200" s="155">
        <v>2069</v>
      </c>
      <c r="I200" s="50">
        <f>IF(TbRegistroEntradas[[#This Row],[Data do Caixa Realizado]]="",0,MONTH(TbRegistroEntradas[[#This Row],[Data do Caixa Realizado]]))</f>
        <v>3</v>
      </c>
      <c r="J200" s="50">
        <f>IF(TbRegistroEntradas[[#This Row],[Data do Caixa Realizado]]="",0,YEAR(TbRegistroEntradas[[#This Row],[Data do Caixa Realizado]]))</f>
        <v>2019</v>
      </c>
      <c r="K200" s="50">
        <f>IF(TbRegistroEntradas[[#This Row],[Data da Competência]]="",0,MONTH(TbRegistroEntradas[[#This Row],[Data da Competência]]))</f>
        <v>3</v>
      </c>
      <c r="L200" s="50">
        <f>IF(TbRegistroEntradas[[#This Row],[Data da Competência]]="",0,YEAR(TbRegistroEntradas[[#This Row],[Data da Competência]]))</f>
        <v>2019</v>
      </c>
      <c r="M200" s="156">
        <f>IF(TbRegistroEntradas[[#This Row],[Data do Caixa Previsto]]="",0,MONTH(TbRegistroEntradas[[#This Row],[Data do Caixa Previsto]]))</f>
        <v>3</v>
      </c>
      <c r="N200" s="156">
        <f>IF(TbRegistroEntradas[[#This Row],[Data do Caixa Previsto]]="",0,YEAR(TbRegistroEntradas[[#This Row],[Data do Caixa Previsto]]))</f>
        <v>2019</v>
      </c>
      <c r="O200" s="156" t="str">
        <f ca="1">IF(AND(TbRegistroEntradas[[#This Row],[Data do Caixa Previsto]]&lt;TODAY(),TbRegistroEntradas[[#This Row],[Data do Caixa Realizado]]=""),"Vencida","Não Vencida")</f>
        <v>Não Vencida</v>
      </c>
      <c r="P200" s="156" t="str">
        <f>IF(TbRegistroEntradas[[#This Row],[Data da Competência]]=TbRegistroEntradas[[#This Row],[Data do Caixa Previsto]],"Vista","Prazo")</f>
        <v>Vista</v>
      </c>
      <c r="Q20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1" spans="2:17" x14ac:dyDescent="0.25">
      <c r="B201" s="154">
        <v>43545</v>
      </c>
      <c r="C201" s="154">
        <v>43545</v>
      </c>
      <c r="D201" s="154">
        <v>43545</v>
      </c>
      <c r="E201" s="50" t="s">
        <v>24</v>
      </c>
      <c r="F201" s="50" t="s">
        <v>32</v>
      </c>
      <c r="G201" s="50" t="s">
        <v>254</v>
      </c>
      <c r="H201" s="155">
        <v>3849</v>
      </c>
      <c r="I201" s="50">
        <f>IF(TbRegistroEntradas[[#This Row],[Data do Caixa Realizado]]="",0,MONTH(TbRegistroEntradas[[#This Row],[Data do Caixa Realizado]]))</f>
        <v>3</v>
      </c>
      <c r="J201" s="50">
        <f>IF(TbRegistroEntradas[[#This Row],[Data do Caixa Realizado]]="",0,YEAR(TbRegistroEntradas[[#This Row],[Data do Caixa Realizado]]))</f>
        <v>2019</v>
      </c>
      <c r="K201" s="50">
        <f>IF(TbRegistroEntradas[[#This Row],[Data da Competência]]="",0,MONTH(TbRegistroEntradas[[#This Row],[Data da Competência]]))</f>
        <v>3</v>
      </c>
      <c r="L201" s="50">
        <f>IF(TbRegistroEntradas[[#This Row],[Data da Competência]]="",0,YEAR(TbRegistroEntradas[[#This Row],[Data da Competência]]))</f>
        <v>2019</v>
      </c>
      <c r="M201" s="156">
        <f>IF(TbRegistroEntradas[[#This Row],[Data do Caixa Previsto]]="",0,MONTH(TbRegistroEntradas[[#This Row],[Data do Caixa Previsto]]))</f>
        <v>3</v>
      </c>
      <c r="N201" s="156">
        <f>IF(TbRegistroEntradas[[#This Row],[Data do Caixa Previsto]]="",0,YEAR(TbRegistroEntradas[[#This Row],[Data do Caixa Previsto]]))</f>
        <v>2019</v>
      </c>
      <c r="O201" s="156" t="str">
        <f ca="1">IF(AND(TbRegistroEntradas[[#This Row],[Data do Caixa Previsto]]&lt;TODAY(),TbRegistroEntradas[[#This Row],[Data do Caixa Realizado]]=""),"Vencida","Não Vencida")</f>
        <v>Não Vencida</v>
      </c>
      <c r="P201" s="156" t="str">
        <f>IF(TbRegistroEntradas[[#This Row],[Data da Competência]]=TbRegistroEntradas[[#This Row],[Data do Caixa Previsto]],"Vista","Prazo")</f>
        <v>Vista</v>
      </c>
      <c r="Q20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2" spans="2:17" x14ac:dyDescent="0.25">
      <c r="B202" s="154" t="s">
        <v>67</v>
      </c>
      <c r="C202" s="154">
        <v>43551</v>
      </c>
      <c r="D202" s="154">
        <v>43586</v>
      </c>
      <c r="E202" s="50" t="s">
        <v>24</v>
      </c>
      <c r="F202" s="50" t="s">
        <v>34</v>
      </c>
      <c r="G202" s="50" t="s">
        <v>255</v>
      </c>
      <c r="H202" s="155">
        <v>4141</v>
      </c>
      <c r="I202" s="50">
        <f>IF(TbRegistroEntradas[[#This Row],[Data do Caixa Realizado]]="",0,MONTH(TbRegistroEntradas[[#This Row],[Data do Caixa Realizado]]))</f>
        <v>0</v>
      </c>
      <c r="J202" s="50">
        <f>IF(TbRegistroEntradas[[#This Row],[Data do Caixa Realizado]]="",0,YEAR(TbRegistroEntradas[[#This Row],[Data do Caixa Realizado]]))</f>
        <v>0</v>
      </c>
      <c r="K202" s="50">
        <f>IF(TbRegistroEntradas[[#This Row],[Data da Competência]]="",0,MONTH(TbRegistroEntradas[[#This Row],[Data da Competência]]))</f>
        <v>3</v>
      </c>
      <c r="L202" s="50">
        <f>IF(TbRegistroEntradas[[#This Row],[Data da Competência]]="",0,YEAR(TbRegistroEntradas[[#This Row],[Data da Competência]]))</f>
        <v>2019</v>
      </c>
      <c r="M202" s="156">
        <f>IF(TbRegistroEntradas[[#This Row],[Data do Caixa Previsto]]="",0,MONTH(TbRegistroEntradas[[#This Row],[Data do Caixa Previsto]]))</f>
        <v>5</v>
      </c>
      <c r="N202" s="156">
        <f>IF(TbRegistroEntradas[[#This Row],[Data do Caixa Previsto]]="",0,YEAR(TbRegistroEntradas[[#This Row],[Data do Caixa Previsto]]))</f>
        <v>2019</v>
      </c>
      <c r="O202" s="156" t="str">
        <f ca="1">IF(AND(TbRegistroEntradas[[#This Row],[Data do Caixa Previsto]]&lt;TODAY(),TbRegistroEntradas[[#This Row],[Data do Caixa Realizado]]=""),"Vencida","Não Vencida")</f>
        <v>Vencida</v>
      </c>
      <c r="P202" s="156" t="str">
        <f>IF(TbRegistroEntradas[[#This Row],[Data da Competência]]=TbRegistroEntradas[[#This Row],[Data do Caixa Previsto]],"Vista","Prazo")</f>
        <v>Prazo</v>
      </c>
      <c r="Q20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360</v>
      </c>
    </row>
    <row r="203" spans="2:17" x14ac:dyDescent="0.25">
      <c r="B203" s="154">
        <v>43643</v>
      </c>
      <c r="C203" s="154">
        <v>43552</v>
      </c>
      <c r="D203" s="154">
        <v>43586</v>
      </c>
      <c r="E203" s="50" t="s">
        <v>24</v>
      </c>
      <c r="F203" s="50" t="s">
        <v>34</v>
      </c>
      <c r="G203" s="50" t="s">
        <v>256</v>
      </c>
      <c r="H203" s="155">
        <v>1348</v>
      </c>
      <c r="I203" s="50">
        <f>IF(TbRegistroEntradas[[#This Row],[Data do Caixa Realizado]]="",0,MONTH(TbRegistroEntradas[[#This Row],[Data do Caixa Realizado]]))</f>
        <v>6</v>
      </c>
      <c r="J203" s="50">
        <f>IF(TbRegistroEntradas[[#This Row],[Data do Caixa Realizado]]="",0,YEAR(TbRegistroEntradas[[#This Row],[Data do Caixa Realizado]]))</f>
        <v>2019</v>
      </c>
      <c r="K203" s="50">
        <f>IF(TbRegistroEntradas[[#This Row],[Data da Competência]]="",0,MONTH(TbRegistroEntradas[[#This Row],[Data da Competência]]))</f>
        <v>3</v>
      </c>
      <c r="L203" s="50">
        <f>IF(TbRegistroEntradas[[#This Row],[Data da Competência]]="",0,YEAR(TbRegistroEntradas[[#This Row],[Data da Competência]]))</f>
        <v>2019</v>
      </c>
      <c r="M203" s="156">
        <f>IF(TbRegistroEntradas[[#This Row],[Data do Caixa Previsto]]="",0,MONTH(TbRegistroEntradas[[#This Row],[Data do Caixa Previsto]]))</f>
        <v>5</v>
      </c>
      <c r="N203" s="156">
        <f>IF(TbRegistroEntradas[[#This Row],[Data do Caixa Previsto]]="",0,YEAR(TbRegistroEntradas[[#This Row],[Data do Caixa Previsto]]))</f>
        <v>2019</v>
      </c>
      <c r="O203" s="156" t="str">
        <f ca="1">IF(AND(TbRegistroEntradas[[#This Row],[Data do Caixa Previsto]]&lt;TODAY(),TbRegistroEntradas[[#This Row],[Data do Caixa Realizado]]=""),"Vencida","Não Vencida")</f>
        <v>Não Vencida</v>
      </c>
      <c r="P203" s="156" t="str">
        <f>IF(TbRegistroEntradas[[#This Row],[Data da Competência]]=TbRegistroEntradas[[#This Row],[Data do Caixa Previsto]],"Vista","Prazo")</f>
        <v>Prazo</v>
      </c>
      <c r="Q20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04" spans="2:17" x14ac:dyDescent="0.25">
      <c r="B204" s="154">
        <v>43558</v>
      </c>
      <c r="C204" s="154">
        <v>43558</v>
      </c>
      <c r="D204" s="154">
        <v>43558</v>
      </c>
      <c r="E204" s="50" t="s">
        <v>24</v>
      </c>
      <c r="F204" s="50" t="s">
        <v>33</v>
      </c>
      <c r="G204" s="50" t="s">
        <v>257</v>
      </c>
      <c r="H204" s="155">
        <v>1738</v>
      </c>
      <c r="I204" s="50">
        <f>IF(TbRegistroEntradas[[#This Row],[Data do Caixa Realizado]]="",0,MONTH(TbRegistroEntradas[[#This Row],[Data do Caixa Realizado]]))</f>
        <v>4</v>
      </c>
      <c r="J204" s="50">
        <f>IF(TbRegistroEntradas[[#This Row],[Data do Caixa Realizado]]="",0,YEAR(TbRegistroEntradas[[#This Row],[Data do Caixa Realizado]]))</f>
        <v>2019</v>
      </c>
      <c r="K204" s="50">
        <f>IF(TbRegistroEntradas[[#This Row],[Data da Competência]]="",0,MONTH(TbRegistroEntradas[[#This Row],[Data da Competência]]))</f>
        <v>4</v>
      </c>
      <c r="L204" s="50">
        <f>IF(TbRegistroEntradas[[#This Row],[Data da Competência]]="",0,YEAR(TbRegistroEntradas[[#This Row],[Data da Competência]]))</f>
        <v>2019</v>
      </c>
      <c r="M204" s="156">
        <f>IF(TbRegistroEntradas[[#This Row],[Data do Caixa Previsto]]="",0,MONTH(TbRegistroEntradas[[#This Row],[Data do Caixa Previsto]]))</f>
        <v>4</v>
      </c>
      <c r="N204" s="156">
        <f>IF(TbRegistroEntradas[[#This Row],[Data do Caixa Previsto]]="",0,YEAR(TbRegistroEntradas[[#This Row],[Data do Caixa Previsto]]))</f>
        <v>2019</v>
      </c>
      <c r="O204" s="156" t="str">
        <f ca="1">IF(AND(TbRegistroEntradas[[#This Row],[Data do Caixa Previsto]]&lt;TODAY(),TbRegistroEntradas[[#This Row],[Data do Caixa Realizado]]=""),"Vencida","Não Vencida")</f>
        <v>Não Vencida</v>
      </c>
      <c r="P204" s="156" t="str">
        <f>IF(TbRegistroEntradas[[#This Row],[Data da Competência]]=TbRegistroEntradas[[#This Row],[Data do Caixa Previsto]],"Vista","Prazo")</f>
        <v>Vista</v>
      </c>
      <c r="Q20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5" spans="2:17" x14ac:dyDescent="0.25">
      <c r="B205" s="154">
        <v>43561</v>
      </c>
      <c r="C205" s="154">
        <v>43561</v>
      </c>
      <c r="D205" s="154">
        <v>43561</v>
      </c>
      <c r="E205" s="50" t="s">
        <v>24</v>
      </c>
      <c r="F205" s="50" t="s">
        <v>33</v>
      </c>
      <c r="G205" s="50" t="s">
        <v>258</v>
      </c>
      <c r="H205" s="155">
        <v>732</v>
      </c>
      <c r="I205" s="50">
        <f>IF(TbRegistroEntradas[[#This Row],[Data do Caixa Realizado]]="",0,MONTH(TbRegistroEntradas[[#This Row],[Data do Caixa Realizado]]))</f>
        <v>4</v>
      </c>
      <c r="J205" s="50">
        <f>IF(TbRegistroEntradas[[#This Row],[Data do Caixa Realizado]]="",0,YEAR(TbRegistroEntradas[[#This Row],[Data do Caixa Realizado]]))</f>
        <v>2019</v>
      </c>
      <c r="K205" s="50">
        <f>IF(TbRegistroEntradas[[#This Row],[Data da Competência]]="",0,MONTH(TbRegistroEntradas[[#This Row],[Data da Competência]]))</f>
        <v>4</v>
      </c>
      <c r="L205" s="50">
        <f>IF(TbRegistroEntradas[[#This Row],[Data da Competência]]="",0,YEAR(TbRegistroEntradas[[#This Row],[Data da Competência]]))</f>
        <v>2019</v>
      </c>
      <c r="M205" s="156">
        <f>IF(TbRegistroEntradas[[#This Row],[Data do Caixa Previsto]]="",0,MONTH(TbRegistroEntradas[[#This Row],[Data do Caixa Previsto]]))</f>
        <v>4</v>
      </c>
      <c r="N205" s="156">
        <f>IF(TbRegistroEntradas[[#This Row],[Data do Caixa Previsto]]="",0,YEAR(TbRegistroEntradas[[#This Row],[Data do Caixa Previsto]]))</f>
        <v>2019</v>
      </c>
      <c r="O205" s="156" t="str">
        <f ca="1">IF(AND(TbRegistroEntradas[[#This Row],[Data do Caixa Previsto]]&lt;TODAY(),TbRegistroEntradas[[#This Row],[Data do Caixa Realizado]]=""),"Vencida","Não Vencida")</f>
        <v>Não Vencida</v>
      </c>
      <c r="P205" s="156" t="str">
        <f>IF(TbRegistroEntradas[[#This Row],[Data da Competência]]=TbRegistroEntradas[[#This Row],[Data do Caixa Previsto]],"Vista","Prazo")</f>
        <v>Vista</v>
      </c>
      <c r="Q20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6" spans="2:17" x14ac:dyDescent="0.25">
      <c r="B206" s="154">
        <v>43625</v>
      </c>
      <c r="C206" s="154">
        <v>43562</v>
      </c>
      <c r="D206" s="154">
        <v>43586</v>
      </c>
      <c r="E206" s="50" t="s">
        <v>24</v>
      </c>
      <c r="F206" s="50" t="s">
        <v>34</v>
      </c>
      <c r="G206" s="50" t="s">
        <v>259</v>
      </c>
      <c r="H206" s="155">
        <v>373</v>
      </c>
      <c r="I206" s="50">
        <f>IF(TbRegistroEntradas[[#This Row],[Data do Caixa Realizado]]="",0,MONTH(TbRegistroEntradas[[#This Row],[Data do Caixa Realizado]]))</f>
        <v>6</v>
      </c>
      <c r="J206" s="50">
        <f>IF(TbRegistroEntradas[[#This Row],[Data do Caixa Realizado]]="",0,YEAR(TbRegistroEntradas[[#This Row],[Data do Caixa Realizado]]))</f>
        <v>2019</v>
      </c>
      <c r="K206" s="50">
        <f>IF(TbRegistroEntradas[[#This Row],[Data da Competência]]="",0,MONTH(TbRegistroEntradas[[#This Row],[Data da Competência]]))</f>
        <v>4</v>
      </c>
      <c r="L206" s="50">
        <f>IF(TbRegistroEntradas[[#This Row],[Data da Competência]]="",0,YEAR(TbRegistroEntradas[[#This Row],[Data da Competência]]))</f>
        <v>2019</v>
      </c>
      <c r="M206" s="156">
        <f>IF(TbRegistroEntradas[[#This Row],[Data do Caixa Previsto]]="",0,MONTH(TbRegistroEntradas[[#This Row],[Data do Caixa Previsto]]))</f>
        <v>5</v>
      </c>
      <c r="N206" s="156">
        <f>IF(TbRegistroEntradas[[#This Row],[Data do Caixa Previsto]]="",0,YEAR(TbRegistroEntradas[[#This Row],[Data do Caixa Previsto]]))</f>
        <v>2019</v>
      </c>
      <c r="O206" s="156" t="str">
        <f ca="1">IF(AND(TbRegistroEntradas[[#This Row],[Data do Caixa Previsto]]&lt;TODAY(),TbRegistroEntradas[[#This Row],[Data do Caixa Realizado]]=""),"Vencida","Não Vencida")</f>
        <v>Não Vencida</v>
      </c>
      <c r="P206" s="156" t="str">
        <f>IF(TbRegistroEntradas[[#This Row],[Data da Competência]]=TbRegistroEntradas[[#This Row],[Data do Caixa Previsto]],"Vista","Prazo")</f>
        <v>Prazo</v>
      </c>
      <c r="Q20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39</v>
      </c>
    </row>
    <row r="207" spans="2:17" x14ac:dyDescent="0.25">
      <c r="B207" s="154">
        <v>43609</v>
      </c>
      <c r="C207" s="154">
        <v>43564</v>
      </c>
      <c r="D207" s="154">
        <v>43609</v>
      </c>
      <c r="E207" s="50" t="s">
        <v>24</v>
      </c>
      <c r="F207" s="50" t="s">
        <v>31</v>
      </c>
      <c r="G207" s="50" t="s">
        <v>260</v>
      </c>
      <c r="H207" s="155">
        <v>609</v>
      </c>
      <c r="I207" s="50">
        <f>IF(TbRegistroEntradas[[#This Row],[Data do Caixa Realizado]]="",0,MONTH(TbRegistroEntradas[[#This Row],[Data do Caixa Realizado]]))</f>
        <v>5</v>
      </c>
      <c r="J207" s="50">
        <f>IF(TbRegistroEntradas[[#This Row],[Data do Caixa Realizado]]="",0,YEAR(TbRegistroEntradas[[#This Row],[Data do Caixa Realizado]]))</f>
        <v>2019</v>
      </c>
      <c r="K207" s="50">
        <f>IF(TbRegistroEntradas[[#This Row],[Data da Competência]]="",0,MONTH(TbRegistroEntradas[[#This Row],[Data da Competência]]))</f>
        <v>4</v>
      </c>
      <c r="L207" s="50">
        <f>IF(TbRegistroEntradas[[#This Row],[Data da Competência]]="",0,YEAR(TbRegistroEntradas[[#This Row],[Data da Competência]]))</f>
        <v>2019</v>
      </c>
      <c r="M207" s="156">
        <f>IF(TbRegistroEntradas[[#This Row],[Data do Caixa Previsto]]="",0,MONTH(TbRegistroEntradas[[#This Row],[Data do Caixa Previsto]]))</f>
        <v>5</v>
      </c>
      <c r="N207" s="156">
        <f>IF(TbRegistroEntradas[[#This Row],[Data do Caixa Previsto]]="",0,YEAR(TbRegistroEntradas[[#This Row],[Data do Caixa Previsto]]))</f>
        <v>2019</v>
      </c>
      <c r="O207" s="156" t="str">
        <f ca="1">IF(AND(TbRegistroEntradas[[#This Row],[Data do Caixa Previsto]]&lt;TODAY(),TbRegistroEntradas[[#This Row],[Data do Caixa Realizado]]=""),"Vencida","Não Vencida")</f>
        <v>Não Vencida</v>
      </c>
      <c r="P207" s="156" t="str">
        <f>IF(TbRegistroEntradas[[#This Row],[Data da Competência]]=TbRegistroEntradas[[#This Row],[Data do Caixa Previsto]],"Vista","Prazo")</f>
        <v>Prazo</v>
      </c>
      <c r="Q20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8" spans="2:17" x14ac:dyDescent="0.25">
      <c r="B208" s="154">
        <v>43615</v>
      </c>
      <c r="C208" s="154">
        <v>43567</v>
      </c>
      <c r="D208" s="154">
        <v>43615</v>
      </c>
      <c r="E208" s="50" t="s">
        <v>24</v>
      </c>
      <c r="F208" s="50" t="s">
        <v>33</v>
      </c>
      <c r="G208" s="50" t="s">
        <v>261</v>
      </c>
      <c r="H208" s="155">
        <v>2883</v>
      </c>
      <c r="I208" s="50">
        <f>IF(TbRegistroEntradas[[#This Row],[Data do Caixa Realizado]]="",0,MONTH(TbRegistroEntradas[[#This Row],[Data do Caixa Realizado]]))</f>
        <v>5</v>
      </c>
      <c r="J208" s="50">
        <f>IF(TbRegistroEntradas[[#This Row],[Data do Caixa Realizado]]="",0,YEAR(TbRegistroEntradas[[#This Row],[Data do Caixa Realizado]]))</f>
        <v>2019</v>
      </c>
      <c r="K208" s="50">
        <f>IF(TbRegistroEntradas[[#This Row],[Data da Competência]]="",0,MONTH(TbRegistroEntradas[[#This Row],[Data da Competência]]))</f>
        <v>4</v>
      </c>
      <c r="L208" s="50">
        <f>IF(TbRegistroEntradas[[#This Row],[Data da Competência]]="",0,YEAR(TbRegistroEntradas[[#This Row],[Data da Competência]]))</f>
        <v>2019</v>
      </c>
      <c r="M208" s="156">
        <f>IF(TbRegistroEntradas[[#This Row],[Data do Caixa Previsto]]="",0,MONTH(TbRegistroEntradas[[#This Row],[Data do Caixa Previsto]]))</f>
        <v>5</v>
      </c>
      <c r="N208" s="156">
        <f>IF(TbRegistroEntradas[[#This Row],[Data do Caixa Previsto]]="",0,YEAR(TbRegistroEntradas[[#This Row],[Data do Caixa Previsto]]))</f>
        <v>2019</v>
      </c>
      <c r="O208" s="156" t="str">
        <f ca="1">IF(AND(TbRegistroEntradas[[#This Row],[Data do Caixa Previsto]]&lt;TODAY(),TbRegistroEntradas[[#This Row],[Data do Caixa Realizado]]=""),"Vencida","Não Vencida")</f>
        <v>Não Vencida</v>
      </c>
      <c r="P208" s="156" t="str">
        <f>IF(TbRegistroEntradas[[#This Row],[Data da Competência]]=TbRegistroEntradas[[#This Row],[Data do Caixa Previsto]],"Vista","Prazo")</f>
        <v>Prazo</v>
      </c>
      <c r="Q20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9" spans="2:17" x14ac:dyDescent="0.25">
      <c r="B209" s="154">
        <v>43569</v>
      </c>
      <c r="C209" s="154">
        <v>43569</v>
      </c>
      <c r="D209" s="154">
        <v>43569</v>
      </c>
      <c r="E209" s="50" t="s">
        <v>24</v>
      </c>
      <c r="F209" s="50" t="s">
        <v>31</v>
      </c>
      <c r="G209" s="50" t="s">
        <v>262</v>
      </c>
      <c r="H209" s="155">
        <v>4651</v>
      </c>
      <c r="I209" s="50">
        <f>IF(TbRegistroEntradas[[#This Row],[Data do Caixa Realizado]]="",0,MONTH(TbRegistroEntradas[[#This Row],[Data do Caixa Realizado]]))</f>
        <v>4</v>
      </c>
      <c r="J209" s="50">
        <f>IF(TbRegistroEntradas[[#This Row],[Data do Caixa Realizado]]="",0,YEAR(TbRegistroEntradas[[#This Row],[Data do Caixa Realizado]]))</f>
        <v>2019</v>
      </c>
      <c r="K209" s="50">
        <f>IF(TbRegistroEntradas[[#This Row],[Data da Competência]]="",0,MONTH(TbRegistroEntradas[[#This Row],[Data da Competência]]))</f>
        <v>4</v>
      </c>
      <c r="L209" s="50">
        <f>IF(TbRegistroEntradas[[#This Row],[Data da Competência]]="",0,YEAR(TbRegistroEntradas[[#This Row],[Data da Competência]]))</f>
        <v>2019</v>
      </c>
      <c r="M209" s="156">
        <f>IF(TbRegistroEntradas[[#This Row],[Data do Caixa Previsto]]="",0,MONTH(TbRegistroEntradas[[#This Row],[Data do Caixa Previsto]]))</f>
        <v>4</v>
      </c>
      <c r="N209" s="156">
        <f>IF(TbRegistroEntradas[[#This Row],[Data do Caixa Previsto]]="",0,YEAR(TbRegistroEntradas[[#This Row],[Data do Caixa Previsto]]))</f>
        <v>2019</v>
      </c>
      <c r="O209" s="156" t="str">
        <f ca="1">IF(AND(TbRegistroEntradas[[#This Row],[Data do Caixa Previsto]]&lt;TODAY(),TbRegistroEntradas[[#This Row],[Data do Caixa Realizado]]=""),"Vencida","Não Vencida")</f>
        <v>Não Vencida</v>
      </c>
      <c r="P209" s="156" t="str">
        <f>IF(TbRegistroEntradas[[#This Row],[Data da Competência]]=TbRegistroEntradas[[#This Row],[Data do Caixa Previsto]],"Vista","Prazo")</f>
        <v>Vista</v>
      </c>
      <c r="Q20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0" spans="2:17" x14ac:dyDescent="0.25">
      <c r="B210" s="154" t="s">
        <v>67</v>
      </c>
      <c r="C210" s="154">
        <v>43573</v>
      </c>
      <c r="D210" s="154">
        <v>43579</v>
      </c>
      <c r="E210" s="50" t="s">
        <v>24</v>
      </c>
      <c r="F210" s="50" t="s">
        <v>31</v>
      </c>
      <c r="G210" s="50" t="s">
        <v>263</v>
      </c>
      <c r="H210" s="155">
        <v>4797</v>
      </c>
      <c r="I210" s="50">
        <f>IF(TbRegistroEntradas[[#This Row],[Data do Caixa Realizado]]="",0,MONTH(TbRegistroEntradas[[#This Row],[Data do Caixa Realizado]]))</f>
        <v>0</v>
      </c>
      <c r="J210" s="50">
        <f>IF(TbRegistroEntradas[[#This Row],[Data do Caixa Realizado]]="",0,YEAR(TbRegistroEntradas[[#This Row],[Data do Caixa Realizado]]))</f>
        <v>0</v>
      </c>
      <c r="K210" s="50">
        <f>IF(TbRegistroEntradas[[#This Row],[Data da Competência]]="",0,MONTH(TbRegistroEntradas[[#This Row],[Data da Competência]]))</f>
        <v>4</v>
      </c>
      <c r="L210" s="50">
        <f>IF(TbRegistroEntradas[[#This Row],[Data da Competência]]="",0,YEAR(TbRegistroEntradas[[#This Row],[Data da Competência]]))</f>
        <v>2019</v>
      </c>
      <c r="M210" s="156">
        <f>IF(TbRegistroEntradas[[#This Row],[Data do Caixa Previsto]]="",0,MONTH(TbRegistroEntradas[[#This Row],[Data do Caixa Previsto]]))</f>
        <v>4</v>
      </c>
      <c r="N210" s="156">
        <f>IF(TbRegistroEntradas[[#This Row],[Data do Caixa Previsto]]="",0,YEAR(TbRegistroEntradas[[#This Row],[Data do Caixa Previsto]]))</f>
        <v>2019</v>
      </c>
      <c r="O210" s="156" t="str">
        <f ca="1">IF(AND(TbRegistroEntradas[[#This Row],[Data do Caixa Previsto]]&lt;TODAY(),TbRegistroEntradas[[#This Row],[Data do Caixa Realizado]]=""),"Vencida","Não Vencida")</f>
        <v>Vencida</v>
      </c>
      <c r="P210" s="156" t="str">
        <f>IF(TbRegistroEntradas[[#This Row],[Data da Competência]]=TbRegistroEntradas[[#This Row],[Data do Caixa Previsto]],"Vista","Prazo")</f>
        <v>Prazo</v>
      </c>
      <c r="Q21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367</v>
      </c>
    </row>
    <row r="211" spans="2:17" x14ac:dyDescent="0.25">
      <c r="B211" s="154">
        <v>43598</v>
      </c>
      <c r="C211" s="154">
        <v>43575</v>
      </c>
      <c r="D211" s="154">
        <v>43598</v>
      </c>
      <c r="E211" s="50" t="s">
        <v>24</v>
      </c>
      <c r="F211" s="50" t="s">
        <v>32</v>
      </c>
      <c r="G211" s="50" t="s">
        <v>264</v>
      </c>
      <c r="H211" s="155">
        <v>1620</v>
      </c>
      <c r="I211" s="50">
        <f>IF(TbRegistroEntradas[[#This Row],[Data do Caixa Realizado]]="",0,MONTH(TbRegistroEntradas[[#This Row],[Data do Caixa Realizado]]))</f>
        <v>5</v>
      </c>
      <c r="J211" s="50">
        <f>IF(TbRegistroEntradas[[#This Row],[Data do Caixa Realizado]]="",0,YEAR(TbRegistroEntradas[[#This Row],[Data do Caixa Realizado]]))</f>
        <v>2019</v>
      </c>
      <c r="K211" s="50">
        <f>IF(TbRegistroEntradas[[#This Row],[Data da Competência]]="",0,MONTH(TbRegistroEntradas[[#This Row],[Data da Competência]]))</f>
        <v>4</v>
      </c>
      <c r="L211" s="50">
        <f>IF(TbRegistroEntradas[[#This Row],[Data da Competência]]="",0,YEAR(TbRegistroEntradas[[#This Row],[Data da Competência]]))</f>
        <v>2019</v>
      </c>
      <c r="M211" s="156">
        <f>IF(TbRegistroEntradas[[#This Row],[Data do Caixa Previsto]]="",0,MONTH(TbRegistroEntradas[[#This Row],[Data do Caixa Previsto]]))</f>
        <v>5</v>
      </c>
      <c r="N211" s="156">
        <f>IF(TbRegistroEntradas[[#This Row],[Data do Caixa Previsto]]="",0,YEAR(TbRegistroEntradas[[#This Row],[Data do Caixa Previsto]]))</f>
        <v>2019</v>
      </c>
      <c r="O211" s="156" t="str">
        <f ca="1">IF(AND(TbRegistroEntradas[[#This Row],[Data do Caixa Previsto]]&lt;TODAY(),TbRegistroEntradas[[#This Row],[Data do Caixa Realizado]]=""),"Vencida","Não Vencida")</f>
        <v>Não Vencida</v>
      </c>
      <c r="P211" s="156" t="str">
        <f>IF(TbRegistroEntradas[[#This Row],[Data da Competência]]=TbRegistroEntradas[[#This Row],[Data do Caixa Previsto]],"Vista","Prazo")</f>
        <v>Prazo</v>
      </c>
      <c r="Q21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2" spans="2:17" x14ac:dyDescent="0.25">
      <c r="B212" s="154">
        <v>43683</v>
      </c>
      <c r="C212" s="154">
        <v>43582</v>
      </c>
      <c r="D212" s="154">
        <v>43625</v>
      </c>
      <c r="E212" s="50" t="s">
        <v>24</v>
      </c>
      <c r="F212" s="50" t="s">
        <v>34</v>
      </c>
      <c r="G212" s="50" t="s">
        <v>265</v>
      </c>
      <c r="H212" s="155">
        <v>245</v>
      </c>
      <c r="I212" s="50">
        <f>IF(TbRegistroEntradas[[#This Row],[Data do Caixa Realizado]]="",0,MONTH(TbRegistroEntradas[[#This Row],[Data do Caixa Realizado]]))</f>
        <v>8</v>
      </c>
      <c r="J212" s="50">
        <f>IF(TbRegistroEntradas[[#This Row],[Data do Caixa Realizado]]="",0,YEAR(TbRegistroEntradas[[#This Row],[Data do Caixa Realizado]]))</f>
        <v>2019</v>
      </c>
      <c r="K212" s="50">
        <f>IF(TbRegistroEntradas[[#This Row],[Data da Competência]]="",0,MONTH(TbRegistroEntradas[[#This Row],[Data da Competência]]))</f>
        <v>4</v>
      </c>
      <c r="L212" s="50">
        <f>IF(TbRegistroEntradas[[#This Row],[Data da Competência]]="",0,YEAR(TbRegistroEntradas[[#This Row],[Data da Competência]]))</f>
        <v>2019</v>
      </c>
      <c r="M212" s="156">
        <f>IF(TbRegistroEntradas[[#This Row],[Data do Caixa Previsto]]="",0,MONTH(TbRegistroEntradas[[#This Row],[Data do Caixa Previsto]]))</f>
        <v>6</v>
      </c>
      <c r="N212" s="156">
        <f>IF(TbRegistroEntradas[[#This Row],[Data do Caixa Previsto]]="",0,YEAR(TbRegistroEntradas[[#This Row],[Data do Caixa Previsto]]))</f>
        <v>2019</v>
      </c>
      <c r="O212" s="156" t="str">
        <f ca="1">IF(AND(TbRegistroEntradas[[#This Row],[Data do Caixa Previsto]]&lt;TODAY(),TbRegistroEntradas[[#This Row],[Data do Caixa Realizado]]=""),"Vencida","Não Vencida")</f>
        <v>Não Vencida</v>
      </c>
      <c r="P212" s="156" t="str">
        <f>IF(TbRegistroEntradas[[#This Row],[Data da Competência]]=TbRegistroEntradas[[#This Row],[Data do Caixa Previsto]],"Vista","Prazo")</f>
        <v>Prazo</v>
      </c>
      <c r="Q21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213" spans="2:17" x14ac:dyDescent="0.25">
      <c r="B213" s="154">
        <v>43595</v>
      </c>
      <c r="C213" s="154">
        <v>43584</v>
      </c>
      <c r="D213" s="154">
        <v>43595</v>
      </c>
      <c r="E213" s="50" t="s">
        <v>24</v>
      </c>
      <c r="F213" s="50" t="s">
        <v>33</v>
      </c>
      <c r="G213" s="50" t="s">
        <v>266</v>
      </c>
      <c r="H213" s="155">
        <v>2091</v>
      </c>
      <c r="I213" s="50">
        <f>IF(TbRegistroEntradas[[#This Row],[Data do Caixa Realizado]]="",0,MONTH(TbRegistroEntradas[[#This Row],[Data do Caixa Realizado]]))</f>
        <v>5</v>
      </c>
      <c r="J213" s="50">
        <f>IF(TbRegistroEntradas[[#This Row],[Data do Caixa Realizado]]="",0,YEAR(TbRegistroEntradas[[#This Row],[Data do Caixa Realizado]]))</f>
        <v>2019</v>
      </c>
      <c r="K213" s="50">
        <f>IF(TbRegistroEntradas[[#This Row],[Data da Competência]]="",0,MONTH(TbRegistroEntradas[[#This Row],[Data da Competência]]))</f>
        <v>4</v>
      </c>
      <c r="L213" s="50">
        <f>IF(TbRegistroEntradas[[#This Row],[Data da Competência]]="",0,YEAR(TbRegistroEntradas[[#This Row],[Data da Competência]]))</f>
        <v>2019</v>
      </c>
      <c r="M213" s="156">
        <f>IF(TbRegistroEntradas[[#This Row],[Data do Caixa Previsto]]="",0,MONTH(TbRegistroEntradas[[#This Row],[Data do Caixa Previsto]]))</f>
        <v>5</v>
      </c>
      <c r="N213" s="156">
        <f>IF(TbRegistroEntradas[[#This Row],[Data do Caixa Previsto]]="",0,YEAR(TbRegistroEntradas[[#This Row],[Data do Caixa Previsto]]))</f>
        <v>2019</v>
      </c>
      <c r="O213" s="156" t="str">
        <f ca="1">IF(AND(TbRegistroEntradas[[#This Row],[Data do Caixa Previsto]]&lt;TODAY(),TbRegistroEntradas[[#This Row],[Data do Caixa Realizado]]=""),"Vencida","Não Vencida")</f>
        <v>Não Vencida</v>
      </c>
      <c r="P213" s="156" t="str">
        <f>IF(TbRegistroEntradas[[#This Row],[Data da Competência]]=TbRegistroEntradas[[#This Row],[Data do Caixa Previsto]],"Vista","Prazo")</f>
        <v>Prazo</v>
      </c>
      <c r="Q21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4" spans="2:17" x14ac:dyDescent="0.25">
      <c r="B214" s="154">
        <v>43594</v>
      </c>
      <c r="C214" s="154">
        <v>43585</v>
      </c>
      <c r="D214" s="154">
        <v>43594</v>
      </c>
      <c r="E214" s="50" t="s">
        <v>24</v>
      </c>
      <c r="F214" s="50" t="s">
        <v>33</v>
      </c>
      <c r="G214" s="50" t="s">
        <v>267</v>
      </c>
      <c r="H214" s="155">
        <v>3200</v>
      </c>
      <c r="I214" s="50">
        <f>IF(TbRegistroEntradas[[#This Row],[Data do Caixa Realizado]]="",0,MONTH(TbRegistroEntradas[[#This Row],[Data do Caixa Realizado]]))</f>
        <v>5</v>
      </c>
      <c r="J214" s="50">
        <f>IF(TbRegistroEntradas[[#This Row],[Data do Caixa Realizado]]="",0,YEAR(TbRegistroEntradas[[#This Row],[Data do Caixa Realizado]]))</f>
        <v>2019</v>
      </c>
      <c r="K214" s="50">
        <f>IF(TbRegistroEntradas[[#This Row],[Data da Competência]]="",0,MONTH(TbRegistroEntradas[[#This Row],[Data da Competência]]))</f>
        <v>4</v>
      </c>
      <c r="L214" s="50">
        <f>IF(TbRegistroEntradas[[#This Row],[Data da Competência]]="",0,YEAR(TbRegistroEntradas[[#This Row],[Data da Competência]]))</f>
        <v>2019</v>
      </c>
      <c r="M214" s="156">
        <f>IF(TbRegistroEntradas[[#This Row],[Data do Caixa Previsto]]="",0,MONTH(TbRegistroEntradas[[#This Row],[Data do Caixa Previsto]]))</f>
        <v>5</v>
      </c>
      <c r="N214" s="156">
        <f>IF(TbRegistroEntradas[[#This Row],[Data do Caixa Previsto]]="",0,YEAR(TbRegistroEntradas[[#This Row],[Data do Caixa Previsto]]))</f>
        <v>2019</v>
      </c>
      <c r="O214" s="156" t="str">
        <f ca="1">IF(AND(TbRegistroEntradas[[#This Row],[Data do Caixa Previsto]]&lt;TODAY(),TbRegistroEntradas[[#This Row],[Data do Caixa Realizado]]=""),"Vencida","Não Vencida")</f>
        <v>Não Vencida</v>
      </c>
      <c r="P214" s="156" t="str">
        <f>IF(TbRegistroEntradas[[#This Row],[Data da Competência]]=TbRegistroEntradas[[#This Row],[Data do Caixa Previsto]],"Vista","Prazo")</f>
        <v>Prazo</v>
      </c>
      <c r="Q21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5" spans="2:17" x14ac:dyDescent="0.25">
      <c r="B215" s="154">
        <v>43587</v>
      </c>
      <c r="C215" s="154">
        <v>43587</v>
      </c>
      <c r="D215" s="154">
        <v>43587</v>
      </c>
      <c r="E215" s="50" t="s">
        <v>24</v>
      </c>
      <c r="F215" s="50" t="s">
        <v>34</v>
      </c>
      <c r="G215" s="50" t="s">
        <v>268</v>
      </c>
      <c r="H215" s="155">
        <v>583</v>
      </c>
      <c r="I215" s="50">
        <f>IF(TbRegistroEntradas[[#This Row],[Data do Caixa Realizado]]="",0,MONTH(TbRegistroEntradas[[#This Row],[Data do Caixa Realizado]]))</f>
        <v>5</v>
      </c>
      <c r="J215" s="50">
        <f>IF(TbRegistroEntradas[[#This Row],[Data do Caixa Realizado]]="",0,YEAR(TbRegistroEntradas[[#This Row],[Data do Caixa Realizado]]))</f>
        <v>2019</v>
      </c>
      <c r="K215" s="50">
        <f>IF(TbRegistroEntradas[[#This Row],[Data da Competência]]="",0,MONTH(TbRegistroEntradas[[#This Row],[Data da Competência]]))</f>
        <v>5</v>
      </c>
      <c r="L215" s="50">
        <f>IF(TbRegistroEntradas[[#This Row],[Data da Competência]]="",0,YEAR(TbRegistroEntradas[[#This Row],[Data da Competência]]))</f>
        <v>2019</v>
      </c>
      <c r="M215" s="156">
        <f>IF(TbRegistroEntradas[[#This Row],[Data do Caixa Previsto]]="",0,MONTH(TbRegistroEntradas[[#This Row],[Data do Caixa Previsto]]))</f>
        <v>5</v>
      </c>
      <c r="N215" s="156">
        <f>IF(TbRegistroEntradas[[#This Row],[Data do Caixa Previsto]]="",0,YEAR(TbRegistroEntradas[[#This Row],[Data do Caixa Previsto]]))</f>
        <v>2019</v>
      </c>
      <c r="O215" s="156" t="str">
        <f ca="1">IF(AND(TbRegistroEntradas[[#This Row],[Data do Caixa Previsto]]&lt;TODAY(),TbRegistroEntradas[[#This Row],[Data do Caixa Realizado]]=""),"Vencida","Não Vencida")</f>
        <v>Não Vencida</v>
      </c>
      <c r="P215" s="156" t="str">
        <f>IF(TbRegistroEntradas[[#This Row],[Data da Competência]]=TbRegistroEntradas[[#This Row],[Data do Caixa Previsto]],"Vista","Prazo")</f>
        <v>Vista</v>
      </c>
      <c r="Q21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6" spans="2:17" x14ac:dyDescent="0.25">
      <c r="B216" s="154">
        <v>43626</v>
      </c>
      <c r="C216" s="154">
        <v>43590</v>
      </c>
      <c r="D216" s="154">
        <v>43626</v>
      </c>
      <c r="E216" s="50" t="s">
        <v>24</v>
      </c>
      <c r="F216" s="50" t="s">
        <v>33</v>
      </c>
      <c r="G216" s="50" t="s">
        <v>269</v>
      </c>
      <c r="H216" s="155">
        <v>4505</v>
      </c>
      <c r="I216" s="50">
        <f>IF(TbRegistroEntradas[[#This Row],[Data do Caixa Realizado]]="",0,MONTH(TbRegistroEntradas[[#This Row],[Data do Caixa Realizado]]))</f>
        <v>6</v>
      </c>
      <c r="J216" s="50">
        <f>IF(TbRegistroEntradas[[#This Row],[Data do Caixa Realizado]]="",0,YEAR(TbRegistroEntradas[[#This Row],[Data do Caixa Realizado]]))</f>
        <v>2019</v>
      </c>
      <c r="K216" s="50">
        <f>IF(TbRegistroEntradas[[#This Row],[Data da Competência]]="",0,MONTH(TbRegistroEntradas[[#This Row],[Data da Competência]]))</f>
        <v>5</v>
      </c>
      <c r="L216" s="50">
        <f>IF(TbRegistroEntradas[[#This Row],[Data da Competência]]="",0,YEAR(TbRegistroEntradas[[#This Row],[Data da Competência]]))</f>
        <v>2019</v>
      </c>
      <c r="M216" s="156">
        <f>IF(TbRegistroEntradas[[#This Row],[Data do Caixa Previsto]]="",0,MONTH(TbRegistroEntradas[[#This Row],[Data do Caixa Previsto]]))</f>
        <v>6</v>
      </c>
      <c r="N216" s="156">
        <f>IF(TbRegistroEntradas[[#This Row],[Data do Caixa Previsto]]="",0,YEAR(TbRegistroEntradas[[#This Row],[Data do Caixa Previsto]]))</f>
        <v>2019</v>
      </c>
      <c r="O216" s="156" t="str">
        <f ca="1">IF(AND(TbRegistroEntradas[[#This Row],[Data do Caixa Previsto]]&lt;TODAY(),TbRegistroEntradas[[#This Row],[Data do Caixa Realizado]]=""),"Vencida","Não Vencida")</f>
        <v>Não Vencida</v>
      </c>
      <c r="P216" s="156" t="str">
        <f>IF(TbRegistroEntradas[[#This Row],[Data da Competência]]=TbRegistroEntradas[[#This Row],[Data do Caixa Previsto]],"Vista","Prazo")</f>
        <v>Prazo</v>
      </c>
      <c r="Q21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7" spans="2:17" x14ac:dyDescent="0.25">
      <c r="B217" s="154">
        <v>43592</v>
      </c>
      <c r="C217" s="154">
        <v>43592</v>
      </c>
      <c r="D217" s="154">
        <v>43592</v>
      </c>
      <c r="E217" s="50" t="s">
        <v>24</v>
      </c>
      <c r="F217" s="50" t="s">
        <v>33</v>
      </c>
      <c r="G217" s="50" t="s">
        <v>270</v>
      </c>
      <c r="H217" s="155">
        <v>343</v>
      </c>
      <c r="I217" s="50">
        <f>IF(TbRegistroEntradas[[#This Row],[Data do Caixa Realizado]]="",0,MONTH(TbRegistroEntradas[[#This Row],[Data do Caixa Realizado]]))</f>
        <v>5</v>
      </c>
      <c r="J217" s="50">
        <f>IF(TbRegistroEntradas[[#This Row],[Data do Caixa Realizado]]="",0,YEAR(TbRegistroEntradas[[#This Row],[Data do Caixa Realizado]]))</f>
        <v>2019</v>
      </c>
      <c r="K217" s="50">
        <f>IF(TbRegistroEntradas[[#This Row],[Data da Competência]]="",0,MONTH(TbRegistroEntradas[[#This Row],[Data da Competência]]))</f>
        <v>5</v>
      </c>
      <c r="L217" s="50">
        <f>IF(TbRegistroEntradas[[#This Row],[Data da Competência]]="",0,YEAR(TbRegistroEntradas[[#This Row],[Data da Competência]]))</f>
        <v>2019</v>
      </c>
      <c r="M217" s="156">
        <f>IF(TbRegistroEntradas[[#This Row],[Data do Caixa Previsto]]="",0,MONTH(TbRegistroEntradas[[#This Row],[Data do Caixa Previsto]]))</f>
        <v>5</v>
      </c>
      <c r="N217" s="156">
        <f>IF(TbRegistroEntradas[[#This Row],[Data do Caixa Previsto]]="",0,YEAR(TbRegistroEntradas[[#This Row],[Data do Caixa Previsto]]))</f>
        <v>2019</v>
      </c>
      <c r="O217" s="156" t="str">
        <f ca="1">IF(AND(TbRegistroEntradas[[#This Row],[Data do Caixa Previsto]]&lt;TODAY(),TbRegistroEntradas[[#This Row],[Data do Caixa Realizado]]=""),"Vencida","Não Vencida")</f>
        <v>Não Vencida</v>
      </c>
      <c r="P217" s="156" t="str">
        <f>IF(TbRegistroEntradas[[#This Row],[Data da Competência]]=TbRegistroEntradas[[#This Row],[Data do Caixa Previsto]],"Vista","Prazo")</f>
        <v>Vista</v>
      </c>
      <c r="Q21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8" spans="2:17" x14ac:dyDescent="0.25">
      <c r="B218" s="154">
        <v>43603</v>
      </c>
      <c r="C218" s="154">
        <v>43593</v>
      </c>
      <c r="D218" s="154">
        <v>43603</v>
      </c>
      <c r="E218" s="50" t="s">
        <v>24</v>
      </c>
      <c r="F218" s="50" t="s">
        <v>31</v>
      </c>
      <c r="G218" s="50" t="s">
        <v>271</v>
      </c>
      <c r="H218" s="155">
        <v>4510</v>
      </c>
      <c r="I218" s="50">
        <f>IF(TbRegistroEntradas[[#This Row],[Data do Caixa Realizado]]="",0,MONTH(TbRegistroEntradas[[#This Row],[Data do Caixa Realizado]]))</f>
        <v>5</v>
      </c>
      <c r="J218" s="50">
        <f>IF(TbRegistroEntradas[[#This Row],[Data do Caixa Realizado]]="",0,YEAR(TbRegistroEntradas[[#This Row],[Data do Caixa Realizado]]))</f>
        <v>2019</v>
      </c>
      <c r="K218" s="50">
        <f>IF(TbRegistroEntradas[[#This Row],[Data da Competência]]="",0,MONTH(TbRegistroEntradas[[#This Row],[Data da Competência]]))</f>
        <v>5</v>
      </c>
      <c r="L218" s="50">
        <f>IF(TbRegistroEntradas[[#This Row],[Data da Competência]]="",0,YEAR(TbRegistroEntradas[[#This Row],[Data da Competência]]))</f>
        <v>2019</v>
      </c>
      <c r="M218" s="156">
        <f>IF(TbRegistroEntradas[[#This Row],[Data do Caixa Previsto]]="",0,MONTH(TbRegistroEntradas[[#This Row],[Data do Caixa Previsto]]))</f>
        <v>5</v>
      </c>
      <c r="N218" s="156">
        <f>IF(TbRegistroEntradas[[#This Row],[Data do Caixa Previsto]]="",0,YEAR(TbRegistroEntradas[[#This Row],[Data do Caixa Previsto]]))</f>
        <v>2019</v>
      </c>
      <c r="O218" s="156" t="str">
        <f ca="1">IF(AND(TbRegistroEntradas[[#This Row],[Data do Caixa Previsto]]&lt;TODAY(),TbRegistroEntradas[[#This Row],[Data do Caixa Realizado]]=""),"Vencida","Não Vencida")</f>
        <v>Não Vencida</v>
      </c>
      <c r="P218" s="156" t="str">
        <f>IF(TbRegistroEntradas[[#This Row],[Data da Competência]]=TbRegistroEntradas[[#This Row],[Data do Caixa Previsto]],"Vista","Prazo")</f>
        <v>Prazo</v>
      </c>
      <c r="Q21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9" spans="2:17" x14ac:dyDescent="0.25">
      <c r="B219" s="154">
        <v>43597</v>
      </c>
      <c r="C219" s="154">
        <v>43597</v>
      </c>
      <c r="D219" s="154">
        <v>43597</v>
      </c>
      <c r="E219" s="50" t="s">
        <v>24</v>
      </c>
      <c r="F219" s="50" t="s">
        <v>33</v>
      </c>
      <c r="G219" s="50" t="s">
        <v>272</v>
      </c>
      <c r="H219" s="155">
        <v>667</v>
      </c>
      <c r="I219" s="50">
        <f>IF(TbRegistroEntradas[[#This Row],[Data do Caixa Realizado]]="",0,MONTH(TbRegistroEntradas[[#This Row],[Data do Caixa Realizado]]))</f>
        <v>5</v>
      </c>
      <c r="J219" s="50">
        <f>IF(TbRegistroEntradas[[#This Row],[Data do Caixa Realizado]]="",0,YEAR(TbRegistroEntradas[[#This Row],[Data do Caixa Realizado]]))</f>
        <v>2019</v>
      </c>
      <c r="K219" s="50">
        <f>IF(TbRegistroEntradas[[#This Row],[Data da Competência]]="",0,MONTH(TbRegistroEntradas[[#This Row],[Data da Competência]]))</f>
        <v>5</v>
      </c>
      <c r="L219" s="50">
        <f>IF(TbRegistroEntradas[[#This Row],[Data da Competência]]="",0,YEAR(TbRegistroEntradas[[#This Row],[Data da Competência]]))</f>
        <v>2019</v>
      </c>
      <c r="M219" s="156">
        <f>IF(TbRegistroEntradas[[#This Row],[Data do Caixa Previsto]]="",0,MONTH(TbRegistroEntradas[[#This Row],[Data do Caixa Previsto]]))</f>
        <v>5</v>
      </c>
      <c r="N219" s="156">
        <f>IF(TbRegistroEntradas[[#This Row],[Data do Caixa Previsto]]="",0,YEAR(TbRegistroEntradas[[#This Row],[Data do Caixa Previsto]]))</f>
        <v>2019</v>
      </c>
      <c r="O219" s="156" t="str">
        <f ca="1">IF(AND(TbRegistroEntradas[[#This Row],[Data do Caixa Previsto]]&lt;TODAY(),TbRegistroEntradas[[#This Row],[Data do Caixa Realizado]]=""),"Vencida","Não Vencida")</f>
        <v>Não Vencida</v>
      </c>
      <c r="P219" s="156" t="str">
        <f>IF(TbRegistroEntradas[[#This Row],[Data da Competência]]=TbRegistroEntradas[[#This Row],[Data do Caixa Previsto]],"Vista","Prazo")</f>
        <v>Vista</v>
      </c>
      <c r="Q21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0" spans="2:17" x14ac:dyDescent="0.25">
      <c r="B220" s="154">
        <v>43631</v>
      </c>
      <c r="C220" s="154">
        <v>43600</v>
      </c>
      <c r="D220" s="154">
        <v>43631</v>
      </c>
      <c r="E220" s="50" t="s">
        <v>24</v>
      </c>
      <c r="F220" s="50" t="s">
        <v>33</v>
      </c>
      <c r="G220" s="50" t="s">
        <v>273</v>
      </c>
      <c r="H220" s="155">
        <v>1006</v>
      </c>
      <c r="I220" s="50">
        <f>IF(TbRegistroEntradas[[#This Row],[Data do Caixa Realizado]]="",0,MONTH(TbRegistroEntradas[[#This Row],[Data do Caixa Realizado]]))</f>
        <v>6</v>
      </c>
      <c r="J220" s="50">
        <f>IF(TbRegistroEntradas[[#This Row],[Data do Caixa Realizado]]="",0,YEAR(TbRegistroEntradas[[#This Row],[Data do Caixa Realizado]]))</f>
        <v>2019</v>
      </c>
      <c r="K220" s="50">
        <f>IF(TbRegistroEntradas[[#This Row],[Data da Competência]]="",0,MONTH(TbRegistroEntradas[[#This Row],[Data da Competência]]))</f>
        <v>5</v>
      </c>
      <c r="L220" s="50">
        <f>IF(TbRegistroEntradas[[#This Row],[Data da Competência]]="",0,YEAR(TbRegistroEntradas[[#This Row],[Data da Competência]]))</f>
        <v>2019</v>
      </c>
      <c r="M220" s="156">
        <f>IF(TbRegistroEntradas[[#This Row],[Data do Caixa Previsto]]="",0,MONTH(TbRegistroEntradas[[#This Row],[Data do Caixa Previsto]]))</f>
        <v>6</v>
      </c>
      <c r="N220" s="156">
        <f>IF(TbRegistroEntradas[[#This Row],[Data do Caixa Previsto]]="",0,YEAR(TbRegistroEntradas[[#This Row],[Data do Caixa Previsto]]))</f>
        <v>2019</v>
      </c>
      <c r="O220" s="156" t="str">
        <f ca="1">IF(AND(TbRegistroEntradas[[#This Row],[Data do Caixa Previsto]]&lt;TODAY(),TbRegistroEntradas[[#This Row],[Data do Caixa Realizado]]=""),"Vencida","Não Vencida")</f>
        <v>Não Vencida</v>
      </c>
      <c r="P220" s="156" t="str">
        <f>IF(TbRegistroEntradas[[#This Row],[Data da Competência]]=TbRegistroEntradas[[#This Row],[Data do Caixa Previsto]],"Vista","Prazo")</f>
        <v>Prazo</v>
      </c>
      <c r="Q22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1" spans="2:17" x14ac:dyDescent="0.25">
      <c r="B221" s="154">
        <v>43635</v>
      </c>
      <c r="C221" s="154">
        <v>43604</v>
      </c>
      <c r="D221" s="154">
        <v>43635</v>
      </c>
      <c r="E221" s="50" t="s">
        <v>24</v>
      </c>
      <c r="F221" s="50" t="s">
        <v>34</v>
      </c>
      <c r="G221" s="50" t="s">
        <v>274</v>
      </c>
      <c r="H221" s="155">
        <v>1071</v>
      </c>
      <c r="I221" s="50">
        <f>IF(TbRegistroEntradas[[#This Row],[Data do Caixa Realizado]]="",0,MONTH(TbRegistroEntradas[[#This Row],[Data do Caixa Realizado]]))</f>
        <v>6</v>
      </c>
      <c r="J221" s="50">
        <f>IF(TbRegistroEntradas[[#This Row],[Data do Caixa Realizado]]="",0,YEAR(TbRegistroEntradas[[#This Row],[Data do Caixa Realizado]]))</f>
        <v>2019</v>
      </c>
      <c r="K221" s="50">
        <f>IF(TbRegistroEntradas[[#This Row],[Data da Competência]]="",0,MONTH(TbRegistroEntradas[[#This Row],[Data da Competência]]))</f>
        <v>5</v>
      </c>
      <c r="L221" s="50">
        <f>IF(TbRegistroEntradas[[#This Row],[Data da Competência]]="",0,YEAR(TbRegistroEntradas[[#This Row],[Data da Competência]]))</f>
        <v>2019</v>
      </c>
      <c r="M221" s="156">
        <f>IF(TbRegistroEntradas[[#This Row],[Data do Caixa Previsto]]="",0,MONTH(TbRegistroEntradas[[#This Row],[Data do Caixa Previsto]]))</f>
        <v>6</v>
      </c>
      <c r="N221" s="156">
        <f>IF(TbRegistroEntradas[[#This Row],[Data do Caixa Previsto]]="",0,YEAR(TbRegistroEntradas[[#This Row],[Data do Caixa Previsto]]))</f>
        <v>2019</v>
      </c>
      <c r="O221" s="156" t="str">
        <f ca="1">IF(AND(TbRegistroEntradas[[#This Row],[Data do Caixa Previsto]]&lt;TODAY(),TbRegistroEntradas[[#This Row],[Data do Caixa Realizado]]=""),"Vencida","Não Vencida")</f>
        <v>Não Vencida</v>
      </c>
      <c r="P221" s="156" t="str">
        <f>IF(TbRegistroEntradas[[#This Row],[Data da Competência]]=TbRegistroEntradas[[#This Row],[Data do Caixa Previsto]],"Vista","Prazo")</f>
        <v>Prazo</v>
      </c>
      <c r="Q22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2" spans="2:17" x14ac:dyDescent="0.25">
      <c r="B222" s="154">
        <v>43630</v>
      </c>
      <c r="C222" s="154">
        <v>43609</v>
      </c>
      <c r="D222" s="154">
        <v>43630</v>
      </c>
      <c r="E222" s="50" t="s">
        <v>24</v>
      </c>
      <c r="F222" s="50" t="s">
        <v>32</v>
      </c>
      <c r="G222" s="50" t="s">
        <v>275</v>
      </c>
      <c r="H222" s="155">
        <v>2194</v>
      </c>
      <c r="I222" s="50">
        <f>IF(TbRegistroEntradas[[#This Row],[Data do Caixa Realizado]]="",0,MONTH(TbRegistroEntradas[[#This Row],[Data do Caixa Realizado]]))</f>
        <v>6</v>
      </c>
      <c r="J222" s="50">
        <f>IF(TbRegistroEntradas[[#This Row],[Data do Caixa Realizado]]="",0,YEAR(TbRegistroEntradas[[#This Row],[Data do Caixa Realizado]]))</f>
        <v>2019</v>
      </c>
      <c r="K222" s="50">
        <f>IF(TbRegistroEntradas[[#This Row],[Data da Competência]]="",0,MONTH(TbRegistroEntradas[[#This Row],[Data da Competência]]))</f>
        <v>5</v>
      </c>
      <c r="L222" s="50">
        <f>IF(TbRegistroEntradas[[#This Row],[Data da Competência]]="",0,YEAR(TbRegistroEntradas[[#This Row],[Data da Competência]]))</f>
        <v>2019</v>
      </c>
      <c r="M222" s="156">
        <f>IF(TbRegistroEntradas[[#This Row],[Data do Caixa Previsto]]="",0,MONTH(TbRegistroEntradas[[#This Row],[Data do Caixa Previsto]]))</f>
        <v>6</v>
      </c>
      <c r="N222" s="156">
        <f>IF(TbRegistroEntradas[[#This Row],[Data do Caixa Previsto]]="",0,YEAR(TbRegistroEntradas[[#This Row],[Data do Caixa Previsto]]))</f>
        <v>2019</v>
      </c>
      <c r="O222" s="156" t="str">
        <f ca="1">IF(AND(TbRegistroEntradas[[#This Row],[Data do Caixa Previsto]]&lt;TODAY(),TbRegistroEntradas[[#This Row],[Data do Caixa Realizado]]=""),"Vencida","Não Vencida")</f>
        <v>Não Vencida</v>
      </c>
      <c r="P222" s="156" t="str">
        <f>IF(TbRegistroEntradas[[#This Row],[Data da Competência]]=TbRegistroEntradas[[#This Row],[Data do Caixa Previsto]],"Vista","Prazo")</f>
        <v>Prazo</v>
      </c>
      <c r="Q22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3" spans="2:17" x14ac:dyDescent="0.25">
      <c r="B223" s="154" t="s">
        <v>67</v>
      </c>
      <c r="C223" s="154">
        <v>43611</v>
      </c>
      <c r="D223" s="154">
        <v>43611</v>
      </c>
      <c r="E223" s="50" t="s">
        <v>24</v>
      </c>
      <c r="F223" s="50" t="s">
        <v>33</v>
      </c>
      <c r="G223" s="50" t="s">
        <v>276</v>
      </c>
      <c r="H223" s="155">
        <v>2531</v>
      </c>
      <c r="I223" s="50">
        <f>IF(TbRegistroEntradas[[#This Row],[Data do Caixa Realizado]]="",0,MONTH(TbRegistroEntradas[[#This Row],[Data do Caixa Realizado]]))</f>
        <v>0</v>
      </c>
      <c r="J223" s="50">
        <f>IF(TbRegistroEntradas[[#This Row],[Data do Caixa Realizado]]="",0,YEAR(TbRegistroEntradas[[#This Row],[Data do Caixa Realizado]]))</f>
        <v>0</v>
      </c>
      <c r="K223" s="50">
        <f>IF(TbRegistroEntradas[[#This Row],[Data da Competência]]="",0,MONTH(TbRegistroEntradas[[#This Row],[Data da Competência]]))</f>
        <v>5</v>
      </c>
      <c r="L223" s="50">
        <f>IF(TbRegistroEntradas[[#This Row],[Data da Competência]]="",0,YEAR(TbRegistroEntradas[[#This Row],[Data da Competência]]))</f>
        <v>2019</v>
      </c>
      <c r="M223" s="156">
        <f>IF(TbRegistroEntradas[[#This Row],[Data do Caixa Previsto]]="",0,MONTH(TbRegistroEntradas[[#This Row],[Data do Caixa Previsto]]))</f>
        <v>5</v>
      </c>
      <c r="N223" s="156">
        <f>IF(TbRegistroEntradas[[#This Row],[Data do Caixa Previsto]]="",0,YEAR(TbRegistroEntradas[[#This Row],[Data do Caixa Previsto]]))</f>
        <v>2019</v>
      </c>
      <c r="O223" s="156" t="str">
        <f ca="1">IF(AND(TbRegistroEntradas[[#This Row],[Data do Caixa Previsto]]&lt;TODAY(),TbRegistroEntradas[[#This Row],[Data do Caixa Realizado]]=""),"Vencida","Não Vencida")</f>
        <v>Vencida</v>
      </c>
      <c r="P223" s="156" t="str">
        <f>IF(TbRegistroEntradas[[#This Row],[Data da Competência]]=TbRegistroEntradas[[#This Row],[Data do Caixa Previsto]],"Vista","Prazo")</f>
        <v>Vista</v>
      </c>
      <c r="Q22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335</v>
      </c>
    </row>
    <row r="224" spans="2:17" x14ac:dyDescent="0.25">
      <c r="B224" s="154">
        <v>43655</v>
      </c>
      <c r="C224" s="154">
        <v>43614</v>
      </c>
      <c r="D224" s="154">
        <v>43655</v>
      </c>
      <c r="E224" s="50" t="s">
        <v>24</v>
      </c>
      <c r="F224" s="50" t="s">
        <v>31</v>
      </c>
      <c r="G224" s="50" t="s">
        <v>277</v>
      </c>
      <c r="H224" s="155">
        <v>657</v>
      </c>
      <c r="I224" s="50">
        <f>IF(TbRegistroEntradas[[#This Row],[Data do Caixa Realizado]]="",0,MONTH(TbRegistroEntradas[[#This Row],[Data do Caixa Realizado]]))</f>
        <v>7</v>
      </c>
      <c r="J224" s="50">
        <f>IF(TbRegistroEntradas[[#This Row],[Data do Caixa Realizado]]="",0,YEAR(TbRegistroEntradas[[#This Row],[Data do Caixa Realizado]]))</f>
        <v>2019</v>
      </c>
      <c r="K224" s="50">
        <f>IF(TbRegistroEntradas[[#This Row],[Data da Competência]]="",0,MONTH(TbRegistroEntradas[[#This Row],[Data da Competência]]))</f>
        <v>5</v>
      </c>
      <c r="L224" s="50">
        <f>IF(TbRegistroEntradas[[#This Row],[Data da Competência]]="",0,YEAR(TbRegistroEntradas[[#This Row],[Data da Competência]]))</f>
        <v>2019</v>
      </c>
      <c r="M224" s="156">
        <f>IF(TbRegistroEntradas[[#This Row],[Data do Caixa Previsto]]="",0,MONTH(TbRegistroEntradas[[#This Row],[Data do Caixa Previsto]]))</f>
        <v>7</v>
      </c>
      <c r="N224" s="156">
        <f>IF(TbRegistroEntradas[[#This Row],[Data do Caixa Previsto]]="",0,YEAR(TbRegistroEntradas[[#This Row],[Data do Caixa Previsto]]))</f>
        <v>2019</v>
      </c>
      <c r="O224" s="156" t="str">
        <f ca="1">IF(AND(TbRegistroEntradas[[#This Row],[Data do Caixa Previsto]]&lt;TODAY(),TbRegistroEntradas[[#This Row],[Data do Caixa Realizado]]=""),"Vencida","Não Vencida")</f>
        <v>Não Vencida</v>
      </c>
      <c r="P224" s="156" t="str">
        <f>IF(TbRegistroEntradas[[#This Row],[Data da Competência]]=TbRegistroEntradas[[#This Row],[Data do Caixa Previsto]],"Vista","Prazo")</f>
        <v>Prazo</v>
      </c>
      <c r="Q22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5" spans="2:17" x14ac:dyDescent="0.25">
      <c r="B225" s="154" t="s">
        <v>67</v>
      </c>
      <c r="C225" s="154">
        <v>43615</v>
      </c>
      <c r="D225" s="154">
        <v>43648</v>
      </c>
      <c r="E225" s="50" t="s">
        <v>24</v>
      </c>
      <c r="F225" s="50" t="s">
        <v>30</v>
      </c>
      <c r="G225" s="50" t="s">
        <v>278</v>
      </c>
      <c r="H225" s="155">
        <v>4535</v>
      </c>
      <c r="I225" s="50">
        <f>IF(TbRegistroEntradas[[#This Row],[Data do Caixa Realizado]]="",0,MONTH(TbRegistroEntradas[[#This Row],[Data do Caixa Realizado]]))</f>
        <v>0</v>
      </c>
      <c r="J225" s="50">
        <f>IF(TbRegistroEntradas[[#This Row],[Data do Caixa Realizado]]="",0,YEAR(TbRegistroEntradas[[#This Row],[Data do Caixa Realizado]]))</f>
        <v>0</v>
      </c>
      <c r="K225" s="50">
        <f>IF(TbRegistroEntradas[[#This Row],[Data da Competência]]="",0,MONTH(TbRegistroEntradas[[#This Row],[Data da Competência]]))</f>
        <v>5</v>
      </c>
      <c r="L225" s="50">
        <f>IF(TbRegistroEntradas[[#This Row],[Data da Competência]]="",0,YEAR(TbRegistroEntradas[[#This Row],[Data da Competência]]))</f>
        <v>2019</v>
      </c>
      <c r="M225" s="156">
        <f>IF(TbRegistroEntradas[[#This Row],[Data do Caixa Previsto]]="",0,MONTH(TbRegistroEntradas[[#This Row],[Data do Caixa Previsto]]))</f>
        <v>7</v>
      </c>
      <c r="N225" s="156">
        <f>IF(TbRegistroEntradas[[#This Row],[Data do Caixa Previsto]]="",0,YEAR(TbRegistroEntradas[[#This Row],[Data do Caixa Previsto]]))</f>
        <v>2019</v>
      </c>
      <c r="O225" s="156" t="str">
        <f ca="1">IF(AND(TbRegistroEntradas[[#This Row],[Data do Caixa Previsto]]&lt;TODAY(),TbRegistroEntradas[[#This Row],[Data do Caixa Realizado]]=""),"Vencida","Não Vencida")</f>
        <v>Vencida</v>
      </c>
      <c r="P225" s="156" t="str">
        <f>IF(TbRegistroEntradas[[#This Row],[Data da Competência]]=TbRegistroEntradas[[#This Row],[Data do Caixa Previsto]],"Vista","Prazo")</f>
        <v>Prazo</v>
      </c>
      <c r="Q225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298</v>
      </c>
    </row>
    <row r="226" spans="2:17" x14ac:dyDescent="0.25">
      <c r="B226" s="154">
        <v>43641</v>
      </c>
      <c r="C226" s="154">
        <v>43620</v>
      </c>
      <c r="D226" s="154">
        <v>43641</v>
      </c>
      <c r="E226" s="50" t="s">
        <v>24</v>
      </c>
      <c r="F226" s="50" t="s">
        <v>33</v>
      </c>
      <c r="G226" s="50" t="s">
        <v>279</v>
      </c>
      <c r="H226" s="155">
        <v>1848</v>
      </c>
      <c r="I226" s="50">
        <f>IF(TbRegistroEntradas[[#This Row],[Data do Caixa Realizado]]="",0,MONTH(TbRegistroEntradas[[#This Row],[Data do Caixa Realizado]]))</f>
        <v>6</v>
      </c>
      <c r="J226" s="50">
        <f>IF(TbRegistroEntradas[[#This Row],[Data do Caixa Realizado]]="",0,YEAR(TbRegistroEntradas[[#This Row],[Data do Caixa Realizado]]))</f>
        <v>2019</v>
      </c>
      <c r="K226" s="50">
        <f>IF(TbRegistroEntradas[[#This Row],[Data da Competência]]="",0,MONTH(TbRegistroEntradas[[#This Row],[Data da Competência]]))</f>
        <v>6</v>
      </c>
      <c r="L226" s="50">
        <f>IF(TbRegistroEntradas[[#This Row],[Data da Competência]]="",0,YEAR(TbRegistroEntradas[[#This Row],[Data da Competência]]))</f>
        <v>2019</v>
      </c>
      <c r="M226" s="156">
        <f>IF(TbRegistroEntradas[[#This Row],[Data do Caixa Previsto]]="",0,MONTH(TbRegistroEntradas[[#This Row],[Data do Caixa Previsto]]))</f>
        <v>6</v>
      </c>
      <c r="N226" s="156">
        <f>IF(TbRegistroEntradas[[#This Row],[Data do Caixa Previsto]]="",0,YEAR(TbRegistroEntradas[[#This Row],[Data do Caixa Previsto]]))</f>
        <v>2019</v>
      </c>
      <c r="O226" s="156" t="str">
        <f ca="1">IF(AND(TbRegistroEntradas[[#This Row],[Data do Caixa Previsto]]&lt;TODAY(),TbRegistroEntradas[[#This Row],[Data do Caixa Realizado]]=""),"Vencida","Não Vencida")</f>
        <v>Não Vencida</v>
      </c>
      <c r="P226" s="156" t="str">
        <f>IF(TbRegistroEntradas[[#This Row],[Data da Competência]]=TbRegistroEntradas[[#This Row],[Data do Caixa Previsto]],"Vista","Prazo")</f>
        <v>Prazo</v>
      </c>
      <c r="Q226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7" spans="2:17" x14ac:dyDescent="0.25">
      <c r="B227" s="154">
        <v>43649</v>
      </c>
      <c r="C227" s="154">
        <v>43625</v>
      </c>
      <c r="D227" s="154">
        <v>43632</v>
      </c>
      <c r="E227" s="50" t="s">
        <v>24</v>
      </c>
      <c r="F227" s="50" t="s">
        <v>33</v>
      </c>
      <c r="G227" s="50" t="s">
        <v>280</v>
      </c>
      <c r="H227" s="155">
        <v>191</v>
      </c>
      <c r="I227" s="50">
        <f>IF(TbRegistroEntradas[[#This Row],[Data do Caixa Realizado]]="",0,MONTH(TbRegistroEntradas[[#This Row],[Data do Caixa Realizado]]))</f>
        <v>7</v>
      </c>
      <c r="J227" s="50">
        <f>IF(TbRegistroEntradas[[#This Row],[Data do Caixa Realizado]]="",0,YEAR(TbRegistroEntradas[[#This Row],[Data do Caixa Realizado]]))</f>
        <v>2019</v>
      </c>
      <c r="K227" s="50">
        <f>IF(TbRegistroEntradas[[#This Row],[Data da Competência]]="",0,MONTH(TbRegistroEntradas[[#This Row],[Data da Competência]]))</f>
        <v>6</v>
      </c>
      <c r="L227" s="50">
        <f>IF(TbRegistroEntradas[[#This Row],[Data da Competência]]="",0,YEAR(TbRegistroEntradas[[#This Row],[Data da Competência]]))</f>
        <v>2019</v>
      </c>
      <c r="M227" s="156">
        <f>IF(TbRegistroEntradas[[#This Row],[Data do Caixa Previsto]]="",0,MONTH(TbRegistroEntradas[[#This Row],[Data do Caixa Previsto]]))</f>
        <v>6</v>
      </c>
      <c r="N227" s="156">
        <f>IF(TbRegistroEntradas[[#This Row],[Data do Caixa Previsto]]="",0,YEAR(TbRegistroEntradas[[#This Row],[Data do Caixa Previsto]]))</f>
        <v>2019</v>
      </c>
      <c r="O227" s="156" t="str">
        <f ca="1">IF(AND(TbRegistroEntradas[[#This Row],[Data do Caixa Previsto]]&lt;TODAY(),TbRegistroEntradas[[#This Row],[Data do Caixa Realizado]]=""),"Vencida","Não Vencida")</f>
        <v>Não Vencida</v>
      </c>
      <c r="P227" s="156" t="str">
        <f>IF(TbRegistroEntradas[[#This Row],[Data da Competência]]=TbRegistroEntradas[[#This Row],[Data do Caixa Previsto]],"Vista","Prazo")</f>
        <v>Prazo</v>
      </c>
      <c r="Q227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228" spans="2:17" x14ac:dyDescent="0.25">
      <c r="B228" s="154">
        <v>43743</v>
      </c>
      <c r="C228" s="154">
        <v>43629</v>
      </c>
      <c r="D228" s="154">
        <v>43668</v>
      </c>
      <c r="E228" s="50" t="s">
        <v>24</v>
      </c>
      <c r="F228" s="50" t="s">
        <v>30</v>
      </c>
      <c r="G228" s="50" t="s">
        <v>281</v>
      </c>
      <c r="H228" s="155">
        <v>508</v>
      </c>
      <c r="I228" s="50">
        <f>IF(TbRegistroEntradas[[#This Row],[Data do Caixa Realizado]]="",0,MONTH(TbRegistroEntradas[[#This Row],[Data do Caixa Realizado]]))</f>
        <v>10</v>
      </c>
      <c r="J228" s="50">
        <f>IF(TbRegistroEntradas[[#This Row],[Data do Caixa Realizado]]="",0,YEAR(TbRegistroEntradas[[#This Row],[Data do Caixa Realizado]]))</f>
        <v>2019</v>
      </c>
      <c r="K228" s="50">
        <f>IF(TbRegistroEntradas[[#This Row],[Data da Competência]]="",0,MONTH(TbRegistroEntradas[[#This Row],[Data da Competência]]))</f>
        <v>6</v>
      </c>
      <c r="L228" s="50">
        <f>IF(TbRegistroEntradas[[#This Row],[Data da Competência]]="",0,YEAR(TbRegistroEntradas[[#This Row],[Data da Competência]]))</f>
        <v>2019</v>
      </c>
      <c r="M228" s="156">
        <f>IF(TbRegistroEntradas[[#This Row],[Data do Caixa Previsto]]="",0,MONTH(TbRegistroEntradas[[#This Row],[Data do Caixa Previsto]]))</f>
        <v>7</v>
      </c>
      <c r="N228" s="156">
        <f>IF(TbRegistroEntradas[[#This Row],[Data do Caixa Previsto]]="",0,YEAR(TbRegistroEntradas[[#This Row],[Data do Caixa Previsto]]))</f>
        <v>2019</v>
      </c>
      <c r="O228" s="156" t="str">
        <f ca="1">IF(AND(TbRegistroEntradas[[#This Row],[Data do Caixa Previsto]]&lt;TODAY(),TbRegistroEntradas[[#This Row],[Data do Caixa Realizado]]=""),"Vencida","Não Vencida")</f>
        <v>Não Vencida</v>
      </c>
      <c r="P228" s="156" t="str">
        <f>IF(TbRegistroEntradas[[#This Row],[Data da Competência]]=TbRegistroEntradas[[#This Row],[Data do Caixa Previsto]],"Vista","Prazo")</f>
        <v>Prazo</v>
      </c>
      <c r="Q228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</v>
      </c>
    </row>
    <row r="229" spans="2:17" x14ac:dyDescent="0.25">
      <c r="B229" s="154" t="s">
        <v>67</v>
      </c>
      <c r="C229" s="154">
        <v>43631</v>
      </c>
      <c r="D229" s="154">
        <v>43631</v>
      </c>
      <c r="E229" s="50" t="s">
        <v>24</v>
      </c>
      <c r="F229" s="50" t="s">
        <v>32</v>
      </c>
      <c r="G229" s="50" t="s">
        <v>282</v>
      </c>
      <c r="H229" s="155">
        <v>1482</v>
      </c>
      <c r="I229" s="50">
        <f>IF(TbRegistroEntradas[[#This Row],[Data do Caixa Realizado]]="",0,MONTH(TbRegistroEntradas[[#This Row],[Data do Caixa Realizado]]))</f>
        <v>0</v>
      </c>
      <c r="J229" s="50">
        <f>IF(TbRegistroEntradas[[#This Row],[Data do Caixa Realizado]]="",0,YEAR(TbRegistroEntradas[[#This Row],[Data do Caixa Realizado]]))</f>
        <v>0</v>
      </c>
      <c r="K229" s="50">
        <f>IF(TbRegistroEntradas[[#This Row],[Data da Competência]]="",0,MONTH(TbRegistroEntradas[[#This Row],[Data da Competência]]))</f>
        <v>6</v>
      </c>
      <c r="L229" s="50">
        <f>IF(TbRegistroEntradas[[#This Row],[Data da Competência]]="",0,YEAR(TbRegistroEntradas[[#This Row],[Data da Competência]]))</f>
        <v>2019</v>
      </c>
      <c r="M229" s="156">
        <f>IF(TbRegistroEntradas[[#This Row],[Data do Caixa Previsto]]="",0,MONTH(TbRegistroEntradas[[#This Row],[Data do Caixa Previsto]]))</f>
        <v>6</v>
      </c>
      <c r="N229" s="156">
        <f>IF(TbRegistroEntradas[[#This Row],[Data do Caixa Previsto]]="",0,YEAR(TbRegistroEntradas[[#This Row],[Data do Caixa Previsto]]))</f>
        <v>2019</v>
      </c>
      <c r="O229" s="156" t="str">
        <f ca="1">IF(AND(TbRegistroEntradas[[#This Row],[Data do Caixa Previsto]]&lt;TODAY(),TbRegistroEntradas[[#This Row],[Data do Caixa Realizado]]=""),"Vencida","Não Vencida")</f>
        <v>Vencida</v>
      </c>
      <c r="P229" s="156" t="str">
        <f>IF(TbRegistroEntradas[[#This Row],[Data da Competência]]=TbRegistroEntradas[[#This Row],[Data do Caixa Previsto]],"Vista","Prazo")</f>
        <v>Vista</v>
      </c>
      <c r="Q229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315</v>
      </c>
    </row>
    <row r="230" spans="2:17" x14ac:dyDescent="0.25">
      <c r="B230" s="154">
        <v>43647</v>
      </c>
      <c r="C230" s="154">
        <v>43632</v>
      </c>
      <c r="D230" s="154">
        <v>43647</v>
      </c>
      <c r="E230" s="50" t="s">
        <v>24</v>
      </c>
      <c r="F230" s="50" t="s">
        <v>34</v>
      </c>
      <c r="G230" s="50" t="s">
        <v>283</v>
      </c>
      <c r="H230" s="155">
        <v>555</v>
      </c>
      <c r="I230" s="50">
        <f>IF(TbRegistroEntradas[[#This Row],[Data do Caixa Realizado]]="",0,MONTH(TbRegistroEntradas[[#This Row],[Data do Caixa Realizado]]))</f>
        <v>7</v>
      </c>
      <c r="J230" s="50">
        <f>IF(TbRegistroEntradas[[#This Row],[Data do Caixa Realizado]]="",0,YEAR(TbRegistroEntradas[[#This Row],[Data do Caixa Realizado]]))</f>
        <v>2019</v>
      </c>
      <c r="K230" s="50">
        <f>IF(TbRegistroEntradas[[#This Row],[Data da Competência]]="",0,MONTH(TbRegistroEntradas[[#This Row],[Data da Competência]]))</f>
        <v>6</v>
      </c>
      <c r="L230" s="50">
        <f>IF(TbRegistroEntradas[[#This Row],[Data da Competência]]="",0,YEAR(TbRegistroEntradas[[#This Row],[Data da Competência]]))</f>
        <v>2019</v>
      </c>
      <c r="M230" s="156">
        <f>IF(TbRegistroEntradas[[#This Row],[Data do Caixa Previsto]]="",0,MONTH(TbRegistroEntradas[[#This Row],[Data do Caixa Previsto]]))</f>
        <v>7</v>
      </c>
      <c r="N230" s="156">
        <f>IF(TbRegistroEntradas[[#This Row],[Data do Caixa Previsto]]="",0,YEAR(TbRegistroEntradas[[#This Row],[Data do Caixa Previsto]]))</f>
        <v>2019</v>
      </c>
      <c r="O230" s="156" t="str">
        <f ca="1">IF(AND(TbRegistroEntradas[[#This Row],[Data do Caixa Previsto]]&lt;TODAY(),TbRegistroEntradas[[#This Row],[Data do Caixa Realizado]]=""),"Vencida","Não Vencida")</f>
        <v>Não Vencida</v>
      </c>
      <c r="P230" s="156" t="str">
        <f>IF(TbRegistroEntradas[[#This Row],[Data da Competência]]=TbRegistroEntradas[[#This Row],[Data do Caixa Previsto]],"Vista","Prazo")</f>
        <v>Prazo</v>
      </c>
      <c r="Q230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1" spans="2:17" x14ac:dyDescent="0.25">
      <c r="B231" s="154">
        <v>43687</v>
      </c>
      <c r="C231" s="154">
        <v>43636</v>
      </c>
      <c r="D231" s="154">
        <v>43687</v>
      </c>
      <c r="E231" s="50" t="s">
        <v>24</v>
      </c>
      <c r="F231" s="50" t="s">
        <v>30</v>
      </c>
      <c r="G231" s="50" t="s">
        <v>284</v>
      </c>
      <c r="H231" s="155">
        <v>1906</v>
      </c>
      <c r="I231" s="50">
        <f>IF(TbRegistroEntradas[[#This Row],[Data do Caixa Realizado]]="",0,MONTH(TbRegistroEntradas[[#This Row],[Data do Caixa Realizado]]))</f>
        <v>8</v>
      </c>
      <c r="J231" s="50">
        <f>IF(TbRegistroEntradas[[#This Row],[Data do Caixa Realizado]]="",0,YEAR(TbRegistroEntradas[[#This Row],[Data do Caixa Realizado]]))</f>
        <v>2019</v>
      </c>
      <c r="K231" s="50">
        <f>IF(TbRegistroEntradas[[#This Row],[Data da Competência]]="",0,MONTH(TbRegistroEntradas[[#This Row],[Data da Competência]]))</f>
        <v>6</v>
      </c>
      <c r="L231" s="50">
        <f>IF(TbRegistroEntradas[[#This Row],[Data da Competência]]="",0,YEAR(TbRegistroEntradas[[#This Row],[Data da Competência]]))</f>
        <v>2019</v>
      </c>
      <c r="M231" s="156">
        <f>IF(TbRegistroEntradas[[#This Row],[Data do Caixa Previsto]]="",0,MONTH(TbRegistroEntradas[[#This Row],[Data do Caixa Previsto]]))</f>
        <v>8</v>
      </c>
      <c r="N231" s="156">
        <f>IF(TbRegistroEntradas[[#This Row],[Data do Caixa Previsto]]="",0,YEAR(TbRegistroEntradas[[#This Row],[Data do Caixa Previsto]]))</f>
        <v>2019</v>
      </c>
      <c r="O231" s="156" t="str">
        <f ca="1">IF(AND(TbRegistroEntradas[[#This Row],[Data do Caixa Previsto]]&lt;TODAY(),TbRegistroEntradas[[#This Row],[Data do Caixa Realizado]]=""),"Vencida","Não Vencida")</f>
        <v>Não Vencida</v>
      </c>
      <c r="P231" s="156" t="str">
        <f>IF(TbRegistroEntradas[[#This Row],[Data da Competência]]=TbRegistroEntradas[[#This Row],[Data do Caixa Previsto]],"Vista","Prazo")</f>
        <v>Prazo</v>
      </c>
      <c r="Q231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2" spans="2:17" x14ac:dyDescent="0.25">
      <c r="B232" s="154">
        <v>43702</v>
      </c>
      <c r="C232" s="154">
        <v>43641</v>
      </c>
      <c r="D232" s="154">
        <v>43645</v>
      </c>
      <c r="E232" s="50" t="s">
        <v>24</v>
      </c>
      <c r="F232" s="50" t="s">
        <v>30</v>
      </c>
      <c r="G232" s="50" t="s">
        <v>285</v>
      </c>
      <c r="H232" s="155">
        <v>450</v>
      </c>
      <c r="I232" s="50">
        <f>IF(TbRegistroEntradas[[#This Row],[Data do Caixa Realizado]]="",0,MONTH(TbRegistroEntradas[[#This Row],[Data do Caixa Realizado]]))</f>
        <v>8</v>
      </c>
      <c r="J232" s="50">
        <f>IF(TbRegistroEntradas[[#This Row],[Data do Caixa Realizado]]="",0,YEAR(TbRegistroEntradas[[#This Row],[Data do Caixa Realizado]]))</f>
        <v>2019</v>
      </c>
      <c r="K232" s="50">
        <f>IF(TbRegistroEntradas[[#This Row],[Data da Competência]]="",0,MONTH(TbRegistroEntradas[[#This Row],[Data da Competência]]))</f>
        <v>6</v>
      </c>
      <c r="L232" s="50">
        <f>IF(TbRegistroEntradas[[#This Row],[Data da Competência]]="",0,YEAR(TbRegistroEntradas[[#This Row],[Data da Competência]]))</f>
        <v>2019</v>
      </c>
      <c r="M232" s="156">
        <f>IF(TbRegistroEntradas[[#This Row],[Data do Caixa Previsto]]="",0,MONTH(TbRegistroEntradas[[#This Row],[Data do Caixa Previsto]]))</f>
        <v>6</v>
      </c>
      <c r="N232" s="156">
        <f>IF(TbRegistroEntradas[[#This Row],[Data do Caixa Previsto]]="",0,YEAR(TbRegistroEntradas[[#This Row],[Data do Caixa Previsto]]))</f>
        <v>2019</v>
      </c>
      <c r="O232" s="156" t="str">
        <f ca="1">IF(AND(TbRegistroEntradas[[#This Row],[Data do Caixa Previsto]]&lt;TODAY(),TbRegistroEntradas[[#This Row],[Data do Caixa Realizado]]=""),"Vencida","Não Vencida")</f>
        <v>Não Vencida</v>
      </c>
      <c r="P232" s="156" t="str">
        <f>IF(TbRegistroEntradas[[#This Row],[Data da Competência]]=TbRegistroEntradas[[#This Row],[Data do Caixa Previsto]],"Vista","Prazo")</f>
        <v>Prazo</v>
      </c>
      <c r="Q232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33" spans="2:17" x14ac:dyDescent="0.25">
      <c r="B233" s="154">
        <v>43710</v>
      </c>
      <c r="C233" s="154">
        <v>43644</v>
      </c>
      <c r="D233" s="154">
        <v>43662</v>
      </c>
      <c r="E233" s="50" t="s">
        <v>24</v>
      </c>
      <c r="F233" s="50" t="s">
        <v>33</v>
      </c>
      <c r="G233" s="50" t="s">
        <v>286</v>
      </c>
      <c r="H233" s="155">
        <v>1479</v>
      </c>
      <c r="I233" s="50">
        <f>IF(TbRegistroEntradas[[#This Row],[Data do Caixa Realizado]]="",0,MONTH(TbRegistroEntradas[[#This Row],[Data do Caixa Realizado]]))</f>
        <v>9</v>
      </c>
      <c r="J233" s="50">
        <f>IF(TbRegistroEntradas[[#This Row],[Data do Caixa Realizado]]="",0,YEAR(TbRegistroEntradas[[#This Row],[Data do Caixa Realizado]]))</f>
        <v>2019</v>
      </c>
      <c r="K233" s="50">
        <f>IF(TbRegistroEntradas[[#This Row],[Data da Competência]]="",0,MONTH(TbRegistroEntradas[[#This Row],[Data da Competência]]))</f>
        <v>6</v>
      </c>
      <c r="L233" s="50">
        <f>IF(TbRegistroEntradas[[#This Row],[Data da Competência]]="",0,YEAR(TbRegistroEntradas[[#This Row],[Data da Competência]]))</f>
        <v>2019</v>
      </c>
      <c r="M233" s="156">
        <f>IF(TbRegistroEntradas[[#This Row],[Data do Caixa Previsto]]="",0,MONTH(TbRegistroEntradas[[#This Row],[Data do Caixa Previsto]]))</f>
        <v>7</v>
      </c>
      <c r="N233" s="156">
        <f>IF(TbRegistroEntradas[[#This Row],[Data do Caixa Previsto]]="",0,YEAR(TbRegistroEntradas[[#This Row],[Data do Caixa Previsto]]))</f>
        <v>2019</v>
      </c>
      <c r="O233" s="156" t="str">
        <f ca="1">IF(AND(TbRegistroEntradas[[#This Row],[Data do Caixa Previsto]]&lt;TODAY(),TbRegistroEntradas[[#This Row],[Data do Caixa Realizado]]=""),"Vencida","Não Vencida")</f>
        <v>Não Vencida</v>
      </c>
      <c r="P233" s="156" t="str">
        <f>IF(TbRegistroEntradas[[#This Row],[Data da Competência]]=TbRegistroEntradas[[#This Row],[Data do Caixa Previsto]],"Vista","Prazo")</f>
        <v>Prazo</v>
      </c>
      <c r="Q233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48</v>
      </c>
    </row>
    <row r="234" spans="2:17" x14ac:dyDescent="0.25">
      <c r="B234" s="154">
        <v>43647</v>
      </c>
      <c r="C234" s="154">
        <v>43645</v>
      </c>
      <c r="D234" s="154">
        <v>43647</v>
      </c>
      <c r="E234" s="50" t="s">
        <v>24</v>
      </c>
      <c r="F234" s="50" t="s">
        <v>33</v>
      </c>
      <c r="G234" s="50" t="s">
        <v>287</v>
      </c>
      <c r="H234" s="155">
        <v>3446</v>
      </c>
      <c r="I234" s="50">
        <f>IF(TbRegistroEntradas[[#This Row],[Data do Caixa Realizado]]="",0,MONTH(TbRegistroEntradas[[#This Row],[Data do Caixa Realizado]]))</f>
        <v>7</v>
      </c>
      <c r="J234" s="50">
        <f>IF(TbRegistroEntradas[[#This Row],[Data do Caixa Realizado]]="",0,YEAR(TbRegistroEntradas[[#This Row],[Data do Caixa Realizado]]))</f>
        <v>2019</v>
      </c>
      <c r="K234" s="50">
        <f>IF(TbRegistroEntradas[[#This Row],[Data da Competência]]="",0,MONTH(TbRegistroEntradas[[#This Row],[Data da Competência]]))</f>
        <v>6</v>
      </c>
      <c r="L234" s="50">
        <f>IF(TbRegistroEntradas[[#This Row],[Data da Competência]]="",0,YEAR(TbRegistroEntradas[[#This Row],[Data da Competência]]))</f>
        <v>2019</v>
      </c>
      <c r="M234" s="156">
        <f>IF(TbRegistroEntradas[[#This Row],[Data do Caixa Previsto]]="",0,MONTH(TbRegistroEntradas[[#This Row],[Data do Caixa Previsto]]))</f>
        <v>7</v>
      </c>
      <c r="N234" s="156">
        <f>IF(TbRegistroEntradas[[#This Row],[Data do Caixa Previsto]]="",0,YEAR(TbRegistroEntradas[[#This Row],[Data do Caixa Previsto]]))</f>
        <v>2019</v>
      </c>
      <c r="O234" s="156" t="str">
        <f ca="1">IF(AND(TbRegistroEntradas[[#This Row],[Data do Caixa Previsto]]&lt;TODAY(),TbRegistroEntradas[[#This Row],[Data do Caixa Realizado]]=""),"Vencida","Não Vencida")</f>
        <v>Não Vencida</v>
      </c>
      <c r="P234" s="156" t="str">
        <f>IF(TbRegistroEntradas[[#This Row],[Data da Competência]]=TbRegistroEntradas[[#This Row],[Data do Caixa Previsto]],"Vista","Prazo")</f>
        <v>Prazo</v>
      </c>
      <c r="Q234" s="15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O232"/>
  <sheetViews>
    <sheetView showGridLines="0" zoomScaleNormal="100" workbookViewId="0">
      <pane ySplit="3" topLeftCell="A4" activePane="bottomLeft" state="frozen"/>
      <selection pane="bottomLeft" activeCell="B4" sqref="B4"/>
    </sheetView>
  </sheetViews>
  <sheetFormatPr defaultColWidth="0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hidden="1"/>
    <col min="11" max="11" width="17.7109375" hidden="1"/>
    <col min="12" max="12" width="17.5703125" hidden="1"/>
    <col min="13" max="13" width="11.42578125" hidden="1"/>
    <col min="14" max="14" width="11.85546875" hidden="1"/>
    <col min="15" max="15" width="11.5703125" hidden="1"/>
    <col min="16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3" t="s">
        <v>10</v>
      </c>
    </row>
    <row r="2" spans="2:15" ht="39.950000000000003" customHeight="1" x14ac:dyDescent="0.25">
      <c r="B2" s="4"/>
      <c r="C2" s="4"/>
      <c r="D2" s="4"/>
      <c r="E2" s="4"/>
      <c r="F2" s="4"/>
      <c r="G2" s="4"/>
      <c r="H2" s="4"/>
    </row>
    <row r="3" spans="2:15" ht="46.5" customHeight="1" x14ac:dyDescent="0.25">
      <c r="B3" s="10" t="s">
        <v>50</v>
      </c>
      <c r="C3" s="10" t="s">
        <v>51</v>
      </c>
      <c r="D3" s="10" t="s">
        <v>52</v>
      </c>
      <c r="E3" s="11" t="s">
        <v>53</v>
      </c>
      <c r="F3" s="11" t="s">
        <v>54</v>
      </c>
      <c r="G3" s="11" t="s">
        <v>55</v>
      </c>
      <c r="H3" s="12" t="s">
        <v>56</v>
      </c>
      <c r="I3" s="11" t="s">
        <v>535</v>
      </c>
      <c r="J3" s="11" t="s">
        <v>536</v>
      </c>
      <c r="K3" s="11" t="s">
        <v>537</v>
      </c>
      <c r="L3" s="11" t="s">
        <v>538</v>
      </c>
      <c r="M3" s="11" t="s">
        <v>543</v>
      </c>
      <c r="N3" s="11" t="s">
        <v>544</v>
      </c>
      <c r="O3" s="11" t="s">
        <v>605</v>
      </c>
    </row>
    <row r="4" spans="2:15" ht="20.100000000000001" customHeight="1" x14ac:dyDescent="0.25">
      <c r="B4" s="8">
        <v>43015</v>
      </c>
      <c r="C4" s="8">
        <v>42957</v>
      </c>
      <c r="D4" s="8">
        <v>43015</v>
      </c>
      <c r="E4" t="s">
        <v>36</v>
      </c>
      <c r="F4" t="s">
        <v>34</v>
      </c>
      <c r="G4" t="s">
        <v>288</v>
      </c>
      <c r="H4" s="9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34">
        <f>IF(TbRegistroSaídas[[#This Row],[Data do Caixa Previsto]]="",0,MONTH(TbRegistroSaídas[[#This Row],[Data do Caixa Previsto]]))</f>
        <v>10</v>
      </c>
      <c r="N4" s="34">
        <f>IF(TbRegistroSaídas[[#This Row],[Data do Caixa Previsto]]="",0,YEAR(TbRegistroSaídas[[#This Row],[Data do Caixa Previsto]]))</f>
        <v>2017</v>
      </c>
      <c r="O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" spans="2:15" ht="20.100000000000001" customHeight="1" x14ac:dyDescent="0.25">
      <c r="B5" s="8">
        <v>42995</v>
      </c>
      <c r="C5" s="8">
        <v>42960</v>
      </c>
      <c r="D5" s="8">
        <v>42995</v>
      </c>
      <c r="E5" t="s">
        <v>36</v>
      </c>
      <c r="F5" t="s">
        <v>43</v>
      </c>
      <c r="G5" t="s">
        <v>289</v>
      </c>
      <c r="H5" s="9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34">
        <f>IF(TbRegistroSaídas[[#This Row],[Data do Caixa Previsto]]="",0,MONTH(TbRegistroSaídas[[#This Row],[Data do Caixa Previsto]]))</f>
        <v>9</v>
      </c>
      <c r="N5" s="34">
        <f>IF(TbRegistroSaídas[[#This Row],[Data do Caixa Previsto]]="",0,YEAR(TbRegistroSaídas[[#This Row],[Data do Caixa Previsto]]))</f>
        <v>2017</v>
      </c>
      <c r="O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" spans="2:15" ht="20.100000000000001" customHeight="1" x14ac:dyDescent="0.25">
      <c r="B6" s="8">
        <v>42983</v>
      </c>
      <c r="C6" s="8">
        <v>42965</v>
      </c>
      <c r="D6" s="8">
        <v>42983</v>
      </c>
      <c r="E6" t="s">
        <v>36</v>
      </c>
      <c r="F6" t="s">
        <v>34</v>
      </c>
      <c r="G6" t="s">
        <v>290</v>
      </c>
      <c r="H6" s="9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34">
        <f>IF(TbRegistroSaídas[[#This Row],[Data do Caixa Previsto]]="",0,MONTH(TbRegistroSaídas[[#This Row],[Data do Caixa Previsto]]))</f>
        <v>9</v>
      </c>
      <c r="N6" s="34">
        <f>IF(TbRegistroSaídas[[#This Row],[Data do Caixa Previsto]]="",0,YEAR(TbRegistroSaídas[[#This Row],[Data do Caixa Previsto]]))</f>
        <v>2017</v>
      </c>
      <c r="O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" spans="2:15" ht="20.100000000000001" customHeight="1" x14ac:dyDescent="0.25">
      <c r="B7" s="8">
        <v>43004</v>
      </c>
      <c r="C7" s="8">
        <v>42970</v>
      </c>
      <c r="D7" s="8">
        <v>43004</v>
      </c>
      <c r="E7" t="s">
        <v>36</v>
      </c>
      <c r="F7" t="s">
        <v>34</v>
      </c>
      <c r="G7" t="s">
        <v>291</v>
      </c>
      <c r="H7" s="9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34">
        <f>IF(TbRegistroSaídas[[#This Row],[Data do Caixa Previsto]]="",0,MONTH(TbRegistroSaídas[[#This Row],[Data do Caixa Previsto]]))</f>
        <v>9</v>
      </c>
      <c r="N7" s="34">
        <f>IF(TbRegistroSaídas[[#This Row],[Data do Caixa Previsto]]="",0,YEAR(TbRegistroSaídas[[#This Row],[Data do Caixa Previsto]]))</f>
        <v>2017</v>
      </c>
      <c r="O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" spans="2:15" ht="20.100000000000001" customHeight="1" x14ac:dyDescent="0.25">
      <c r="B8" s="8">
        <v>43002</v>
      </c>
      <c r="C8" s="8">
        <v>42971</v>
      </c>
      <c r="D8" s="8">
        <v>43002</v>
      </c>
      <c r="E8" t="s">
        <v>36</v>
      </c>
      <c r="F8" t="s">
        <v>43</v>
      </c>
      <c r="G8" t="s">
        <v>292</v>
      </c>
      <c r="H8" s="9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34">
        <f>IF(TbRegistroSaídas[[#This Row],[Data do Caixa Previsto]]="",0,MONTH(TbRegistroSaídas[[#This Row],[Data do Caixa Previsto]]))</f>
        <v>9</v>
      </c>
      <c r="N8" s="34">
        <f>IF(TbRegistroSaídas[[#This Row],[Data do Caixa Previsto]]="",0,YEAR(TbRegistroSaídas[[#This Row],[Data do Caixa Previsto]]))</f>
        <v>2017</v>
      </c>
      <c r="O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" spans="2:15" ht="20.100000000000001" customHeight="1" x14ac:dyDescent="0.25">
      <c r="B9" s="8">
        <v>42980</v>
      </c>
      <c r="C9" s="8">
        <v>42972</v>
      </c>
      <c r="D9" s="8">
        <v>42980</v>
      </c>
      <c r="E9" t="s">
        <v>36</v>
      </c>
      <c r="F9" t="s">
        <v>31</v>
      </c>
      <c r="G9" t="s">
        <v>293</v>
      </c>
      <c r="H9" s="9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34">
        <f>IF(TbRegistroSaídas[[#This Row],[Data do Caixa Previsto]]="",0,MONTH(TbRegistroSaídas[[#This Row],[Data do Caixa Previsto]]))</f>
        <v>9</v>
      </c>
      <c r="N9" s="34">
        <f>IF(TbRegistroSaídas[[#This Row],[Data do Caixa Previsto]]="",0,YEAR(TbRegistroSaídas[[#This Row],[Data do Caixa Previsto]]))</f>
        <v>2017</v>
      </c>
      <c r="O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" spans="2:15" ht="20.100000000000001" customHeight="1" x14ac:dyDescent="0.25">
      <c r="B10" s="8">
        <v>43014</v>
      </c>
      <c r="C10" s="8">
        <v>42976</v>
      </c>
      <c r="D10" s="8">
        <v>43014</v>
      </c>
      <c r="E10" t="s">
        <v>36</v>
      </c>
      <c r="F10" t="s">
        <v>43</v>
      </c>
      <c r="G10" t="s">
        <v>294</v>
      </c>
      <c r="H10" s="9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34">
        <f>IF(TbRegistroSaídas[[#This Row],[Data do Caixa Previsto]]="",0,MONTH(TbRegistroSaídas[[#This Row],[Data do Caixa Previsto]]))</f>
        <v>10</v>
      </c>
      <c r="N10" s="34">
        <f>IF(TbRegistroSaídas[[#This Row],[Data do Caixa Previsto]]="",0,YEAR(TbRegistroSaídas[[#This Row],[Data do Caixa Previsto]]))</f>
        <v>2017</v>
      </c>
      <c r="O1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" spans="2:15" ht="20.100000000000001" customHeight="1" x14ac:dyDescent="0.25">
      <c r="B11" s="8">
        <v>42990</v>
      </c>
      <c r="C11" s="8">
        <v>42979</v>
      </c>
      <c r="D11" s="8">
        <v>42980</v>
      </c>
      <c r="E11" t="s">
        <v>36</v>
      </c>
      <c r="F11" t="s">
        <v>43</v>
      </c>
      <c r="G11" t="s">
        <v>114</v>
      </c>
      <c r="H11" s="9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34">
        <f>IF(TbRegistroSaídas[[#This Row],[Data do Caixa Previsto]]="",0,MONTH(TbRegistroSaídas[[#This Row],[Data do Caixa Previsto]]))</f>
        <v>9</v>
      </c>
      <c r="N11" s="34">
        <f>IF(TbRegistroSaídas[[#This Row],[Data do Caixa Previsto]]="",0,YEAR(TbRegistroSaídas[[#This Row],[Data do Caixa Previsto]]))</f>
        <v>2017</v>
      </c>
      <c r="O1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2" spans="2:15" ht="20.100000000000001" customHeight="1" x14ac:dyDescent="0.25">
      <c r="B12" s="8">
        <v>42987</v>
      </c>
      <c r="C12" s="8">
        <v>42982</v>
      </c>
      <c r="D12" s="8">
        <v>42987</v>
      </c>
      <c r="E12" t="s">
        <v>36</v>
      </c>
      <c r="F12" t="s">
        <v>34</v>
      </c>
      <c r="G12" t="s">
        <v>295</v>
      </c>
      <c r="H12" s="9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34">
        <f>IF(TbRegistroSaídas[[#This Row],[Data do Caixa Previsto]]="",0,MONTH(TbRegistroSaídas[[#This Row],[Data do Caixa Previsto]]))</f>
        <v>9</v>
      </c>
      <c r="N12" s="34">
        <f>IF(TbRegistroSaídas[[#This Row],[Data do Caixa Previsto]]="",0,YEAR(TbRegistroSaídas[[#This Row],[Data do Caixa Previsto]]))</f>
        <v>2017</v>
      </c>
      <c r="O1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" spans="2:15" ht="20.100000000000001" customHeight="1" x14ac:dyDescent="0.25">
      <c r="B13" s="8" t="s">
        <v>67</v>
      </c>
      <c r="C13" s="8">
        <v>42984</v>
      </c>
      <c r="D13" s="8">
        <v>42984</v>
      </c>
      <c r="E13" t="s">
        <v>36</v>
      </c>
      <c r="F13" t="s">
        <v>31</v>
      </c>
      <c r="G13" t="s">
        <v>296</v>
      </c>
      <c r="H13" s="9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34">
        <f>IF(TbRegistroSaídas[[#This Row],[Data do Caixa Previsto]]="",0,MONTH(TbRegistroSaídas[[#This Row],[Data do Caixa Previsto]]))</f>
        <v>9</v>
      </c>
      <c r="N13" s="34">
        <f>IF(TbRegistroSaídas[[#This Row],[Data do Caixa Previsto]]="",0,YEAR(TbRegistroSaídas[[#This Row],[Data do Caixa Previsto]]))</f>
        <v>2017</v>
      </c>
      <c r="O1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962</v>
      </c>
    </row>
    <row r="14" spans="2:15" ht="20.100000000000001" customHeight="1" x14ac:dyDescent="0.25">
      <c r="B14" s="8" t="s">
        <v>67</v>
      </c>
      <c r="C14" s="8">
        <v>42990</v>
      </c>
      <c r="D14" s="8">
        <v>43020</v>
      </c>
      <c r="E14" t="s">
        <v>36</v>
      </c>
      <c r="F14" t="s">
        <v>32</v>
      </c>
      <c r="G14" t="s">
        <v>297</v>
      </c>
      <c r="H14" s="9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34">
        <f>IF(TbRegistroSaídas[[#This Row],[Data do Caixa Previsto]]="",0,MONTH(TbRegistroSaídas[[#This Row],[Data do Caixa Previsto]]))</f>
        <v>10</v>
      </c>
      <c r="N14" s="34">
        <f>IF(TbRegistroSaídas[[#This Row],[Data do Caixa Previsto]]="",0,YEAR(TbRegistroSaídas[[#This Row],[Data do Caixa Previsto]]))</f>
        <v>2017</v>
      </c>
      <c r="O1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926</v>
      </c>
    </row>
    <row r="15" spans="2:15" ht="20.100000000000001" customHeight="1" x14ac:dyDescent="0.25">
      <c r="B15" s="8">
        <v>42991</v>
      </c>
      <c r="C15" s="8">
        <v>42991</v>
      </c>
      <c r="D15" s="8">
        <v>42991</v>
      </c>
      <c r="E15" t="s">
        <v>36</v>
      </c>
      <c r="F15" t="s">
        <v>32</v>
      </c>
      <c r="G15" t="s">
        <v>298</v>
      </c>
      <c r="H15" s="9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34">
        <f>IF(TbRegistroSaídas[[#This Row],[Data do Caixa Previsto]]="",0,MONTH(TbRegistroSaídas[[#This Row],[Data do Caixa Previsto]]))</f>
        <v>9</v>
      </c>
      <c r="N15" s="34">
        <f>IF(TbRegistroSaídas[[#This Row],[Data do Caixa Previsto]]="",0,YEAR(TbRegistroSaídas[[#This Row],[Data do Caixa Previsto]]))</f>
        <v>2017</v>
      </c>
      <c r="O1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" spans="2:15" ht="20.100000000000001" customHeight="1" x14ac:dyDescent="0.25">
      <c r="B16" s="8">
        <v>42992</v>
      </c>
      <c r="C16" s="8">
        <v>42992</v>
      </c>
      <c r="D16" s="8">
        <v>42992</v>
      </c>
      <c r="E16" t="s">
        <v>36</v>
      </c>
      <c r="F16" t="s">
        <v>34</v>
      </c>
      <c r="G16" t="s">
        <v>299</v>
      </c>
      <c r="H16" s="9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34">
        <f>IF(TbRegistroSaídas[[#This Row],[Data do Caixa Previsto]]="",0,MONTH(TbRegistroSaídas[[#This Row],[Data do Caixa Previsto]]))</f>
        <v>9</v>
      </c>
      <c r="N16" s="34">
        <f>IF(TbRegistroSaídas[[#This Row],[Data do Caixa Previsto]]="",0,YEAR(TbRegistroSaídas[[#This Row],[Data do Caixa Previsto]]))</f>
        <v>2017</v>
      </c>
      <c r="O1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" spans="2:15" ht="20.100000000000001" customHeight="1" x14ac:dyDescent="0.25">
      <c r="B17" s="8">
        <v>43004</v>
      </c>
      <c r="C17" s="8">
        <v>42997</v>
      </c>
      <c r="D17" s="8">
        <v>43004</v>
      </c>
      <c r="E17" t="s">
        <v>36</v>
      </c>
      <c r="F17" t="s">
        <v>43</v>
      </c>
      <c r="G17" t="s">
        <v>300</v>
      </c>
      <c r="H17" s="9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34">
        <f>IF(TbRegistroSaídas[[#This Row],[Data do Caixa Previsto]]="",0,MONTH(TbRegistroSaídas[[#This Row],[Data do Caixa Previsto]]))</f>
        <v>9</v>
      </c>
      <c r="N17" s="34">
        <f>IF(TbRegistroSaídas[[#This Row],[Data do Caixa Previsto]]="",0,YEAR(TbRegistroSaídas[[#This Row],[Data do Caixa Previsto]]))</f>
        <v>2017</v>
      </c>
      <c r="O1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" spans="2:15" x14ac:dyDescent="0.25">
      <c r="B18" s="8">
        <v>43043</v>
      </c>
      <c r="C18" s="8">
        <v>43002</v>
      </c>
      <c r="D18" s="8">
        <v>43043</v>
      </c>
      <c r="E18" t="s">
        <v>36</v>
      </c>
      <c r="F18" t="s">
        <v>32</v>
      </c>
      <c r="G18" t="s">
        <v>301</v>
      </c>
      <c r="H18" s="9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34">
        <f>IF(TbRegistroSaídas[[#This Row],[Data do Caixa Previsto]]="",0,MONTH(TbRegistroSaídas[[#This Row],[Data do Caixa Previsto]]))</f>
        <v>11</v>
      </c>
      <c r="N18" s="34">
        <f>IF(TbRegistroSaídas[[#This Row],[Data do Caixa Previsto]]="",0,YEAR(TbRegistroSaídas[[#This Row],[Data do Caixa Previsto]]))</f>
        <v>2017</v>
      </c>
      <c r="O1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" spans="2:15" x14ac:dyDescent="0.25">
      <c r="B19" s="8" t="s">
        <v>67</v>
      </c>
      <c r="C19" s="8">
        <v>43003</v>
      </c>
      <c r="D19" s="8">
        <v>43015</v>
      </c>
      <c r="E19" t="s">
        <v>36</v>
      </c>
      <c r="F19" t="s">
        <v>43</v>
      </c>
      <c r="G19" t="s">
        <v>302</v>
      </c>
      <c r="H19" s="9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34">
        <f>IF(TbRegistroSaídas[[#This Row],[Data do Caixa Previsto]]="",0,MONTH(TbRegistroSaídas[[#This Row],[Data do Caixa Previsto]]))</f>
        <v>10</v>
      </c>
      <c r="N19" s="34">
        <f>IF(TbRegistroSaídas[[#This Row],[Data do Caixa Previsto]]="",0,YEAR(TbRegistroSaídas[[#This Row],[Data do Caixa Previsto]]))</f>
        <v>2017</v>
      </c>
      <c r="O1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931</v>
      </c>
    </row>
    <row r="20" spans="2:15" x14ac:dyDescent="0.25">
      <c r="B20" s="8">
        <v>43010</v>
      </c>
      <c r="C20" s="8">
        <v>43003</v>
      </c>
      <c r="D20" s="8">
        <v>43010</v>
      </c>
      <c r="E20" t="s">
        <v>36</v>
      </c>
      <c r="F20" t="s">
        <v>31</v>
      </c>
      <c r="G20" t="s">
        <v>303</v>
      </c>
      <c r="H20" s="9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34">
        <f>IF(TbRegistroSaídas[[#This Row],[Data do Caixa Previsto]]="",0,MONTH(TbRegistroSaídas[[#This Row],[Data do Caixa Previsto]]))</f>
        <v>10</v>
      </c>
      <c r="N20" s="34">
        <f>IF(TbRegistroSaídas[[#This Row],[Data do Caixa Previsto]]="",0,YEAR(TbRegistroSaídas[[#This Row],[Data do Caixa Previsto]]))</f>
        <v>2017</v>
      </c>
      <c r="O2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" spans="2:15" x14ac:dyDescent="0.25">
      <c r="B21" s="8">
        <v>43042</v>
      </c>
      <c r="C21" s="8">
        <v>43006</v>
      </c>
      <c r="D21" s="8">
        <v>43042</v>
      </c>
      <c r="E21" t="s">
        <v>36</v>
      </c>
      <c r="F21" t="s">
        <v>31</v>
      </c>
      <c r="G21" t="s">
        <v>304</v>
      </c>
      <c r="H21" s="9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34">
        <f>IF(TbRegistroSaídas[[#This Row],[Data do Caixa Previsto]]="",0,MONTH(TbRegistroSaídas[[#This Row],[Data do Caixa Previsto]]))</f>
        <v>11</v>
      </c>
      <c r="N21" s="34">
        <f>IF(TbRegistroSaídas[[#This Row],[Data do Caixa Previsto]]="",0,YEAR(TbRegistroSaídas[[#This Row],[Data do Caixa Previsto]]))</f>
        <v>2017</v>
      </c>
      <c r="O2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" spans="2:15" x14ac:dyDescent="0.25">
      <c r="B22" s="8">
        <v>43009</v>
      </c>
      <c r="C22" s="8">
        <v>43009</v>
      </c>
      <c r="D22" s="8">
        <v>43009</v>
      </c>
      <c r="E22" t="s">
        <v>36</v>
      </c>
      <c r="F22" t="s">
        <v>43</v>
      </c>
      <c r="G22" t="s">
        <v>305</v>
      </c>
      <c r="H22" s="9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34">
        <f>IF(TbRegistroSaídas[[#This Row],[Data do Caixa Previsto]]="",0,MONTH(TbRegistroSaídas[[#This Row],[Data do Caixa Previsto]]))</f>
        <v>10</v>
      </c>
      <c r="N22" s="34">
        <f>IF(TbRegistroSaídas[[#This Row],[Data do Caixa Previsto]]="",0,YEAR(TbRegistroSaídas[[#This Row],[Data do Caixa Previsto]]))</f>
        <v>2017</v>
      </c>
      <c r="O2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" spans="2:15" x14ac:dyDescent="0.25">
      <c r="B23" s="8">
        <v>43030</v>
      </c>
      <c r="C23" s="8">
        <v>43012</v>
      </c>
      <c r="D23" s="8">
        <v>43030</v>
      </c>
      <c r="E23" t="s">
        <v>36</v>
      </c>
      <c r="F23" t="s">
        <v>32</v>
      </c>
      <c r="G23" t="s">
        <v>306</v>
      </c>
      <c r="H23" s="9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34">
        <f>IF(TbRegistroSaídas[[#This Row],[Data do Caixa Previsto]]="",0,MONTH(TbRegistroSaídas[[#This Row],[Data do Caixa Previsto]]))</f>
        <v>10</v>
      </c>
      <c r="N23" s="34">
        <f>IF(TbRegistroSaídas[[#This Row],[Data do Caixa Previsto]]="",0,YEAR(TbRegistroSaídas[[#This Row],[Data do Caixa Previsto]]))</f>
        <v>2017</v>
      </c>
      <c r="O2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4" spans="2:15" x14ac:dyDescent="0.25">
      <c r="B24" s="8">
        <v>43031</v>
      </c>
      <c r="C24" s="8">
        <v>43014</v>
      </c>
      <c r="D24" s="8">
        <v>43031</v>
      </c>
      <c r="E24" t="s">
        <v>36</v>
      </c>
      <c r="F24" t="s">
        <v>32</v>
      </c>
      <c r="G24" t="s">
        <v>307</v>
      </c>
      <c r="H24" s="9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34">
        <f>IF(TbRegistroSaídas[[#This Row],[Data do Caixa Previsto]]="",0,MONTH(TbRegistroSaídas[[#This Row],[Data do Caixa Previsto]]))</f>
        <v>10</v>
      </c>
      <c r="N24" s="34">
        <f>IF(TbRegistroSaídas[[#This Row],[Data do Caixa Previsto]]="",0,YEAR(TbRegistroSaídas[[#This Row],[Data do Caixa Previsto]]))</f>
        <v>2017</v>
      </c>
      <c r="O2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5" spans="2:15" x14ac:dyDescent="0.25">
      <c r="B25" s="8">
        <v>43046</v>
      </c>
      <c r="C25" s="8">
        <v>43017</v>
      </c>
      <c r="D25" s="8">
        <v>43046</v>
      </c>
      <c r="E25" t="s">
        <v>36</v>
      </c>
      <c r="F25" t="s">
        <v>30</v>
      </c>
      <c r="G25" t="s">
        <v>308</v>
      </c>
      <c r="H25" s="9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34">
        <f>IF(TbRegistroSaídas[[#This Row],[Data do Caixa Previsto]]="",0,MONTH(TbRegistroSaídas[[#This Row],[Data do Caixa Previsto]]))</f>
        <v>11</v>
      </c>
      <c r="N25" s="34">
        <f>IF(TbRegistroSaídas[[#This Row],[Data do Caixa Previsto]]="",0,YEAR(TbRegistroSaídas[[#This Row],[Data do Caixa Previsto]]))</f>
        <v>2017</v>
      </c>
      <c r="O2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6" spans="2:15" x14ac:dyDescent="0.25">
      <c r="B26" s="8">
        <v>43022</v>
      </c>
      <c r="C26" s="8">
        <v>43022</v>
      </c>
      <c r="D26" s="8">
        <v>43022</v>
      </c>
      <c r="E26" t="s">
        <v>36</v>
      </c>
      <c r="F26" t="s">
        <v>43</v>
      </c>
      <c r="G26" t="s">
        <v>309</v>
      </c>
      <c r="H26" s="9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34">
        <f>IF(TbRegistroSaídas[[#This Row],[Data do Caixa Previsto]]="",0,MONTH(TbRegistroSaídas[[#This Row],[Data do Caixa Previsto]]))</f>
        <v>10</v>
      </c>
      <c r="N26" s="34">
        <f>IF(TbRegistroSaídas[[#This Row],[Data do Caixa Previsto]]="",0,YEAR(TbRegistroSaídas[[#This Row],[Data do Caixa Previsto]]))</f>
        <v>2017</v>
      </c>
      <c r="O2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7" spans="2:15" x14ac:dyDescent="0.25">
      <c r="B27" s="8">
        <v>43031</v>
      </c>
      <c r="C27" s="8">
        <v>43024</v>
      </c>
      <c r="D27" s="8">
        <v>43031</v>
      </c>
      <c r="E27" t="s">
        <v>36</v>
      </c>
      <c r="F27" t="s">
        <v>43</v>
      </c>
      <c r="G27" t="s">
        <v>310</v>
      </c>
      <c r="H27" s="9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34">
        <f>IF(TbRegistroSaídas[[#This Row],[Data do Caixa Previsto]]="",0,MONTH(TbRegistroSaídas[[#This Row],[Data do Caixa Previsto]]))</f>
        <v>10</v>
      </c>
      <c r="N27" s="34">
        <f>IF(TbRegistroSaídas[[#This Row],[Data do Caixa Previsto]]="",0,YEAR(TbRegistroSaídas[[#This Row],[Data do Caixa Previsto]]))</f>
        <v>2017</v>
      </c>
      <c r="O2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8" spans="2:15" x14ac:dyDescent="0.25">
      <c r="B28" s="8">
        <v>43026</v>
      </c>
      <c r="C28" s="8">
        <v>43026</v>
      </c>
      <c r="D28" s="8">
        <v>43026</v>
      </c>
      <c r="E28" t="s">
        <v>36</v>
      </c>
      <c r="F28" t="s">
        <v>43</v>
      </c>
      <c r="G28" t="s">
        <v>311</v>
      </c>
      <c r="H28" s="9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34">
        <f>IF(TbRegistroSaídas[[#This Row],[Data do Caixa Previsto]]="",0,MONTH(TbRegistroSaídas[[#This Row],[Data do Caixa Previsto]]))</f>
        <v>10</v>
      </c>
      <c r="N28" s="34">
        <f>IF(TbRegistroSaídas[[#This Row],[Data do Caixa Previsto]]="",0,YEAR(TbRegistroSaídas[[#This Row],[Data do Caixa Previsto]]))</f>
        <v>2017</v>
      </c>
      <c r="O2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9" spans="2:15" x14ac:dyDescent="0.25">
      <c r="B29" s="8">
        <v>43065</v>
      </c>
      <c r="C29" s="8">
        <v>43032</v>
      </c>
      <c r="D29" s="8">
        <v>43037</v>
      </c>
      <c r="E29" t="s">
        <v>36</v>
      </c>
      <c r="F29" t="s">
        <v>31</v>
      </c>
      <c r="G29" t="s">
        <v>312</v>
      </c>
      <c r="H29" s="9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34">
        <f>IF(TbRegistroSaídas[[#This Row],[Data do Caixa Previsto]]="",0,MONTH(TbRegistroSaídas[[#This Row],[Data do Caixa Previsto]]))</f>
        <v>10</v>
      </c>
      <c r="N29" s="34">
        <f>IF(TbRegistroSaídas[[#This Row],[Data do Caixa Previsto]]="",0,YEAR(TbRegistroSaídas[[#This Row],[Data do Caixa Previsto]]))</f>
        <v>2017</v>
      </c>
      <c r="O2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28</v>
      </c>
    </row>
    <row r="30" spans="2:15" x14ac:dyDescent="0.25">
      <c r="B30" s="8">
        <v>43071</v>
      </c>
      <c r="C30" s="8">
        <v>43037</v>
      </c>
      <c r="D30" s="8">
        <v>43068</v>
      </c>
      <c r="E30" t="s">
        <v>36</v>
      </c>
      <c r="F30" t="s">
        <v>30</v>
      </c>
      <c r="G30" t="s">
        <v>313</v>
      </c>
      <c r="H30" s="9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34">
        <f>IF(TbRegistroSaídas[[#This Row],[Data do Caixa Previsto]]="",0,MONTH(TbRegistroSaídas[[#This Row],[Data do Caixa Previsto]]))</f>
        <v>11</v>
      </c>
      <c r="N30" s="34">
        <f>IF(TbRegistroSaídas[[#This Row],[Data do Caixa Previsto]]="",0,YEAR(TbRegistroSaídas[[#This Row],[Data do Caixa Previsto]]))</f>
        <v>2017</v>
      </c>
      <c r="O3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31" spans="2:15" x14ac:dyDescent="0.25">
      <c r="B31" s="8">
        <v>43089</v>
      </c>
      <c r="C31" s="8">
        <v>43042</v>
      </c>
      <c r="D31" s="8">
        <v>43089</v>
      </c>
      <c r="E31" t="s">
        <v>36</v>
      </c>
      <c r="F31" t="s">
        <v>32</v>
      </c>
      <c r="G31" t="s">
        <v>314</v>
      </c>
      <c r="H31" s="9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34">
        <f>IF(TbRegistroSaídas[[#This Row],[Data do Caixa Previsto]]="",0,MONTH(TbRegistroSaídas[[#This Row],[Data do Caixa Previsto]]))</f>
        <v>12</v>
      </c>
      <c r="N31" s="34">
        <f>IF(TbRegistroSaídas[[#This Row],[Data do Caixa Previsto]]="",0,YEAR(TbRegistroSaídas[[#This Row],[Data do Caixa Previsto]]))</f>
        <v>2017</v>
      </c>
      <c r="O3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2" spans="2:15" x14ac:dyDescent="0.25">
      <c r="B32" s="8">
        <v>43044</v>
      </c>
      <c r="C32" s="8">
        <v>43044</v>
      </c>
      <c r="D32" s="8">
        <v>43044</v>
      </c>
      <c r="E32" t="s">
        <v>36</v>
      </c>
      <c r="F32" t="s">
        <v>43</v>
      </c>
      <c r="G32" t="s">
        <v>315</v>
      </c>
      <c r="H32" s="9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34">
        <f>IF(TbRegistroSaídas[[#This Row],[Data do Caixa Previsto]]="",0,MONTH(TbRegistroSaídas[[#This Row],[Data do Caixa Previsto]]))</f>
        <v>11</v>
      </c>
      <c r="N32" s="34">
        <f>IF(TbRegistroSaídas[[#This Row],[Data do Caixa Previsto]]="",0,YEAR(TbRegistroSaídas[[#This Row],[Data do Caixa Previsto]]))</f>
        <v>2017</v>
      </c>
      <c r="O3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3" spans="2:15" x14ac:dyDescent="0.25">
      <c r="B33" s="8">
        <v>43047</v>
      </c>
      <c r="C33" s="8">
        <v>43047</v>
      </c>
      <c r="D33" s="8">
        <v>43047</v>
      </c>
      <c r="E33" t="s">
        <v>36</v>
      </c>
      <c r="F33" t="s">
        <v>34</v>
      </c>
      <c r="G33" t="s">
        <v>316</v>
      </c>
      <c r="H33" s="9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34">
        <f>IF(TbRegistroSaídas[[#This Row],[Data do Caixa Previsto]]="",0,MONTH(TbRegistroSaídas[[#This Row],[Data do Caixa Previsto]]))</f>
        <v>11</v>
      </c>
      <c r="N33" s="34">
        <f>IF(TbRegistroSaídas[[#This Row],[Data do Caixa Previsto]]="",0,YEAR(TbRegistroSaídas[[#This Row],[Data do Caixa Previsto]]))</f>
        <v>2017</v>
      </c>
      <c r="O3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4" spans="2:15" x14ac:dyDescent="0.25">
      <c r="B34" s="8">
        <v>43087</v>
      </c>
      <c r="C34" s="8">
        <v>43051</v>
      </c>
      <c r="D34" s="8">
        <v>43087</v>
      </c>
      <c r="E34" t="s">
        <v>36</v>
      </c>
      <c r="F34" t="s">
        <v>43</v>
      </c>
      <c r="G34" t="s">
        <v>317</v>
      </c>
      <c r="H34" s="9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34">
        <f>IF(TbRegistroSaídas[[#This Row],[Data do Caixa Previsto]]="",0,MONTH(TbRegistroSaídas[[#This Row],[Data do Caixa Previsto]]))</f>
        <v>12</v>
      </c>
      <c r="N34" s="34">
        <f>IF(TbRegistroSaídas[[#This Row],[Data do Caixa Previsto]]="",0,YEAR(TbRegistroSaídas[[#This Row],[Data do Caixa Previsto]]))</f>
        <v>2017</v>
      </c>
      <c r="O3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5" spans="2:15" x14ac:dyDescent="0.25">
      <c r="B35" s="8">
        <v>43095</v>
      </c>
      <c r="C35" s="8">
        <v>43054</v>
      </c>
      <c r="D35" s="8">
        <v>43095</v>
      </c>
      <c r="E35" t="s">
        <v>36</v>
      </c>
      <c r="F35" t="s">
        <v>32</v>
      </c>
      <c r="G35" t="s">
        <v>318</v>
      </c>
      <c r="H35" s="9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34">
        <f>IF(TbRegistroSaídas[[#This Row],[Data do Caixa Previsto]]="",0,MONTH(TbRegistroSaídas[[#This Row],[Data do Caixa Previsto]]))</f>
        <v>12</v>
      </c>
      <c r="N35" s="34">
        <f>IF(TbRegistroSaídas[[#This Row],[Data do Caixa Previsto]]="",0,YEAR(TbRegistroSaídas[[#This Row],[Data do Caixa Previsto]]))</f>
        <v>2017</v>
      </c>
      <c r="O3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6" spans="2:15" x14ac:dyDescent="0.25">
      <c r="B36" s="8">
        <v>43056</v>
      </c>
      <c r="C36" s="8">
        <v>43056</v>
      </c>
      <c r="D36" s="8">
        <v>43056</v>
      </c>
      <c r="E36" t="s">
        <v>36</v>
      </c>
      <c r="F36" t="s">
        <v>32</v>
      </c>
      <c r="G36" t="s">
        <v>319</v>
      </c>
      <c r="H36" s="9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34">
        <f>IF(TbRegistroSaídas[[#This Row],[Data do Caixa Previsto]]="",0,MONTH(TbRegistroSaídas[[#This Row],[Data do Caixa Previsto]]))</f>
        <v>11</v>
      </c>
      <c r="N36" s="34">
        <f>IF(TbRegistroSaídas[[#This Row],[Data do Caixa Previsto]]="",0,YEAR(TbRegistroSaídas[[#This Row],[Data do Caixa Previsto]]))</f>
        <v>2017</v>
      </c>
      <c r="O3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7" spans="2:15" x14ac:dyDescent="0.25">
      <c r="B37" s="8">
        <v>43112</v>
      </c>
      <c r="C37" s="8">
        <v>43057</v>
      </c>
      <c r="D37" s="8">
        <v>43112</v>
      </c>
      <c r="E37" t="s">
        <v>36</v>
      </c>
      <c r="F37" t="s">
        <v>43</v>
      </c>
      <c r="G37" t="s">
        <v>320</v>
      </c>
      <c r="H37" s="9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34">
        <f>IF(TbRegistroSaídas[[#This Row],[Data do Caixa Previsto]]="",0,MONTH(TbRegistroSaídas[[#This Row],[Data do Caixa Previsto]]))</f>
        <v>1</v>
      </c>
      <c r="N37" s="34">
        <f>IF(TbRegistroSaídas[[#This Row],[Data do Caixa Previsto]]="",0,YEAR(TbRegistroSaídas[[#This Row],[Data do Caixa Previsto]]))</f>
        <v>2018</v>
      </c>
      <c r="O3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8" spans="2:15" x14ac:dyDescent="0.25">
      <c r="B38" s="8">
        <v>43101</v>
      </c>
      <c r="C38" s="8">
        <v>43058</v>
      </c>
      <c r="D38" s="8">
        <v>43058</v>
      </c>
      <c r="E38" t="s">
        <v>36</v>
      </c>
      <c r="F38" t="s">
        <v>34</v>
      </c>
      <c r="G38" t="s">
        <v>321</v>
      </c>
      <c r="H38" s="9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34">
        <f>IF(TbRegistroSaídas[[#This Row],[Data do Caixa Previsto]]="",0,MONTH(TbRegistroSaídas[[#This Row],[Data do Caixa Previsto]]))</f>
        <v>11</v>
      </c>
      <c r="N38" s="34">
        <f>IF(TbRegistroSaídas[[#This Row],[Data do Caixa Previsto]]="",0,YEAR(TbRegistroSaídas[[#This Row],[Data do Caixa Previsto]]))</f>
        <v>2017</v>
      </c>
      <c r="O3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</v>
      </c>
    </row>
    <row r="39" spans="2:15" x14ac:dyDescent="0.25">
      <c r="B39" s="8">
        <v>43061</v>
      </c>
      <c r="C39" s="8">
        <v>43061</v>
      </c>
      <c r="D39" s="8">
        <v>43061</v>
      </c>
      <c r="E39" t="s">
        <v>36</v>
      </c>
      <c r="F39" t="s">
        <v>43</v>
      </c>
      <c r="G39" t="s">
        <v>322</v>
      </c>
      <c r="H39" s="9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34">
        <f>IF(TbRegistroSaídas[[#This Row],[Data do Caixa Previsto]]="",0,MONTH(TbRegistroSaídas[[#This Row],[Data do Caixa Previsto]]))</f>
        <v>11</v>
      </c>
      <c r="N39" s="34">
        <f>IF(TbRegistroSaídas[[#This Row],[Data do Caixa Previsto]]="",0,YEAR(TbRegistroSaídas[[#This Row],[Data do Caixa Previsto]]))</f>
        <v>2017</v>
      </c>
      <c r="O3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0" spans="2:15" x14ac:dyDescent="0.25">
      <c r="B40" s="8">
        <v>43103</v>
      </c>
      <c r="C40" s="8">
        <v>43062</v>
      </c>
      <c r="D40" s="8">
        <v>43103</v>
      </c>
      <c r="E40" t="s">
        <v>36</v>
      </c>
      <c r="F40" t="s">
        <v>43</v>
      </c>
      <c r="G40" t="s">
        <v>323</v>
      </c>
      <c r="H40" s="9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34">
        <f>IF(TbRegistroSaídas[[#This Row],[Data do Caixa Previsto]]="",0,MONTH(TbRegistroSaídas[[#This Row],[Data do Caixa Previsto]]))</f>
        <v>1</v>
      </c>
      <c r="N40" s="34">
        <f>IF(TbRegistroSaídas[[#This Row],[Data do Caixa Previsto]]="",0,YEAR(TbRegistroSaídas[[#This Row],[Data do Caixa Previsto]]))</f>
        <v>2018</v>
      </c>
      <c r="O4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1" spans="2:15" x14ac:dyDescent="0.25">
      <c r="B41" s="8">
        <v>43070</v>
      </c>
      <c r="C41" s="8">
        <v>43069</v>
      </c>
      <c r="D41" s="8">
        <v>43070</v>
      </c>
      <c r="E41" t="s">
        <v>36</v>
      </c>
      <c r="F41" t="s">
        <v>43</v>
      </c>
      <c r="G41" t="s">
        <v>292</v>
      </c>
      <c r="H41" s="9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34">
        <f>IF(TbRegistroSaídas[[#This Row],[Data do Caixa Previsto]]="",0,MONTH(TbRegistroSaídas[[#This Row],[Data do Caixa Previsto]]))</f>
        <v>12</v>
      </c>
      <c r="N41" s="34">
        <f>IF(TbRegistroSaídas[[#This Row],[Data do Caixa Previsto]]="",0,YEAR(TbRegistroSaídas[[#This Row],[Data do Caixa Previsto]]))</f>
        <v>2017</v>
      </c>
      <c r="O4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2" spans="2:15" x14ac:dyDescent="0.25">
      <c r="B42" s="8">
        <v>43096</v>
      </c>
      <c r="C42" s="8">
        <v>43070</v>
      </c>
      <c r="D42" s="8">
        <v>43096</v>
      </c>
      <c r="E42" t="s">
        <v>36</v>
      </c>
      <c r="F42" t="s">
        <v>30</v>
      </c>
      <c r="G42" t="s">
        <v>324</v>
      </c>
      <c r="H42" s="9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34">
        <f>IF(TbRegistroSaídas[[#This Row],[Data do Caixa Previsto]]="",0,MONTH(TbRegistroSaídas[[#This Row],[Data do Caixa Previsto]]))</f>
        <v>12</v>
      </c>
      <c r="N42" s="34">
        <f>IF(TbRegistroSaídas[[#This Row],[Data do Caixa Previsto]]="",0,YEAR(TbRegistroSaídas[[#This Row],[Data do Caixa Previsto]]))</f>
        <v>2017</v>
      </c>
      <c r="O4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3" spans="2:15" x14ac:dyDescent="0.25">
      <c r="B43" s="8">
        <v>43125</v>
      </c>
      <c r="C43" s="8">
        <v>43071</v>
      </c>
      <c r="D43" s="8">
        <v>43125</v>
      </c>
      <c r="E43" t="s">
        <v>36</v>
      </c>
      <c r="F43" t="s">
        <v>31</v>
      </c>
      <c r="G43" t="s">
        <v>325</v>
      </c>
      <c r="H43" s="9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34">
        <f>IF(TbRegistroSaídas[[#This Row],[Data do Caixa Previsto]]="",0,MONTH(TbRegistroSaídas[[#This Row],[Data do Caixa Previsto]]))</f>
        <v>1</v>
      </c>
      <c r="N43" s="34">
        <f>IF(TbRegistroSaídas[[#This Row],[Data do Caixa Previsto]]="",0,YEAR(TbRegistroSaídas[[#This Row],[Data do Caixa Previsto]]))</f>
        <v>2018</v>
      </c>
      <c r="O4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4" spans="2:15" x14ac:dyDescent="0.25">
      <c r="B44" s="8">
        <v>43075</v>
      </c>
      <c r="C44" s="8">
        <v>43075</v>
      </c>
      <c r="D44" s="8">
        <v>43075</v>
      </c>
      <c r="E44" t="s">
        <v>36</v>
      </c>
      <c r="F44" t="s">
        <v>32</v>
      </c>
      <c r="G44" t="s">
        <v>326</v>
      </c>
      <c r="H44" s="9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34">
        <f>IF(TbRegistroSaídas[[#This Row],[Data do Caixa Previsto]]="",0,MONTH(TbRegistroSaídas[[#This Row],[Data do Caixa Previsto]]))</f>
        <v>12</v>
      </c>
      <c r="N44" s="34">
        <f>IF(TbRegistroSaídas[[#This Row],[Data do Caixa Previsto]]="",0,YEAR(TbRegistroSaídas[[#This Row],[Data do Caixa Previsto]]))</f>
        <v>2017</v>
      </c>
      <c r="O4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5" spans="2:15" x14ac:dyDescent="0.25">
      <c r="B45" s="8">
        <v>43077</v>
      </c>
      <c r="C45" s="8">
        <v>43077</v>
      </c>
      <c r="D45" s="8">
        <v>43077</v>
      </c>
      <c r="E45" t="s">
        <v>36</v>
      </c>
      <c r="F45" t="s">
        <v>30</v>
      </c>
      <c r="G45" t="s">
        <v>288</v>
      </c>
      <c r="H45" s="9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34">
        <f>IF(TbRegistroSaídas[[#This Row],[Data do Caixa Previsto]]="",0,MONTH(TbRegistroSaídas[[#This Row],[Data do Caixa Previsto]]))</f>
        <v>12</v>
      </c>
      <c r="N45" s="34">
        <f>IF(TbRegistroSaídas[[#This Row],[Data do Caixa Previsto]]="",0,YEAR(TbRegistroSaídas[[#This Row],[Data do Caixa Previsto]]))</f>
        <v>2017</v>
      </c>
      <c r="O4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6" spans="2:15" x14ac:dyDescent="0.25">
      <c r="B46" s="8">
        <v>43099</v>
      </c>
      <c r="C46" s="8">
        <v>43079</v>
      </c>
      <c r="D46" s="8">
        <v>43099</v>
      </c>
      <c r="E46" t="s">
        <v>36</v>
      </c>
      <c r="F46" t="s">
        <v>43</v>
      </c>
      <c r="G46" t="s">
        <v>327</v>
      </c>
      <c r="H46" s="9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34">
        <f>IF(TbRegistroSaídas[[#This Row],[Data do Caixa Previsto]]="",0,MONTH(TbRegistroSaídas[[#This Row],[Data do Caixa Previsto]]))</f>
        <v>12</v>
      </c>
      <c r="N46" s="34">
        <f>IF(TbRegistroSaídas[[#This Row],[Data do Caixa Previsto]]="",0,YEAR(TbRegistroSaídas[[#This Row],[Data do Caixa Previsto]]))</f>
        <v>2017</v>
      </c>
      <c r="O4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7" spans="2:15" x14ac:dyDescent="0.25">
      <c r="B47" s="8" t="s">
        <v>67</v>
      </c>
      <c r="C47" s="8">
        <v>43084</v>
      </c>
      <c r="D47" s="8">
        <v>43142</v>
      </c>
      <c r="E47" t="s">
        <v>36</v>
      </c>
      <c r="F47" t="s">
        <v>31</v>
      </c>
      <c r="G47" t="s">
        <v>328</v>
      </c>
      <c r="H47" s="9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34">
        <f>IF(TbRegistroSaídas[[#This Row],[Data do Caixa Previsto]]="",0,MONTH(TbRegistroSaídas[[#This Row],[Data do Caixa Previsto]]))</f>
        <v>2</v>
      </c>
      <c r="N47" s="34">
        <f>IF(TbRegistroSaídas[[#This Row],[Data do Caixa Previsto]]="",0,YEAR(TbRegistroSaídas[[#This Row],[Data do Caixa Previsto]]))</f>
        <v>2018</v>
      </c>
      <c r="O4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804</v>
      </c>
    </row>
    <row r="48" spans="2:15" x14ac:dyDescent="0.25">
      <c r="B48" s="8">
        <v>43098</v>
      </c>
      <c r="C48" s="8">
        <v>43086</v>
      </c>
      <c r="D48" s="8">
        <v>43098</v>
      </c>
      <c r="E48" t="s">
        <v>36</v>
      </c>
      <c r="F48" t="s">
        <v>30</v>
      </c>
      <c r="G48" t="s">
        <v>329</v>
      </c>
      <c r="H48" s="9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34">
        <f>IF(TbRegistroSaídas[[#This Row],[Data do Caixa Previsto]]="",0,MONTH(TbRegistroSaídas[[#This Row],[Data do Caixa Previsto]]))</f>
        <v>12</v>
      </c>
      <c r="N48" s="34">
        <f>IF(TbRegistroSaídas[[#This Row],[Data do Caixa Previsto]]="",0,YEAR(TbRegistroSaídas[[#This Row],[Data do Caixa Previsto]]))</f>
        <v>2017</v>
      </c>
      <c r="O4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9" spans="2:15" x14ac:dyDescent="0.25">
      <c r="B49" s="8">
        <v>43111</v>
      </c>
      <c r="C49" s="8">
        <v>43089</v>
      </c>
      <c r="D49" s="8">
        <v>43111</v>
      </c>
      <c r="E49" t="s">
        <v>36</v>
      </c>
      <c r="F49" t="s">
        <v>43</v>
      </c>
      <c r="G49" t="s">
        <v>330</v>
      </c>
      <c r="H49" s="9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34">
        <f>IF(TbRegistroSaídas[[#This Row],[Data do Caixa Previsto]]="",0,MONTH(TbRegistroSaídas[[#This Row],[Data do Caixa Previsto]]))</f>
        <v>1</v>
      </c>
      <c r="N49" s="34">
        <f>IF(TbRegistroSaídas[[#This Row],[Data do Caixa Previsto]]="",0,YEAR(TbRegistroSaídas[[#This Row],[Data do Caixa Previsto]]))</f>
        <v>2018</v>
      </c>
      <c r="O4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0" spans="2:15" x14ac:dyDescent="0.25">
      <c r="B50" s="8">
        <v>43151</v>
      </c>
      <c r="C50" s="8">
        <v>43090</v>
      </c>
      <c r="D50" s="8">
        <v>43148</v>
      </c>
      <c r="E50" t="s">
        <v>36</v>
      </c>
      <c r="F50" t="s">
        <v>43</v>
      </c>
      <c r="G50" t="s">
        <v>331</v>
      </c>
      <c r="H50" s="9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34">
        <f>IF(TbRegistroSaídas[[#This Row],[Data do Caixa Previsto]]="",0,MONTH(TbRegistroSaídas[[#This Row],[Data do Caixa Previsto]]))</f>
        <v>2</v>
      </c>
      <c r="N50" s="34">
        <f>IF(TbRegistroSaídas[[#This Row],[Data do Caixa Previsto]]="",0,YEAR(TbRegistroSaídas[[#This Row],[Data do Caixa Previsto]]))</f>
        <v>2018</v>
      </c>
      <c r="O5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51" spans="2:15" x14ac:dyDescent="0.25">
      <c r="B51" s="8">
        <v>43094</v>
      </c>
      <c r="C51" s="8">
        <v>43094</v>
      </c>
      <c r="D51" s="8">
        <v>43094</v>
      </c>
      <c r="E51" t="s">
        <v>36</v>
      </c>
      <c r="F51" t="s">
        <v>30</v>
      </c>
      <c r="G51" t="s">
        <v>332</v>
      </c>
      <c r="H51" s="9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34">
        <f>IF(TbRegistroSaídas[[#This Row],[Data do Caixa Previsto]]="",0,MONTH(TbRegistroSaídas[[#This Row],[Data do Caixa Previsto]]))</f>
        <v>12</v>
      </c>
      <c r="N51" s="34">
        <f>IF(TbRegistroSaídas[[#This Row],[Data do Caixa Previsto]]="",0,YEAR(TbRegistroSaídas[[#This Row],[Data do Caixa Previsto]]))</f>
        <v>2017</v>
      </c>
      <c r="O5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2" spans="2:15" x14ac:dyDescent="0.25">
      <c r="B52" s="8">
        <v>43124</v>
      </c>
      <c r="C52" s="8">
        <v>43096</v>
      </c>
      <c r="D52" s="8">
        <v>43124</v>
      </c>
      <c r="E52" t="s">
        <v>36</v>
      </c>
      <c r="F52" t="s">
        <v>34</v>
      </c>
      <c r="G52" t="s">
        <v>333</v>
      </c>
      <c r="H52" s="9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34">
        <f>IF(TbRegistroSaídas[[#This Row],[Data do Caixa Previsto]]="",0,MONTH(TbRegistroSaídas[[#This Row],[Data do Caixa Previsto]]))</f>
        <v>1</v>
      </c>
      <c r="N52" s="34">
        <f>IF(TbRegistroSaídas[[#This Row],[Data do Caixa Previsto]]="",0,YEAR(TbRegistroSaídas[[#This Row],[Data do Caixa Previsto]]))</f>
        <v>2018</v>
      </c>
      <c r="O5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3" spans="2:15" x14ac:dyDescent="0.25">
      <c r="B53" s="8">
        <v>43098</v>
      </c>
      <c r="C53" s="8">
        <v>43098</v>
      </c>
      <c r="D53" s="8">
        <v>43098</v>
      </c>
      <c r="E53" t="s">
        <v>36</v>
      </c>
      <c r="F53" t="s">
        <v>31</v>
      </c>
      <c r="G53" t="s">
        <v>334</v>
      </c>
      <c r="H53" s="9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34">
        <f>IF(TbRegistroSaídas[[#This Row],[Data do Caixa Previsto]]="",0,MONTH(TbRegistroSaídas[[#This Row],[Data do Caixa Previsto]]))</f>
        <v>12</v>
      </c>
      <c r="N53" s="34">
        <f>IF(TbRegistroSaídas[[#This Row],[Data do Caixa Previsto]]="",0,YEAR(TbRegistroSaídas[[#This Row],[Data do Caixa Previsto]]))</f>
        <v>2017</v>
      </c>
      <c r="O5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4" spans="2:15" x14ac:dyDescent="0.25">
      <c r="B54" s="8" t="s">
        <v>67</v>
      </c>
      <c r="C54" s="8">
        <v>43100</v>
      </c>
      <c r="D54" s="8">
        <v>43151</v>
      </c>
      <c r="E54" t="s">
        <v>36</v>
      </c>
      <c r="F54" t="s">
        <v>32</v>
      </c>
      <c r="G54" t="s">
        <v>335</v>
      </c>
      <c r="H54" s="9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34">
        <f>IF(TbRegistroSaídas[[#This Row],[Data do Caixa Previsto]]="",0,MONTH(TbRegistroSaídas[[#This Row],[Data do Caixa Previsto]]))</f>
        <v>2</v>
      </c>
      <c r="N54" s="34">
        <f>IF(TbRegistroSaídas[[#This Row],[Data do Caixa Previsto]]="",0,YEAR(TbRegistroSaídas[[#This Row],[Data do Caixa Previsto]]))</f>
        <v>2018</v>
      </c>
      <c r="O5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795</v>
      </c>
    </row>
    <row r="55" spans="2:15" x14ac:dyDescent="0.25">
      <c r="B55" s="8">
        <v>43108</v>
      </c>
      <c r="C55" s="8">
        <v>43103</v>
      </c>
      <c r="D55" s="8">
        <v>43108</v>
      </c>
      <c r="E55" t="s">
        <v>36</v>
      </c>
      <c r="F55" t="s">
        <v>34</v>
      </c>
      <c r="G55" t="s">
        <v>336</v>
      </c>
      <c r="H55" s="9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34">
        <f>IF(TbRegistroSaídas[[#This Row],[Data do Caixa Previsto]]="",0,MONTH(TbRegistroSaídas[[#This Row],[Data do Caixa Previsto]]))</f>
        <v>1</v>
      </c>
      <c r="N55" s="34">
        <f>IF(TbRegistroSaídas[[#This Row],[Data do Caixa Previsto]]="",0,YEAR(TbRegistroSaídas[[#This Row],[Data do Caixa Previsto]]))</f>
        <v>2018</v>
      </c>
      <c r="O5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6" spans="2:15" x14ac:dyDescent="0.25">
      <c r="B56" s="8">
        <v>43117</v>
      </c>
      <c r="C56" s="8">
        <v>43106</v>
      </c>
      <c r="D56" s="8">
        <v>43117</v>
      </c>
      <c r="E56" t="s">
        <v>36</v>
      </c>
      <c r="F56" t="s">
        <v>43</v>
      </c>
      <c r="G56" t="s">
        <v>337</v>
      </c>
      <c r="H56" s="9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34">
        <f>IF(TbRegistroSaídas[[#This Row],[Data do Caixa Previsto]]="",0,MONTH(TbRegistroSaídas[[#This Row],[Data do Caixa Previsto]]))</f>
        <v>1</v>
      </c>
      <c r="N56" s="34">
        <f>IF(TbRegistroSaídas[[#This Row],[Data do Caixa Previsto]]="",0,YEAR(TbRegistroSaídas[[#This Row],[Data do Caixa Previsto]]))</f>
        <v>2018</v>
      </c>
      <c r="O5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7" spans="2:15" x14ac:dyDescent="0.25">
      <c r="B57" s="8" t="s">
        <v>67</v>
      </c>
      <c r="C57" s="8">
        <v>43109</v>
      </c>
      <c r="D57" s="8">
        <v>43109</v>
      </c>
      <c r="E57" t="s">
        <v>36</v>
      </c>
      <c r="F57" t="s">
        <v>31</v>
      </c>
      <c r="G57" t="s">
        <v>338</v>
      </c>
      <c r="H57" s="9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34">
        <f>IF(TbRegistroSaídas[[#This Row],[Data do Caixa Previsto]]="",0,MONTH(TbRegistroSaídas[[#This Row],[Data do Caixa Previsto]]))</f>
        <v>1</v>
      </c>
      <c r="N57" s="34">
        <f>IF(TbRegistroSaídas[[#This Row],[Data do Caixa Previsto]]="",0,YEAR(TbRegistroSaídas[[#This Row],[Data do Caixa Previsto]]))</f>
        <v>2018</v>
      </c>
      <c r="O5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837</v>
      </c>
    </row>
    <row r="58" spans="2:15" x14ac:dyDescent="0.25">
      <c r="B58" s="8">
        <v>43110</v>
      </c>
      <c r="C58" s="8">
        <v>43110</v>
      </c>
      <c r="D58" s="8">
        <v>43110</v>
      </c>
      <c r="E58" t="s">
        <v>36</v>
      </c>
      <c r="F58" t="s">
        <v>43</v>
      </c>
      <c r="G58" t="s">
        <v>339</v>
      </c>
      <c r="H58" s="9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34">
        <f>IF(TbRegistroSaídas[[#This Row],[Data do Caixa Previsto]]="",0,MONTH(TbRegistroSaídas[[#This Row],[Data do Caixa Previsto]]))</f>
        <v>1</v>
      </c>
      <c r="N58" s="34">
        <f>IF(TbRegistroSaídas[[#This Row],[Data do Caixa Previsto]]="",0,YEAR(TbRegistroSaídas[[#This Row],[Data do Caixa Previsto]]))</f>
        <v>2018</v>
      </c>
      <c r="O5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9" spans="2:15" x14ac:dyDescent="0.25">
      <c r="B59" s="8" t="s">
        <v>67</v>
      </c>
      <c r="C59" s="8">
        <v>43112</v>
      </c>
      <c r="D59" s="8">
        <v>43112</v>
      </c>
      <c r="E59" t="s">
        <v>36</v>
      </c>
      <c r="F59" t="s">
        <v>43</v>
      </c>
      <c r="G59" t="s">
        <v>340</v>
      </c>
      <c r="H59" s="9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34">
        <f>IF(TbRegistroSaídas[[#This Row],[Data do Caixa Previsto]]="",0,MONTH(TbRegistroSaídas[[#This Row],[Data do Caixa Previsto]]))</f>
        <v>1</v>
      </c>
      <c r="N59" s="34">
        <f>IF(TbRegistroSaídas[[#This Row],[Data do Caixa Previsto]]="",0,YEAR(TbRegistroSaídas[[#This Row],[Data do Caixa Previsto]]))</f>
        <v>2018</v>
      </c>
      <c r="O5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834</v>
      </c>
    </row>
    <row r="60" spans="2:15" x14ac:dyDescent="0.25">
      <c r="B60" s="8">
        <v>43137</v>
      </c>
      <c r="C60" s="8">
        <v>43113</v>
      </c>
      <c r="D60" s="8">
        <v>43137</v>
      </c>
      <c r="E60" t="s">
        <v>36</v>
      </c>
      <c r="F60" t="s">
        <v>34</v>
      </c>
      <c r="G60" t="s">
        <v>341</v>
      </c>
      <c r="H60" s="9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34">
        <f>IF(TbRegistroSaídas[[#This Row],[Data do Caixa Previsto]]="",0,MONTH(TbRegistroSaídas[[#This Row],[Data do Caixa Previsto]]))</f>
        <v>2</v>
      </c>
      <c r="N60" s="34">
        <f>IF(TbRegistroSaídas[[#This Row],[Data do Caixa Previsto]]="",0,YEAR(TbRegistroSaídas[[#This Row],[Data do Caixa Previsto]]))</f>
        <v>2018</v>
      </c>
      <c r="O6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1" spans="2:15" x14ac:dyDescent="0.25">
      <c r="B61" s="8">
        <v>43144</v>
      </c>
      <c r="C61" s="8">
        <v>43114</v>
      </c>
      <c r="D61" s="8">
        <v>43144</v>
      </c>
      <c r="E61" t="s">
        <v>36</v>
      </c>
      <c r="F61" t="s">
        <v>34</v>
      </c>
      <c r="G61" t="s">
        <v>342</v>
      </c>
      <c r="H61" s="9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34">
        <f>IF(TbRegistroSaídas[[#This Row],[Data do Caixa Previsto]]="",0,MONTH(TbRegistroSaídas[[#This Row],[Data do Caixa Previsto]]))</f>
        <v>2</v>
      </c>
      <c r="N61" s="34">
        <f>IF(TbRegistroSaídas[[#This Row],[Data do Caixa Previsto]]="",0,YEAR(TbRegistroSaídas[[#This Row],[Data do Caixa Previsto]]))</f>
        <v>2018</v>
      </c>
      <c r="O6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2" spans="2:15" x14ac:dyDescent="0.25">
      <c r="B62" s="8">
        <v>43116</v>
      </c>
      <c r="C62" s="8">
        <v>43116</v>
      </c>
      <c r="D62" s="8">
        <v>43116</v>
      </c>
      <c r="E62" t="s">
        <v>36</v>
      </c>
      <c r="F62" t="s">
        <v>43</v>
      </c>
      <c r="G62" t="s">
        <v>295</v>
      </c>
      <c r="H62" s="9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34">
        <f>IF(TbRegistroSaídas[[#This Row],[Data do Caixa Previsto]]="",0,MONTH(TbRegistroSaídas[[#This Row],[Data do Caixa Previsto]]))</f>
        <v>1</v>
      </c>
      <c r="N62" s="34">
        <f>IF(TbRegistroSaídas[[#This Row],[Data do Caixa Previsto]]="",0,YEAR(TbRegistroSaídas[[#This Row],[Data do Caixa Previsto]]))</f>
        <v>2018</v>
      </c>
      <c r="O6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3" spans="2:15" x14ac:dyDescent="0.25">
      <c r="B63" s="8">
        <v>43133</v>
      </c>
      <c r="C63" s="8">
        <v>43120</v>
      </c>
      <c r="D63" s="8">
        <v>43120</v>
      </c>
      <c r="E63" t="s">
        <v>36</v>
      </c>
      <c r="F63" t="s">
        <v>43</v>
      </c>
      <c r="G63" t="s">
        <v>343</v>
      </c>
      <c r="H63" s="9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34">
        <f>IF(TbRegistroSaídas[[#This Row],[Data do Caixa Previsto]]="",0,MONTH(TbRegistroSaídas[[#This Row],[Data do Caixa Previsto]]))</f>
        <v>1</v>
      </c>
      <c r="N63" s="34">
        <f>IF(TbRegistroSaídas[[#This Row],[Data do Caixa Previsto]]="",0,YEAR(TbRegistroSaídas[[#This Row],[Data do Caixa Previsto]]))</f>
        <v>2018</v>
      </c>
      <c r="O6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64" spans="2:15" x14ac:dyDescent="0.25">
      <c r="B64" s="8">
        <v>43141</v>
      </c>
      <c r="C64" s="8">
        <v>43121</v>
      </c>
      <c r="D64" s="8">
        <v>43141</v>
      </c>
      <c r="E64" t="s">
        <v>36</v>
      </c>
      <c r="F64" t="s">
        <v>30</v>
      </c>
      <c r="G64" t="s">
        <v>344</v>
      </c>
      <c r="H64" s="9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34">
        <f>IF(TbRegistroSaídas[[#This Row],[Data do Caixa Previsto]]="",0,MONTH(TbRegistroSaídas[[#This Row],[Data do Caixa Previsto]]))</f>
        <v>2</v>
      </c>
      <c r="N64" s="34">
        <f>IF(TbRegistroSaídas[[#This Row],[Data do Caixa Previsto]]="",0,YEAR(TbRegistroSaídas[[#This Row],[Data do Caixa Previsto]]))</f>
        <v>2018</v>
      </c>
      <c r="O6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5" spans="2:15" x14ac:dyDescent="0.25">
      <c r="B65" s="8">
        <v>43140</v>
      </c>
      <c r="C65" s="8">
        <v>43123</v>
      </c>
      <c r="D65" s="8">
        <v>43140</v>
      </c>
      <c r="E65" t="s">
        <v>36</v>
      </c>
      <c r="F65" t="s">
        <v>34</v>
      </c>
      <c r="G65" t="s">
        <v>345</v>
      </c>
      <c r="H65" s="9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34">
        <f>IF(TbRegistroSaídas[[#This Row],[Data do Caixa Previsto]]="",0,MONTH(TbRegistroSaídas[[#This Row],[Data do Caixa Previsto]]))</f>
        <v>2</v>
      </c>
      <c r="N65" s="34">
        <f>IF(TbRegistroSaídas[[#This Row],[Data do Caixa Previsto]]="",0,YEAR(TbRegistroSaídas[[#This Row],[Data do Caixa Previsto]]))</f>
        <v>2018</v>
      </c>
      <c r="O6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6" spans="2:15" x14ac:dyDescent="0.25">
      <c r="B66" s="8" t="s">
        <v>67</v>
      </c>
      <c r="C66" s="8">
        <v>43125</v>
      </c>
      <c r="D66" s="8">
        <v>43125</v>
      </c>
      <c r="E66" t="s">
        <v>36</v>
      </c>
      <c r="F66" t="s">
        <v>32</v>
      </c>
      <c r="G66" t="s">
        <v>346</v>
      </c>
      <c r="H66" s="9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34">
        <f>IF(TbRegistroSaídas[[#This Row],[Data do Caixa Previsto]]="",0,MONTH(TbRegistroSaídas[[#This Row],[Data do Caixa Previsto]]))</f>
        <v>1</v>
      </c>
      <c r="N66" s="34">
        <f>IF(TbRegistroSaídas[[#This Row],[Data do Caixa Previsto]]="",0,YEAR(TbRegistroSaídas[[#This Row],[Data do Caixa Previsto]]))</f>
        <v>2018</v>
      </c>
      <c r="O6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821</v>
      </c>
    </row>
    <row r="67" spans="2:15" x14ac:dyDescent="0.25">
      <c r="B67" s="8">
        <v>43178</v>
      </c>
      <c r="C67" s="8">
        <v>43127</v>
      </c>
      <c r="D67" s="8">
        <v>43127</v>
      </c>
      <c r="E67" t="s">
        <v>36</v>
      </c>
      <c r="F67" t="s">
        <v>31</v>
      </c>
      <c r="G67" t="s">
        <v>347</v>
      </c>
      <c r="H67" s="9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34">
        <f>IF(TbRegistroSaídas[[#This Row],[Data do Caixa Previsto]]="",0,MONTH(TbRegistroSaídas[[#This Row],[Data do Caixa Previsto]]))</f>
        <v>1</v>
      </c>
      <c r="N67" s="34">
        <f>IF(TbRegistroSaídas[[#This Row],[Data do Caixa Previsto]]="",0,YEAR(TbRegistroSaídas[[#This Row],[Data do Caixa Previsto]]))</f>
        <v>2018</v>
      </c>
      <c r="O6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51</v>
      </c>
    </row>
    <row r="68" spans="2:15" x14ac:dyDescent="0.25">
      <c r="B68" s="8">
        <v>43215</v>
      </c>
      <c r="C68" s="8">
        <v>43129</v>
      </c>
      <c r="D68" s="8">
        <v>43129</v>
      </c>
      <c r="E68" t="s">
        <v>36</v>
      </c>
      <c r="F68" t="s">
        <v>43</v>
      </c>
      <c r="G68" t="s">
        <v>348</v>
      </c>
      <c r="H68" s="9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34">
        <f>IF(TbRegistroSaídas[[#This Row],[Data do Caixa Previsto]]="",0,MONTH(TbRegistroSaídas[[#This Row],[Data do Caixa Previsto]]))</f>
        <v>1</v>
      </c>
      <c r="N68" s="34">
        <f>IF(TbRegistroSaídas[[#This Row],[Data do Caixa Previsto]]="",0,YEAR(TbRegistroSaídas[[#This Row],[Data do Caixa Previsto]]))</f>
        <v>2018</v>
      </c>
      <c r="O6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86</v>
      </c>
    </row>
    <row r="69" spans="2:15" x14ac:dyDescent="0.25">
      <c r="B69" s="8">
        <v>43131</v>
      </c>
      <c r="C69" s="8">
        <v>43131</v>
      </c>
      <c r="D69" s="8">
        <v>43131</v>
      </c>
      <c r="E69" t="s">
        <v>36</v>
      </c>
      <c r="F69" t="s">
        <v>34</v>
      </c>
      <c r="G69" t="s">
        <v>349</v>
      </c>
      <c r="H69" s="9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34">
        <f>IF(TbRegistroSaídas[[#This Row],[Data do Caixa Previsto]]="",0,MONTH(TbRegistroSaídas[[#This Row],[Data do Caixa Previsto]]))</f>
        <v>1</v>
      </c>
      <c r="N69" s="34">
        <f>IF(TbRegistroSaídas[[#This Row],[Data do Caixa Previsto]]="",0,YEAR(TbRegistroSaídas[[#This Row],[Data do Caixa Previsto]]))</f>
        <v>2018</v>
      </c>
      <c r="O6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0" spans="2:15" x14ac:dyDescent="0.25">
      <c r="B70" s="8" t="s">
        <v>67</v>
      </c>
      <c r="C70" s="8">
        <v>43135</v>
      </c>
      <c r="D70" s="8">
        <v>43135</v>
      </c>
      <c r="E70" t="s">
        <v>36</v>
      </c>
      <c r="F70" t="s">
        <v>30</v>
      </c>
      <c r="G70" t="s">
        <v>350</v>
      </c>
      <c r="H70" s="9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34">
        <f>IF(TbRegistroSaídas[[#This Row],[Data do Caixa Previsto]]="",0,MONTH(TbRegistroSaídas[[#This Row],[Data do Caixa Previsto]]))</f>
        <v>2</v>
      </c>
      <c r="N70" s="34">
        <f>IF(TbRegistroSaídas[[#This Row],[Data do Caixa Previsto]]="",0,YEAR(TbRegistroSaídas[[#This Row],[Data do Caixa Previsto]]))</f>
        <v>2018</v>
      </c>
      <c r="O7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811</v>
      </c>
    </row>
    <row r="71" spans="2:15" x14ac:dyDescent="0.25">
      <c r="B71" s="8">
        <v>43136</v>
      </c>
      <c r="C71" s="8">
        <v>43136</v>
      </c>
      <c r="D71" s="8">
        <v>43136</v>
      </c>
      <c r="E71" t="s">
        <v>36</v>
      </c>
      <c r="F71" t="s">
        <v>43</v>
      </c>
      <c r="G71" t="s">
        <v>351</v>
      </c>
      <c r="H71" s="9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34">
        <f>IF(TbRegistroSaídas[[#This Row],[Data do Caixa Previsto]]="",0,MONTH(TbRegistroSaídas[[#This Row],[Data do Caixa Previsto]]))</f>
        <v>2</v>
      </c>
      <c r="N71" s="34">
        <f>IF(TbRegistroSaídas[[#This Row],[Data do Caixa Previsto]]="",0,YEAR(TbRegistroSaídas[[#This Row],[Data do Caixa Previsto]]))</f>
        <v>2018</v>
      </c>
      <c r="O7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2" spans="2:15" x14ac:dyDescent="0.25">
      <c r="B72" s="8">
        <v>43137</v>
      </c>
      <c r="C72" s="8">
        <v>43137</v>
      </c>
      <c r="D72" s="8">
        <v>43137</v>
      </c>
      <c r="E72" t="s">
        <v>36</v>
      </c>
      <c r="F72" t="s">
        <v>43</v>
      </c>
      <c r="G72" t="s">
        <v>352</v>
      </c>
      <c r="H72" s="9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34">
        <f>IF(TbRegistroSaídas[[#This Row],[Data do Caixa Previsto]]="",0,MONTH(TbRegistroSaídas[[#This Row],[Data do Caixa Previsto]]))</f>
        <v>2</v>
      </c>
      <c r="N72" s="34">
        <f>IF(TbRegistroSaídas[[#This Row],[Data do Caixa Previsto]]="",0,YEAR(TbRegistroSaídas[[#This Row],[Data do Caixa Previsto]]))</f>
        <v>2018</v>
      </c>
      <c r="O7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3" spans="2:15" x14ac:dyDescent="0.25">
      <c r="B73" s="8">
        <v>43177</v>
      </c>
      <c r="C73" s="8">
        <v>43138</v>
      </c>
      <c r="D73" s="8">
        <v>43177</v>
      </c>
      <c r="E73" t="s">
        <v>36</v>
      </c>
      <c r="F73" t="s">
        <v>31</v>
      </c>
      <c r="G73" t="s">
        <v>353</v>
      </c>
      <c r="H73" s="9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34">
        <f>IF(TbRegistroSaídas[[#This Row],[Data do Caixa Previsto]]="",0,MONTH(TbRegistroSaídas[[#This Row],[Data do Caixa Previsto]]))</f>
        <v>3</v>
      </c>
      <c r="N73" s="34">
        <f>IF(TbRegistroSaídas[[#This Row],[Data do Caixa Previsto]]="",0,YEAR(TbRegistroSaídas[[#This Row],[Data do Caixa Previsto]]))</f>
        <v>2018</v>
      </c>
      <c r="O7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4" spans="2:15" x14ac:dyDescent="0.25">
      <c r="B74" s="8">
        <v>43175</v>
      </c>
      <c r="C74" s="8">
        <v>43140</v>
      </c>
      <c r="D74" s="8">
        <v>43175</v>
      </c>
      <c r="E74" t="s">
        <v>36</v>
      </c>
      <c r="F74" t="s">
        <v>32</v>
      </c>
      <c r="G74" t="s">
        <v>354</v>
      </c>
      <c r="H74" s="9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34">
        <f>IF(TbRegistroSaídas[[#This Row],[Data do Caixa Previsto]]="",0,MONTH(TbRegistroSaídas[[#This Row],[Data do Caixa Previsto]]))</f>
        <v>3</v>
      </c>
      <c r="N74" s="34">
        <f>IF(TbRegistroSaídas[[#This Row],[Data do Caixa Previsto]]="",0,YEAR(TbRegistroSaídas[[#This Row],[Data do Caixa Previsto]]))</f>
        <v>2018</v>
      </c>
      <c r="O7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5" spans="2:15" x14ac:dyDescent="0.25">
      <c r="B75" s="8">
        <v>43150</v>
      </c>
      <c r="C75" s="8">
        <v>43145</v>
      </c>
      <c r="D75" s="8">
        <v>43150</v>
      </c>
      <c r="E75" t="s">
        <v>36</v>
      </c>
      <c r="F75" t="s">
        <v>32</v>
      </c>
      <c r="G75" t="s">
        <v>355</v>
      </c>
      <c r="H75" s="9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34">
        <f>IF(TbRegistroSaídas[[#This Row],[Data do Caixa Previsto]]="",0,MONTH(TbRegistroSaídas[[#This Row],[Data do Caixa Previsto]]))</f>
        <v>2</v>
      </c>
      <c r="N75" s="34">
        <f>IF(TbRegistroSaídas[[#This Row],[Data do Caixa Previsto]]="",0,YEAR(TbRegistroSaídas[[#This Row],[Data do Caixa Previsto]]))</f>
        <v>2018</v>
      </c>
      <c r="O7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6" spans="2:15" x14ac:dyDescent="0.25">
      <c r="B76" s="8">
        <v>43219</v>
      </c>
      <c r="C76" s="8">
        <v>43146</v>
      </c>
      <c r="D76" s="8">
        <v>43169</v>
      </c>
      <c r="E76" t="s">
        <v>36</v>
      </c>
      <c r="F76" t="s">
        <v>43</v>
      </c>
      <c r="G76" t="s">
        <v>356</v>
      </c>
      <c r="H76" s="9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34">
        <f>IF(TbRegistroSaídas[[#This Row],[Data do Caixa Previsto]]="",0,MONTH(TbRegistroSaídas[[#This Row],[Data do Caixa Previsto]]))</f>
        <v>3</v>
      </c>
      <c r="N76" s="34">
        <f>IF(TbRegistroSaídas[[#This Row],[Data do Caixa Previsto]]="",0,YEAR(TbRegistroSaídas[[#This Row],[Data do Caixa Previsto]]))</f>
        <v>2018</v>
      </c>
      <c r="O7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50</v>
      </c>
    </row>
    <row r="77" spans="2:15" x14ac:dyDescent="0.25">
      <c r="B77" s="8">
        <v>43198</v>
      </c>
      <c r="C77" s="8">
        <v>43151</v>
      </c>
      <c r="D77" s="8">
        <v>43198</v>
      </c>
      <c r="E77" t="s">
        <v>36</v>
      </c>
      <c r="F77" t="s">
        <v>31</v>
      </c>
      <c r="G77" t="s">
        <v>357</v>
      </c>
      <c r="H77" s="9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34">
        <f>IF(TbRegistroSaídas[[#This Row],[Data do Caixa Previsto]]="",0,MONTH(TbRegistroSaídas[[#This Row],[Data do Caixa Previsto]]))</f>
        <v>4</v>
      </c>
      <c r="N77" s="34">
        <f>IF(TbRegistroSaídas[[#This Row],[Data do Caixa Previsto]]="",0,YEAR(TbRegistroSaídas[[#This Row],[Data do Caixa Previsto]]))</f>
        <v>2018</v>
      </c>
      <c r="O7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8" spans="2:15" x14ac:dyDescent="0.25">
      <c r="B78" s="8">
        <v>43160</v>
      </c>
      <c r="C78" s="8">
        <v>43160</v>
      </c>
      <c r="D78" s="8">
        <v>43160</v>
      </c>
      <c r="E78" t="s">
        <v>36</v>
      </c>
      <c r="F78" t="s">
        <v>43</v>
      </c>
      <c r="G78" t="s">
        <v>358</v>
      </c>
      <c r="H78" s="9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34">
        <f>IF(TbRegistroSaídas[[#This Row],[Data do Caixa Previsto]]="",0,MONTH(TbRegistroSaídas[[#This Row],[Data do Caixa Previsto]]))</f>
        <v>3</v>
      </c>
      <c r="N78" s="34">
        <f>IF(TbRegistroSaídas[[#This Row],[Data do Caixa Previsto]]="",0,YEAR(TbRegistroSaídas[[#This Row],[Data do Caixa Previsto]]))</f>
        <v>2018</v>
      </c>
      <c r="O7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9" spans="2:15" x14ac:dyDescent="0.25">
      <c r="B79" s="8">
        <v>43163</v>
      </c>
      <c r="C79" s="8">
        <v>43163</v>
      </c>
      <c r="D79" s="8">
        <v>43163</v>
      </c>
      <c r="E79" t="s">
        <v>36</v>
      </c>
      <c r="F79" t="s">
        <v>43</v>
      </c>
      <c r="G79" t="s">
        <v>222</v>
      </c>
      <c r="H79" s="9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34">
        <f>IF(TbRegistroSaídas[[#This Row],[Data do Caixa Previsto]]="",0,MONTH(TbRegistroSaídas[[#This Row],[Data do Caixa Previsto]]))</f>
        <v>3</v>
      </c>
      <c r="N79" s="34">
        <f>IF(TbRegistroSaídas[[#This Row],[Data do Caixa Previsto]]="",0,YEAR(TbRegistroSaídas[[#This Row],[Data do Caixa Previsto]]))</f>
        <v>2018</v>
      </c>
      <c r="O7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0" spans="2:15" x14ac:dyDescent="0.25">
      <c r="B80" s="8">
        <v>43219</v>
      </c>
      <c r="C80" s="8">
        <v>43164</v>
      </c>
      <c r="D80" s="8">
        <v>43219</v>
      </c>
      <c r="E80" t="s">
        <v>36</v>
      </c>
      <c r="F80" t="s">
        <v>32</v>
      </c>
      <c r="G80" t="s">
        <v>359</v>
      </c>
      <c r="H80" s="9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34">
        <f>IF(TbRegistroSaídas[[#This Row],[Data do Caixa Previsto]]="",0,MONTH(TbRegistroSaídas[[#This Row],[Data do Caixa Previsto]]))</f>
        <v>4</v>
      </c>
      <c r="N80" s="34">
        <f>IF(TbRegistroSaídas[[#This Row],[Data do Caixa Previsto]]="",0,YEAR(TbRegistroSaídas[[#This Row],[Data do Caixa Previsto]]))</f>
        <v>2018</v>
      </c>
      <c r="O8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1" spans="2:15" x14ac:dyDescent="0.25">
      <c r="B81" s="8">
        <v>43188</v>
      </c>
      <c r="C81" s="8">
        <v>43166</v>
      </c>
      <c r="D81" s="8">
        <v>43188</v>
      </c>
      <c r="E81" t="s">
        <v>36</v>
      </c>
      <c r="F81" t="s">
        <v>31</v>
      </c>
      <c r="G81" t="s">
        <v>360</v>
      </c>
      <c r="H81" s="9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34">
        <f>IF(TbRegistroSaídas[[#This Row],[Data do Caixa Previsto]]="",0,MONTH(TbRegistroSaídas[[#This Row],[Data do Caixa Previsto]]))</f>
        <v>3</v>
      </c>
      <c r="N81" s="34">
        <f>IF(TbRegistroSaídas[[#This Row],[Data do Caixa Previsto]]="",0,YEAR(TbRegistroSaídas[[#This Row],[Data do Caixa Previsto]]))</f>
        <v>2018</v>
      </c>
      <c r="O8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2" spans="2:15" x14ac:dyDescent="0.25">
      <c r="B82" s="8">
        <v>43168</v>
      </c>
      <c r="C82" s="8">
        <v>43168</v>
      </c>
      <c r="D82" s="8">
        <v>43168</v>
      </c>
      <c r="E82" t="s">
        <v>36</v>
      </c>
      <c r="F82" t="s">
        <v>32</v>
      </c>
      <c r="G82" t="s">
        <v>361</v>
      </c>
      <c r="H82" s="9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34">
        <f>IF(TbRegistroSaídas[[#This Row],[Data do Caixa Previsto]]="",0,MONTH(TbRegistroSaídas[[#This Row],[Data do Caixa Previsto]]))</f>
        <v>3</v>
      </c>
      <c r="N82" s="34">
        <f>IF(TbRegistroSaídas[[#This Row],[Data do Caixa Previsto]]="",0,YEAR(TbRegistroSaídas[[#This Row],[Data do Caixa Previsto]]))</f>
        <v>2018</v>
      </c>
      <c r="O8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3" spans="2:15" x14ac:dyDescent="0.25">
      <c r="B83" s="8">
        <v>43173</v>
      </c>
      <c r="C83" s="8">
        <v>43173</v>
      </c>
      <c r="D83" s="8">
        <v>43173</v>
      </c>
      <c r="E83" t="s">
        <v>36</v>
      </c>
      <c r="F83" t="s">
        <v>43</v>
      </c>
      <c r="G83" t="s">
        <v>362</v>
      </c>
      <c r="H83" s="9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34">
        <f>IF(TbRegistroSaídas[[#This Row],[Data do Caixa Previsto]]="",0,MONTH(TbRegistroSaídas[[#This Row],[Data do Caixa Previsto]]))</f>
        <v>3</v>
      </c>
      <c r="N83" s="34">
        <f>IF(TbRegistroSaídas[[#This Row],[Data do Caixa Previsto]]="",0,YEAR(TbRegistroSaídas[[#This Row],[Data do Caixa Previsto]]))</f>
        <v>2018</v>
      </c>
      <c r="O8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4" spans="2:15" x14ac:dyDescent="0.25">
      <c r="B84" s="8">
        <v>43201</v>
      </c>
      <c r="C84" s="8">
        <v>43176</v>
      </c>
      <c r="D84" s="8">
        <v>43201</v>
      </c>
      <c r="E84" t="s">
        <v>36</v>
      </c>
      <c r="F84" t="s">
        <v>30</v>
      </c>
      <c r="G84" t="s">
        <v>363</v>
      </c>
      <c r="H84" s="9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34">
        <f>IF(TbRegistroSaídas[[#This Row],[Data do Caixa Previsto]]="",0,MONTH(TbRegistroSaídas[[#This Row],[Data do Caixa Previsto]]))</f>
        <v>4</v>
      </c>
      <c r="N84" s="34">
        <f>IF(TbRegistroSaídas[[#This Row],[Data do Caixa Previsto]]="",0,YEAR(TbRegistroSaídas[[#This Row],[Data do Caixa Previsto]]))</f>
        <v>2018</v>
      </c>
      <c r="O8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5" spans="2:15" x14ac:dyDescent="0.25">
      <c r="B85" s="8">
        <v>43272</v>
      </c>
      <c r="C85" s="8">
        <v>43180</v>
      </c>
      <c r="D85" s="8">
        <v>43191</v>
      </c>
      <c r="E85" t="s">
        <v>36</v>
      </c>
      <c r="F85" t="s">
        <v>30</v>
      </c>
      <c r="G85" t="s">
        <v>364</v>
      </c>
      <c r="H85" s="9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34">
        <f>IF(TbRegistroSaídas[[#This Row],[Data do Caixa Previsto]]="",0,MONTH(TbRegistroSaídas[[#This Row],[Data do Caixa Previsto]]))</f>
        <v>4</v>
      </c>
      <c r="N85" s="34">
        <f>IF(TbRegistroSaídas[[#This Row],[Data do Caixa Previsto]]="",0,YEAR(TbRegistroSaídas[[#This Row],[Data do Caixa Previsto]]))</f>
        <v>2018</v>
      </c>
      <c r="O8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</v>
      </c>
    </row>
    <row r="86" spans="2:15" x14ac:dyDescent="0.25">
      <c r="B86" s="8">
        <v>43187</v>
      </c>
      <c r="C86" s="8">
        <v>43183</v>
      </c>
      <c r="D86" s="8">
        <v>43187</v>
      </c>
      <c r="E86" t="s">
        <v>36</v>
      </c>
      <c r="F86" t="s">
        <v>43</v>
      </c>
      <c r="G86" t="s">
        <v>365</v>
      </c>
      <c r="H86" s="9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34">
        <f>IF(TbRegistroSaídas[[#This Row],[Data do Caixa Previsto]]="",0,MONTH(TbRegistroSaídas[[#This Row],[Data do Caixa Previsto]]))</f>
        <v>3</v>
      </c>
      <c r="N86" s="34">
        <f>IF(TbRegistroSaídas[[#This Row],[Data do Caixa Previsto]]="",0,YEAR(TbRegistroSaídas[[#This Row],[Data do Caixa Previsto]]))</f>
        <v>2018</v>
      </c>
      <c r="O8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7" spans="2:15" x14ac:dyDescent="0.25">
      <c r="B87" s="8">
        <v>43184</v>
      </c>
      <c r="C87" s="8">
        <v>43184</v>
      </c>
      <c r="D87" s="8">
        <v>43184</v>
      </c>
      <c r="E87" t="s">
        <v>36</v>
      </c>
      <c r="F87" t="s">
        <v>30</v>
      </c>
      <c r="G87" t="s">
        <v>366</v>
      </c>
      <c r="H87" s="9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34">
        <f>IF(TbRegistroSaídas[[#This Row],[Data do Caixa Previsto]]="",0,MONTH(TbRegistroSaídas[[#This Row],[Data do Caixa Previsto]]))</f>
        <v>3</v>
      </c>
      <c r="N87" s="34">
        <f>IF(TbRegistroSaídas[[#This Row],[Data do Caixa Previsto]]="",0,YEAR(TbRegistroSaídas[[#This Row],[Data do Caixa Previsto]]))</f>
        <v>2018</v>
      </c>
      <c r="O8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8" spans="2:15" x14ac:dyDescent="0.25">
      <c r="B88" s="8">
        <v>43234</v>
      </c>
      <c r="C88" s="8">
        <v>43191</v>
      </c>
      <c r="D88" s="8">
        <v>43234</v>
      </c>
      <c r="E88" t="s">
        <v>36</v>
      </c>
      <c r="F88" t="s">
        <v>30</v>
      </c>
      <c r="G88" t="s">
        <v>367</v>
      </c>
      <c r="H88" s="9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34">
        <f>IF(TbRegistroSaídas[[#This Row],[Data do Caixa Previsto]]="",0,MONTH(TbRegistroSaídas[[#This Row],[Data do Caixa Previsto]]))</f>
        <v>5</v>
      </c>
      <c r="N88" s="34">
        <f>IF(TbRegistroSaídas[[#This Row],[Data do Caixa Previsto]]="",0,YEAR(TbRegistroSaídas[[#This Row],[Data do Caixa Previsto]]))</f>
        <v>2018</v>
      </c>
      <c r="O8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9" spans="2:15" x14ac:dyDescent="0.25">
      <c r="B89" s="8">
        <v>43202</v>
      </c>
      <c r="C89" s="8">
        <v>43193</v>
      </c>
      <c r="D89" s="8">
        <v>43202</v>
      </c>
      <c r="E89" t="s">
        <v>36</v>
      </c>
      <c r="F89" t="s">
        <v>31</v>
      </c>
      <c r="G89" t="s">
        <v>368</v>
      </c>
      <c r="H89" s="9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34">
        <f>IF(TbRegistroSaídas[[#This Row],[Data do Caixa Previsto]]="",0,MONTH(TbRegistroSaídas[[#This Row],[Data do Caixa Previsto]]))</f>
        <v>4</v>
      </c>
      <c r="N89" s="34">
        <f>IF(TbRegistroSaídas[[#This Row],[Data do Caixa Previsto]]="",0,YEAR(TbRegistroSaídas[[#This Row],[Data do Caixa Previsto]]))</f>
        <v>2018</v>
      </c>
      <c r="O8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0" spans="2:15" x14ac:dyDescent="0.25">
      <c r="B90" s="8">
        <v>43195</v>
      </c>
      <c r="C90" s="8">
        <v>43195</v>
      </c>
      <c r="D90" s="8">
        <v>43195</v>
      </c>
      <c r="E90" t="s">
        <v>36</v>
      </c>
      <c r="F90" t="s">
        <v>32</v>
      </c>
      <c r="G90" t="s">
        <v>369</v>
      </c>
      <c r="H90" s="9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34">
        <f>IF(TbRegistroSaídas[[#This Row],[Data do Caixa Previsto]]="",0,MONTH(TbRegistroSaídas[[#This Row],[Data do Caixa Previsto]]))</f>
        <v>4</v>
      </c>
      <c r="N90" s="34">
        <f>IF(TbRegistroSaídas[[#This Row],[Data do Caixa Previsto]]="",0,YEAR(TbRegistroSaídas[[#This Row],[Data do Caixa Previsto]]))</f>
        <v>2018</v>
      </c>
      <c r="O9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1" spans="2:15" x14ac:dyDescent="0.25">
      <c r="B91" s="8">
        <v>43196</v>
      </c>
      <c r="C91" s="8">
        <v>43196</v>
      </c>
      <c r="D91" s="8">
        <v>43196</v>
      </c>
      <c r="E91" t="s">
        <v>36</v>
      </c>
      <c r="F91" t="s">
        <v>43</v>
      </c>
      <c r="G91" t="s">
        <v>370</v>
      </c>
      <c r="H91" s="9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34">
        <f>IF(TbRegistroSaídas[[#This Row],[Data do Caixa Previsto]]="",0,MONTH(TbRegistroSaídas[[#This Row],[Data do Caixa Previsto]]))</f>
        <v>4</v>
      </c>
      <c r="N91" s="34">
        <f>IF(TbRegistroSaídas[[#This Row],[Data do Caixa Previsto]]="",0,YEAR(TbRegistroSaídas[[#This Row],[Data do Caixa Previsto]]))</f>
        <v>2018</v>
      </c>
      <c r="O9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2" spans="2:15" x14ac:dyDescent="0.25">
      <c r="B92" s="8">
        <v>43240</v>
      </c>
      <c r="C92" s="8">
        <v>43200</v>
      </c>
      <c r="D92" s="8">
        <v>43240</v>
      </c>
      <c r="E92" t="s">
        <v>36</v>
      </c>
      <c r="F92" t="s">
        <v>32</v>
      </c>
      <c r="G92" t="s">
        <v>371</v>
      </c>
      <c r="H92" s="9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34">
        <f>IF(TbRegistroSaídas[[#This Row],[Data do Caixa Previsto]]="",0,MONTH(TbRegistroSaídas[[#This Row],[Data do Caixa Previsto]]))</f>
        <v>5</v>
      </c>
      <c r="N92" s="34">
        <f>IF(TbRegistroSaídas[[#This Row],[Data do Caixa Previsto]]="",0,YEAR(TbRegistroSaídas[[#This Row],[Data do Caixa Previsto]]))</f>
        <v>2018</v>
      </c>
      <c r="O9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3" spans="2:15" x14ac:dyDescent="0.25">
      <c r="B93" s="8">
        <v>43206</v>
      </c>
      <c r="C93" s="8">
        <v>43206</v>
      </c>
      <c r="D93" s="8">
        <v>43206</v>
      </c>
      <c r="E93" t="s">
        <v>36</v>
      </c>
      <c r="F93" t="s">
        <v>43</v>
      </c>
      <c r="G93" t="s">
        <v>372</v>
      </c>
      <c r="H93" s="9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34">
        <f>IF(TbRegistroSaídas[[#This Row],[Data do Caixa Previsto]]="",0,MONTH(TbRegistroSaídas[[#This Row],[Data do Caixa Previsto]]))</f>
        <v>4</v>
      </c>
      <c r="N93" s="34">
        <f>IF(TbRegistroSaídas[[#This Row],[Data do Caixa Previsto]]="",0,YEAR(TbRegistroSaídas[[#This Row],[Data do Caixa Previsto]]))</f>
        <v>2018</v>
      </c>
      <c r="O9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4" spans="2:15" x14ac:dyDescent="0.25">
      <c r="B94" s="8" t="s">
        <v>67</v>
      </c>
      <c r="C94" s="8">
        <v>43212</v>
      </c>
      <c r="D94" s="8">
        <v>43222</v>
      </c>
      <c r="E94" t="s">
        <v>36</v>
      </c>
      <c r="F94" t="s">
        <v>30</v>
      </c>
      <c r="G94" t="s">
        <v>373</v>
      </c>
      <c r="H94" s="9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34">
        <f>IF(TbRegistroSaídas[[#This Row],[Data do Caixa Previsto]]="",0,MONTH(TbRegistroSaídas[[#This Row],[Data do Caixa Previsto]]))</f>
        <v>5</v>
      </c>
      <c r="N94" s="34">
        <f>IF(TbRegistroSaídas[[#This Row],[Data do Caixa Previsto]]="",0,YEAR(TbRegistroSaídas[[#This Row],[Data do Caixa Previsto]]))</f>
        <v>2018</v>
      </c>
      <c r="O9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724</v>
      </c>
    </row>
    <row r="95" spans="2:15" x14ac:dyDescent="0.25">
      <c r="B95" s="8">
        <v>43218</v>
      </c>
      <c r="C95" s="8">
        <v>43218</v>
      </c>
      <c r="D95" s="8">
        <v>43218</v>
      </c>
      <c r="E95" t="s">
        <v>36</v>
      </c>
      <c r="F95" t="s">
        <v>32</v>
      </c>
      <c r="G95" t="s">
        <v>374</v>
      </c>
      <c r="H95" s="9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34">
        <f>IF(TbRegistroSaídas[[#This Row],[Data do Caixa Previsto]]="",0,MONTH(TbRegistroSaídas[[#This Row],[Data do Caixa Previsto]]))</f>
        <v>4</v>
      </c>
      <c r="N95" s="34">
        <f>IF(TbRegistroSaídas[[#This Row],[Data do Caixa Previsto]]="",0,YEAR(TbRegistroSaídas[[#This Row],[Data do Caixa Previsto]]))</f>
        <v>2018</v>
      </c>
      <c r="O9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6" spans="2:15" x14ac:dyDescent="0.25">
      <c r="B96" s="8">
        <v>43223</v>
      </c>
      <c r="C96" s="8">
        <v>43219</v>
      </c>
      <c r="D96" s="8">
        <v>43223</v>
      </c>
      <c r="E96" t="s">
        <v>36</v>
      </c>
      <c r="F96" t="s">
        <v>32</v>
      </c>
      <c r="G96" t="s">
        <v>375</v>
      </c>
      <c r="H96" s="9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34">
        <f>IF(TbRegistroSaídas[[#This Row],[Data do Caixa Previsto]]="",0,MONTH(TbRegistroSaídas[[#This Row],[Data do Caixa Previsto]]))</f>
        <v>5</v>
      </c>
      <c r="N96" s="34">
        <f>IF(TbRegistroSaídas[[#This Row],[Data do Caixa Previsto]]="",0,YEAR(TbRegistroSaídas[[#This Row],[Data do Caixa Previsto]]))</f>
        <v>2018</v>
      </c>
      <c r="O9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7" spans="2:15" x14ac:dyDescent="0.25">
      <c r="B97" s="8" t="s">
        <v>67</v>
      </c>
      <c r="C97" s="8">
        <v>43222</v>
      </c>
      <c r="D97" s="8">
        <v>43251</v>
      </c>
      <c r="E97" t="s">
        <v>36</v>
      </c>
      <c r="F97" t="s">
        <v>31</v>
      </c>
      <c r="G97" t="s">
        <v>376</v>
      </c>
      <c r="H97" s="9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34">
        <f>IF(TbRegistroSaídas[[#This Row],[Data do Caixa Previsto]]="",0,MONTH(TbRegistroSaídas[[#This Row],[Data do Caixa Previsto]]))</f>
        <v>5</v>
      </c>
      <c r="N97" s="34">
        <f>IF(TbRegistroSaídas[[#This Row],[Data do Caixa Previsto]]="",0,YEAR(TbRegistroSaídas[[#This Row],[Data do Caixa Previsto]]))</f>
        <v>2018</v>
      </c>
      <c r="O9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695</v>
      </c>
    </row>
    <row r="98" spans="2:15" x14ac:dyDescent="0.25">
      <c r="B98" s="8" t="s">
        <v>67</v>
      </c>
      <c r="C98" s="8">
        <v>43223</v>
      </c>
      <c r="D98" s="8">
        <v>43228</v>
      </c>
      <c r="E98" t="s">
        <v>36</v>
      </c>
      <c r="F98" t="s">
        <v>43</v>
      </c>
      <c r="G98" t="s">
        <v>377</v>
      </c>
      <c r="H98" s="9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34">
        <f>IF(TbRegistroSaídas[[#This Row],[Data do Caixa Previsto]]="",0,MONTH(TbRegistroSaídas[[#This Row],[Data do Caixa Previsto]]))</f>
        <v>5</v>
      </c>
      <c r="N98" s="34">
        <f>IF(TbRegistroSaídas[[#This Row],[Data do Caixa Previsto]]="",0,YEAR(TbRegistroSaídas[[#This Row],[Data do Caixa Previsto]]))</f>
        <v>2018</v>
      </c>
      <c r="O9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718</v>
      </c>
    </row>
    <row r="99" spans="2:15" x14ac:dyDescent="0.25">
      <c r="B99" s="8">
        <v>43264</v>
      </c>
      <c r="C99" s="8">
        <v>43230</v>
      </c>
      <c r="D99" s="8">
        <v>43264</v>
      </c>
      <c r="E99" t="s">
        <v>36</v>
      </c>
      <c r="F99" t="s">
        <v>30</v>
      </c>
      <c r="G99" t="s">
        <v>378</v>
      </c>
      <c r="H99" s="9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34">
        <f>IF(TbRegistroSaídas[[#This Row],[Data do Caixa Previsto]]="",0,MONTH(TbRegistroSaídas[[#This Row],[Data do Caixa Previsto]]))</f>
        <v>6</v>
      </c>
      <c r="N99" s="34">
        <f>IF(TbRegistroSaídas[[#This Row],[Data do Caixa Previsto]]="",0,YEAR(TbRegistroSaídas[[#This Row],[Data do Caixa Previsto]]))</f>
        <v>2018</v>
      </c>
      <c r="O9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0" spans="2:15" x14ac:dyDescent="0.25">
      <c r="B100" s="8">
        <v>43278</v>
      </c>
      <c r="C100" s="8">
        <v>43235</v>
      </c>
      <c r="D100" s="8">
        <v>43278</v>
      </c>
      <c r="E100" t="s">
        <v>36</v>
      </c>
      <c r="F100" t="s">
        <v>34</v>
      </c>
      <c r="G100" t="s">
        <v>379</v>
      </c>
      <c r="H100" s="9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34">
        <f>IF(TbRegistroSaídas[[#This Row],[Data do Caixa Previsto]]="",0,MONTH(TbRegistroSaídas[[#This Row],[Data do Caixa Previsto]]))</f>
        <v>6</v>
      </c>
      <c r="N100" s="34">
        <f>IF(TbRegistroSaídas[[#This Row],[Data do Caixa Previsto]]="",0,YEAR(TbRegistroSaídas[[#This Row],[Data do Caixa Previsto]]))</f>
        <v>2018</v>
      </c>
      <c r="O10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1" spans="2:15" x14ac:dyDescent="0.25">
      <c r="B101" s="8">
        <v>43238</v>
      </c>
      <c r="C101" s="8">
        <v>43238</v>
      </c>
      <c r="D101" s="8">
        <v>43238</v>
      </c>
      <c r="E101" t="s">
        <v>36</v>
      </c>
      <c r="F101" t="s">
        <v>43</v>
      </c>
      <c r="G101" t="s">
        <v>380</v>
      </c>
      <c r="H101" s="9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34">
        <f>IF(TbRegistroSaídas[[#This Row],[Data do Caixa Previsto]]="",0,MONTH(TbRegistroSaídas[[#This Row],[Data do Caixa Previsto]]))</f>
        <v>5</v>
      </c>
      <c r="N101" s="34">
        <f>IF(TbRegistroSaídas[[#This Row],[Data do Caixa Previsto]]="",0,YEAR(TbRegistroSaídas[[#This Row],[Data do Caixa Previsto]]))</f>
        <v>2018</v>
      </c>
      <c r="O10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2" spans="2:15" x14ac:dyDescent="0.25">
      <c r="B102" s="8" t="s">
        <v>67</v>
      </c>
      <c r="C102" s="8">
        <v>43239</v>
      </c>
      <c r="D102" s="8">
        <v>43278</v>
      </c>
      <c r="E102" t="s">
        <v>36</v>
      </c>
      <c r="F102" t="s">
        <v>43</v>
      </c>
      <c r="G102" t="s">
        <v>381</v>
      </c>
      <c r="H102" s="9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34">
        <f>IF(TbRegistroSaídas[[#This Row],[Data do Caixa Previsto]]="",0,MONTH(TbRegistroSaídas[[#This Row],[Data do Caixa Previsto]]))</f>
        <v>6</v>
      </c>
      <c r="N102" s="34">
        <f>IF(TbRegistroSaídas[[#This Row],[Data do Caixa Previsto]]="",0,YEAR(TbRegistroSaídas[[#This Row],[Data do Caixa Previsto]]))</f>
        <v>2018</v>
      </c>
      <c r="O10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668</v>
      </c>
    </row>
    <row r="103" spans="2:15" x14ac:dyDescent="0.25">
      <c r="B103" s="8">
        <v>43282</v>
      </c>
      <c r="C103" s="8">
        <v>43246</v>
      </c>
      <c r="D103" s="8">
        <v>43282</v>
      </c>
      <c r="E103" t="s">
        <v>36</v>
      </c>
      <c r="F103" t="s">
        <v>43</v>
      </c>
      <c r="G103" t="s">
        <v>382</v>
      </c>
      <c r="H103" s="9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34">
        <f>IF(TbRegistroSaídas[[#This Row],[Data do Caixa Previsto]]="",0,MONTH(TbRegistroSaídas[[#This Row],[Data do Caixa Previsto]]))</f>
        <v>7</v>
      </c>
      <c r="N103" s="34">
        <f>IF(TbRegistroSaídas[[#This Row],[Data do Caixa Previsto]]="",0,YEAR(TbRegistroSaídas[[#This Row],[Data do Caixa Previsto]]))</f>
        <v>2018</v>
      </c>
      <c r="O10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4" spans="2:15" x14ac:dyDescent="0.25">
      <c r="B104" s="8">
        <v>43306</v>
      </c>
      <c r="C104" s="8">
        <v>43248</v>
      </c>
      <c r="D104" s="8">
        <v>43306</v>
      </c>
      <c r="E104" t="s">
        <v>36</v>
      </c>
      <c r="F104" t="s">
        <v>34</v>
      </c>
      <c r="G104" t="s">
        <v>383</v>
      </c>
      <c r="H104" s="9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34">
        <f>IF(TbRegistroSaídas[[#This Row],[Data do Caixa Previsto]]="",0,MONTH(TbRegistroSaídas[[#This Row],[Data do Caixa Previsto]]))</f>
        <v>7</v>
      </c>
      <c r="N104" s="34">
        <f>IF(TbRegistroSaídas[[#This Row],[Data do Caixa Previsto]]="",0,YEAR(TbRegistroSaídas[[#This Row],[Data do Caixa Previsto]]))</f>
        <v>2018</v>
      </c>
      <c r="O10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5" spans="2:15" x14ac:dyDescent="0.25">
      <c r="B105" s="8">
        <v>43292</v>
      </c>
      <c r="C105" s="8">
        <v>43251</v>
      </c>
      <c r="D105" s="8">
        <v>43292</v>
      </c>
      <c r="E105" t="s">
        <v>36</v>
      </c>
      <c r="F105" t="s">
        <v>31</v>
      </c>
      <c r="G105" t="s">
        <v>384</v>
      </c>
      <c r="H105" s="9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34">
        <f>IF(TbRegistroSaídas[[#This Row],[Data do Caixa Previsto]]="",0,MONTH(TbRegistroSaídas[[#This Row],[Data do Caixa Previsto]]))</f>
        <v>7</v>
      </c>
      <c r="N105" s="34">
        <f>IF(TbRegistroSaídas[[#This Row],[Data do Caixa Previsto]]="",0,YEAR(TbRegistroSaídas[[#This Row],[Data do Caixa Previsto]]))</f>
        <v>2018</v>
      </c>
      <c r="O10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6" spans="2:15" x14ac:dyDescent="0.25">
      <c r="B106" s="8" t="s">
        <v>67</v>
      </c>
      <c r="C106" s="8">
        <v>43253</v>
      </c>
      <c r="D106" s="8">
        <v>43253</v>
      </c>
      <c r="E106" t="s">
        <v>36</v>
      </c>
      <c r="F106" t="s">
        <v>43</v>
      </c>
      <c r="G106" t="s">
        <v>385</v>
      </c>
      <c r="H106" s="9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34">
        <f>IF(TbRegistroSaídas[[#This Row],[Data do Caixa Previsto]]="",0,MONTH(TbRegistroSaídas[[#This Row],[Data do Caixa Previsto]]))</f>
        <v>6</v>
      </c>
      <c r="N106" s="34">
        <f>IF(TbRegistroSaídas[[#This Row],[Data do Caixa Previsto]]="",0,YEAR(TbRegistroSaídas[[#This Row],[Data do Caixa Previsto]]))</f>
        <v>2018</v>
      </c>
      <c r="O10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693</v>
      </c>
    </row>
    <row r="107" spans="2:15" x14ac:dyDescent="0.25">
      <c r="B107" s="8">
        <v>43259</v>
      </c>
      <c r="C107" s="8">
        <v>43255</v>
      </c>
      <c r="D107" s="8">
        <v>43259</v>
      </c>
      <c r="E107" t="s">
        <v>36</v>
      </c>
      <c r="F107" t="s">
        <v>43</v>
      </c>
      <c r="G107" t="s">
        <v>386</v>
      </c>
      <c r="H107" s="9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34">
        <f>IF(TbRegistroSaídas[[#This Row],[Data do Caixa Previsto]]="",0,MONTH(TbRegistroSaídas[[#This Row],[Data do Caixa Previsto]]))</f>
        <v>6</v>
      </c>
      <c r="N107" s="34">
        <f>IF(TbRegistroSaídas[[#This Row],[Data do Caixa Previsto]]="",0,YEAR(TbRegistroSaídas[[#This Row],[Data do Caixa Previsto]]))</f>
        <v>2018</v>
      </c>
      <c r="O10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8" spans="2:15" x14ac:dyDescent="0.25">
      <c r="B108" s="8">
        <v>43256</v>
      </c>
      <c r="C108" s="8">
        <v>43256</v>
      </c>
      <c r="D108" s="8">
        <v>43256</v>
      </c>
      <c r="E108" t="s">
        <v>36</v>
      </c>
      <c r="F108" t="s">
        <v>31</v>
      </c>
      <c r="G108" t="s">
        <v>387</v>
      </c>
      <c r="H108" s="9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34">
        <f>IF(TbRegistroSaídas[[#This Row],[Data do Caixa Previsto]]="",0,MONTH(TbRegistroSaídas[[#This Row],[Data do Caixa Previsto]]))</f>
        <v>6</v>
      </c>
      <c r="N108" s="34">
        <f>IF(TbRegistroSaídas[[#This Row],[Data do Caixa Previsto]]="",0,YEAR(TbRegistroSaídas[[#This Row],[Data do Caixa Previsto]]))</f>
        <v>2018</v>
      </c>
      <c r="O10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9" spans="2:15" x14ac:dyDescent="0.25">
      <c r="B109" s="8">
        <v>43306</v>
      </c>
      <c r="C109" s="8">
        <v>43258</v>
      </c>
      <c r="D109" s="8">
        <v>43306</v>
      </c>
      <c r="E109" t="s">
        <v>36</v>
      </c>
      <c r="F109" t="s">
        <v>43</v>
      </c>
      <c r="G109" t="s">
        <v>388</v>
      </c>
      <c r="H109" s="9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34">
        <f>IF(TbRegistroSaídas[[#This Row],[Data do Caixa Previsto]]="",0,MONTH(TbRegistroSaídas[[#This Row],[Data do Caixa Previsto]]))</f>
        <v>7</v>
      </c>
      <c r="N109" s="34">
        <f>IF(TbRegistroSaídas[[#This Row],[Data do Caixa Previsto]]="",0,YEAR(TbRegistroSaídas[[#This Row],[Data do Caixa Previsto]]))</f>
        <v>2018</v>
      </c>
      <c r="O10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0" spans="2:15" x14ac:dyDescent="0.25">
      <c r="B110" s="8">
        <v>43262</v>
      </c>
      <c r="C110" s="8">
        <v>43262</v>
      </c>
      <c r="D110" s="8">
        <v>43262</v>
      </c>
      <c r="E110" t="s">
        <v>36</v>
      </c>
      <c r="F110" t="s">
        <v>30</v>
      </c>
      <c r="G110" t="s">
        <v>389</v>
      </c>
      <c r="H110" s="9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34">
        <f>IF(TbRegistroSaídas[[#This Row],[Data do Caixa Previsto]]="",0,MONTH(TbRegistroSaídas[[#This Row],[Data do Caixa Previsto]]))</f>
        <v>6</v>
      </c>
      <c r="N110" s="34">
        <f>IF(TbRegistroSaídas[[#This Row],[Data do Caixa Previsto]]="",0,YEAR(TbRegistroSaídas[[#This Row],[Data do Caixa Previsto]]))</f>
        <v>2018</v>
      </c>
      <c r="O11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1" spans="2:15" x14ac:dyDescent="0.25">
      <c r="B111" s="8">
        <v>43309</v>
      </c>
      <c r="C111" s="8">
        <v>43268</v>
      </c>
      <c r="D111" s="8">
        <v>43309</v>
      </c>
      <c r="E111" t="s">
        <v>36</v>
      </c>
      <c r="F111" t="s">
        <v>34</v>
      </c>
      <c r="G111" t="s">
        <v>390</v>
      </c>
      <c r="H111" s="9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34">
        <f>IF(TbRegistroSaídas[[#This Row],[Data do Caixa Previsto]]="",0,MONTH(TbRegistroSaídas[[#This Row],[Data do Caixa Previsto]]))</f>
        <v>7</v>
      </c>
      <c r="N111" s="34">
        <f>IF(TbRegistroSaídas[[#This Row],[Data do Caixa Previsto]]="",0,YEAR(TbRegistroSaídas[[#This Row],[Data do Caixa Previsto]]))</f>
        <v>2018</v>
      </c>
      <c r="O11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2" spans="2:15" x14ac:dyDescent="0.25">
      <c r="B112" s="8">
        <v>43271</v>
      </c>
      <c r="C112" s="8">
        <v>43271</v>
      </c>
      <c r="D112" s="8">
        <v>43271</v>
      </c>
      <c r="E112" t="s">
        <v>36</v>
      </c>
      <c r="F112" t="s">
        <v>31</v>
      </c>
      <c r="G112" t="s">
        <v>391</v>
      </c>
      <c r="H112" s="9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34">
        <f>IF(TbRegistroSaídas[[#This Row],[Data do Caixa Previsto]]="",0,MONTH(TbRegistroSaídas[[#This Row],[Data do Caixa Previsto]]))</f>
        <v>6</v>
      </c>
      <c r="N112" s="34">
        <f>IF(TbRegistroSaídas[[#This Row],[Data do Caixa Previsto]]="",0,YEAR(TbRegistroSaídas[[#This Row],[Data do Caixa Previsto]]))</f>
        <v>2018</v>
      </c>
      <c r="O11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3" spans="2:15" x14ac:dyDescent="0.25">
      <c r="B113" s="8" t="s">
        <v>67</v>
      </c>
      <c r="C113" s="8">
        <v>43277</v>
      </c>
      <c r="D113" s="8">
        <v>43288</v>
      </c>
      <c r="E113" t="s">
        <v>36</v>
      </c>
      <c r="F113" t="s">
        <v>43</v>
      </c>
      <c r="G113" t="s">
        <v>392</v>
      </c>
      <c r="H113" s="9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34">
        <f>IF(TbRegistroSaídas[[#This Row],[Data do Caixa Previsto]]="",0,MONTH(TbRegistroSaídas[[#This Row],[Data do Caixa Previsto]]))</f>
        <v>7</v>
      </c>
      <c r="N113" s="34">
        <f>IF(TbRegistroSaídas[[#This Row],[Data do Caixa Previsto]]="",0,YEAR(TbRegistroSaídas[[#This Row],[Data do Caixa Previsto]]))</f>
        <v>2018</v>
      </c>
      <c r="O11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658</v>
      </c>
    </row>
    <row r="114" spans="2:15" x14ac:dyDescent="0.25">
      <c r="B114" s="8">
        <v>43336</v>
      </c>
      <c r="C114" s="8">
        <v>43280</v>
      </c>
      <c r="D114" s="8">
        <v>43336</v>
      </c>
      <c r="E114" t="s">
        <v>36</v>
      </c>
      <c r="F114" t="s">
        <v>31</v>
      </c>
      <c r="G114" t="s">
        <v>393</v>
      </c>
      <c r="H114" s="9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34">
        <f>IF(TbRegistroSaídas[[#This Row],[Data do Caixa Previsto]]="",0,MONTH(TbRegistroSaídas[[#This Row],[Data do Caixa Previsto]]))</f>
        <v>8</v>
      </c>
      <c r="N114" s="34">
        <f>IF(TbRegistroSaídas[[#This Row],[Data do Caixa Previsto]]="",0,YEAR(TbRegistroSaídas[[#This Row],[Data do Caixa Previsto]]))</f>
        <v>2018</v>
      </c>
      <c r="O11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5" spans="2:15" x14ac:dyDescent="0.25">
      <c r="B115" s="8">
        <v>43290</v>
      </c>
      <c r="C115" s="8">
        <v>43283</v>
      </c>
      <c r="D115" s="8">
        <v>43290</v>
      </c>
      <c r="E115" t="s">
        <v>36</v>
      </c>
      <c r="F115" t="s">
        <v>34</v>
      </c>
      <c r="G115" t="s">
        <v>394</v>
      </c>
      <c r="H115" s="9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34">
        <f>IF(TbRegistroSaídas[[#This Row],[Data do Caixa Previsto]]="",0,MONTH(TbRegistroSaídas[[#This Row],[Data do Caixa Previsto]]))</f>
        <v>7</v>
      </c>
      <c r="N115" s="34">
        <f>IF(TbRegistroSaídas[[#This Row],[Data do Caixa Previsto]]="",0,YEAR(TbRegistroSaídas[[#This Row],[Data do Caixa Previsto]]))</f>
        <v>2018</v>
      </c>
      <c r="O11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6" spans="2:15" x14ac:dyDescent="0.25">
      <c r="B116" s="8" t="s">
        <v>67</v>
      </c>
      <c r="C116" s="8">
        <v>43284</v>
      </c>
      <c r="D116" s="8">
        <v>43305</v>
      </c>
      <c r="E116" t="s">
        <v>36</v>
      </c>
      <c r="F116" t="s">
        <v>31</v>
      </c>
      <c r="G116" t="s">
        <v>395</v>
      </c>
      <c r="H116" s="9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34">
        <f>IF(TbRegistroSaídas[[#This Row],[Data do Caixa Previsto]]="",0,MONTH(TbRegistroSaídas[[#This Row],[Data do Caixa Previsto]]))</f>
        <v>7</v>
      </c>
      <c r="N116" s="34">
        <f>IF(TbRegistroSaídas[[#This Row],[Data do Caixa Previsto]]="",0,YEAR(TbRegistroSaídas[[#This Row],[Data do Caixa Previsto]]))</f>
        <v>2018</v>
      </c>
      <c r="O11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641</v>
      </c>
    </row>
    <row r="117" spans="2:15" x14ac:dyDescent="0.25">
      <c r="B117" s="8">
        <v>43305</v>
      </c>
      <c r="C117" s="8">
        <v>43289</v>
      </c>
      <c r="D117" s="8">
        <v>43305</v>
      </c>
      <c r="E117" t="s">
        <v>36</v>
      </c>
      <c r="F117" t="s">
        <v>31</v>
      </c>
      <c r="G117" t="s">
        <v>396</v>
      </c>
      <c r="H117" s="9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34">
        <f>IF(TbRegistroSaídas[[#This Row],[Data do Caixa Previsto]]="",0,MONTH(TbRegistroSaídas[[#This Row],[Data do Caixa Previsto]]))</f>
        <v>7</v>
      </c>
      <c r="N117" s="34">
        <f>IF(TbRegistroSaídas[[#This Row],[Data do Caixa Previsto]]="",0,YEAR(TbRegistroSaídas[[#This Row],[Data do Caixa Previsto]]))</f>
        <v>2018</v>
      </c>
      <c r="O11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8" spans="2:15" x14ac:dyDescent="0.25">
      <c r="B118" s="8">
        <v>43313</v>
      </c>
      <c r="C118" s="8">
        <v>43291</v>
      </c>
      <c r="D118" s="8">
        <v>43313</v>
      </c>
      <c r="E118" t="s">
        <v>36</v>
      </c>
      <c r="F118" t="s">
        <v>34</v>
      </c>
      <c r="G118" t="s">
        <v>397</v>
      </c>
      <c r="H118" s="9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34">
        <f>IF(TbRegistroSaídas[[#This Row],[Data do Caixa Previsto]]="",0,MONTH(TbRegistroSaídas[[#This Row],[Data do Caixa Previsto]]))</f>
        <v>8</v>
      </c>
      <c r="N118" s="34">
        <f>IF(TbRegistroSaídas[[#This Row],[Data do Caixa Previsto]]="",0,YEAR(TbRegistroSaídas[[#This Row],[Data do Caixa Previsto]]))</f>
        <v>2018</v>
      </c>
      <c r="O11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9" spans="2:15" x14ac:dyDescent="0.25">
      <c r="B119" s="8">
        <v>43296</v>
      </c>
      <c r="C119" s="8">
        <v>43296</v>
      </c>
      <c r="D119" s="8">
        <v>43296</v>
      </c>
      <c r="E119" t="s">
        <v>36</v>
      </c>
      <c r="F119" t="s">
        <v>43</v>
      </c>
      <c r="G119" t="s">
        <v>398</v>
      </c>
      <c r="H119" s="9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34">
        <f>IF(TbRegistroSaídas[[#This Row],[Data do Caixa Previsto]]="",0,MONTH(TbRegistroSaídas[[#This Row],[Data do Caixa Previsto]]))</f>
        <v>7</v>
      </c>
      <c r="N119" s="34">
        <f>IF(TbRegistroSaídas[[#This Row],[Data do Caixa Previsto]]="",0,YEAR(TbRegistroSaídas[[#This Row],[Data do Caixa Previsto]]))</f>
        <v>2018</v>
      </c>
      <c r="O11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0" spans="2:15" x14ac:dyDescent="0.25">
      <c r="B120" s="8">
        <v>43350</v>
      </c>
      <c r="C120" s="8">
        <v>43297</v>
      </c>
      <c r="D120" s="8">
        <v>43297</v>
      </c>
      <c r="E120" t="s">
        <v>36</v>
      </c>
      <c r="F120" t="s">
        <v>32</v>
      </c>
      <c r="G120" t="s">
        <v>399</v>
      </c>
      <c r="H120" s="9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34">
        <f>IF(TbRegistroSaídas[[#This Row],[Data do Caixa Previsto]]="",0,MONTH(TbRegistroSaídas[[#This Row],[Data do Caixa Previsto]]))</f>
        <v>7</v>
      </c>
      <c r="N120" s="34">
        <f>IF(TbRegistroSaídas[[#This Row],[Data do Caixa Previsto]]="",0,YEAR(TbRegistroSaídas[[#This Row],[Data do Caixa Previsto]]))</f>
        <v>2018</v>
      </c>
      <c r="O12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53</v>
      </c>
    </row>
    <row r="121" spans="2:15" x14ac:dyDescent="0.25">
      <c r="B121" s="8" t="s">
        <v>67</v>
      </c>
      <c r="C121" s="8">
        <v>43298</v>
      </c>
      <c r="D121" s="8">
        <v>43298</v>
      </c>
      <c r="E121" t="s">
        <v>36</v>
      </c>
      <c r="F121" t="s">
        <v>43</v>
      </c>
      <c r="G121" t="s">
        <v>400</v>
      </c>
      <c r="H121" s="9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34">
        <f>IF(TbRegistroSaídas[[#This Row],[Data do Caixa Previsto]]="",0,MONTH(TbRegistroSaídas[[#This Row],[Data do Caixa Previsto]]))</f>
        <v>7</v>
      </c>
      <c r="N121" s="34">
        <f>IF(TbRegistroSaídas[[#This Row],[Data do Caixa Previsto]]="",0,YEAR(TbRegistroSaídas[[#This Row],[Data do Caixa Previsto]]))</f>
        <v>2018</v>
      </c>
      <c r="O12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648</v>
      </c>
    </row>
    <row r="122" spans="2:15" x14ac:dyDescent="0.25">
      <c r="B122" s="8">
        <v>43357</v>
      </c>
      <c r="C122" s="8">
        <v>43300</v>
      </c>
      <c r="D122" s="8">
        <v>43357</v>
      </c>
      <c r="E122" t="s">
        <v>36</v>
      </c>
      <c r="F122" t="s">
        <v>34</v>
      </c>
      <c r="G122" t="s">
        <v>401</v>
      </c>
      <c r="H122" s="9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34">
        <f>IF(TbRegistroSaídas[[#This Row],[Data do Caixa Previsto]]="",0,MONTH(TbRegistroSaídas[[#This Row],[Data do Caixa Previsto]]))</f>
        <v>9</v>
      </c>
      <c r="N122" s="34">
        <f>IF(TbRegistroSaídas[[#This Row],[Data do Caixa Previsto]]="",0,YEAR(TbRegistroSaídas[[#This Row],[Data do Caixa Previsto]]))</f>
        <v>2018</v>
      </c>
      <c r="O12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3" spans="2:15" x14ac:dyDescent="0.25">
      <c r="B123" s="8">
        <v>43324</v>
      </c>
      <c r="C123" s="8">
        <v>43302</v>
      </c>
      <c r="D123" s="8">
        <v>43324</v>
      </c>
      <c r="E123" t="s">
        <v>36</v>
      </c>
      <c r="F123" t="s">
        <v>31</v>
      </c>
      <c r="G123" t="s">
        <v>402</v>
      </c>
      <c r="H123" s="9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34">
        <f>IF(TbRegistroSaídas[[#This Row],[Data do Caixa Previsto]]="",0,MONTH(TbRegistroSaídas[[#This Row],[Data do Caixa Previsto]]))</f>
        <v>8</v>
      </c>
      <c r="N123" s="34">
        <f>IF(TbRegistroSaídas[[#This Row],[Data do Caixa Previsto]]="",0,YEAR(TbRegistroSaídas[[#This Row],[Data do Caixa Previsto]]))</f>
        <v>2018</v>
      </c>
      <c r="O12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4" spans="2:15" x14ac:dyDescent="0.25">
      <c r="B124" s="8">
        <v>43309</v>
      </c>
      <c r="C124" s="8">
        <v>43309</v>
      </c>
      <c r="D124" s="8">
        <v>43309</v>
      </c>
      <c r="E124" t="s">
        <v>36</v>
      </c>
      <c r="F124" t="s">
        <v>43</v>
      </c>
      <c r="G124" t="s">
        <v>403</v>
      </c>
      <c r="H124" s="9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34">
        <f>IF(TbRegistroSaídas[[#This Row],[Data do Caixa Previsto]]="",0,MONTH(TbRegistroSaídas[[#This Row],[Data do Caixa Previsto]]))</f>
        <v>7</v>
      </c>
      <c r="N124" s="34">
        <f>IF(TbRegistroSaídas[[#This Row],[Data do Caixa Previsto]]="",0,YEAR(TbRegistroSaídas[[#This Row],[Data do Caixa Previsto]]))</f>
        <v>2018</v>
      </c>
      <c r="O12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5" spans="2:15" x14ac:dyDescent="0.25">
      <c r="B125" s="8">
        <v>43311</v>
      </c>
      <c r="C125" s="8">
        <v>43311</v>
      </c>
      <c r="D125" s="8">
        <v>43311</v>
      </c>
      <c r="E125" t="s">
        <v>36</v>
      </c>
      <c r="F125" t="s">
        <v>31</v>
      </c>
      <c r="G125" t="s">
        <v>404</v>
      </c>
      <c r="H125" s="9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34">
        <f>IF(TbRegistroSaídas[[#This Row],[Data do Caixa Previsto]]="",0,MONTH(TbRegistroSaídas[[#This Row],[Data do Caixa Previsto]]))</f>
        <v>7</v>
      </c>
      <c r="N125" s="34">
        <f>IF(TbRegistroSaídas[[#This Row],[Data do Caixa Previsto]]="",0,YEAR(TbRegistroSaídas[[#This Row],[Data do Caixa Previsto]]))</f>
        <v>2018</v>
      </c>
      <c r="O12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6" spans="2:15" x14ac:dyDescent="0.25">
      <c r="B126" s="8">
        <v>43314</v>
      </c>
      <c r="C126" s="8">
        <v>43313</v>
      </c>
      <c r="D126" s="8">
        <v>43314</v>
      </c>
      <c r="E126" t="s">
        <v>36</v>
      </c>
      <c r="F126" t="s">
        <v>32</v>
      </c>
      <c r="G126" t="s">
        <v>405</v>
      </c>
      <c r="H126" s="9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34">
        <f>IF(TbRegistroSaídas[[#This Row],[Data do Caixa Previsto]]="",0,MONTH(TbRegistroSaídas[[#This Row],[Data do Caixa Previsto]]))</f>
        <v>8</v>
      </c>
      <c r="N126" s="34">
        <f>IF(TbRegistroSaídas[[#This Row],[Data do Caixa Previsto]]="",0,YEAR(TbRegistroSaídas[[#This Row],[Data do Caixa Previsto]]))</f>
        <v>2018</v>
      </c>
      <c r="O12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7" spans="2:15" x14ac:dyDescent="0.25">
      <c r="B127" s="8">
        <v>43375</v>
      </c>
      <c r="C127" s="8">
        <v>43319</v>
      </c>
      <c r="D127" s="8">
        <v>43375</v>
      </c>
      <c r="E127" t="s">
        <v>36</v>
      </c>
      <c r="F127" t="s">
        <v>30</v>
      </c>
      <c r="G127" t="s">
        <v>406</v>
      </c>
      <c r="H127" s="9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34">
        <f>IF(TbRegistroSaídas[[#This Row],[Data do Caixa Previsto]]="",0,MONTH(TbRegistroSaídas[[#This Row],[Data do Caixa Previsto]]))</f>
        <v>10</v>
      </c>
      <c r="N127" s="34">
        <f>IF(TbRegistroSaídas[[#This Row],[Data do Caixa Previsto]]="",0,YEAR(TbRegistroSaídas[[#This Row],[Data do Caixa Previsto]]))</f>
        <v>2018</v>
      </c>
      <c r="O12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8" spans="2:15" x14ac:dyDescent="0.25">
      <c r="B128" s="8">
        <v>43368</v>
      </c>
      <c r="C128" s="8">
        <v>43322</v>
      </c>
      <c r="D128" s="8">
        <v>43368</v>
      </c>
      <c r="E128" t="s">
        <v>36</v>
      </c>
      <c r="F128" t="s">
        <v>34</v>
      </c>
      <c r="G128" t="s">
        <v>407</v>
      </c>
      <c r="H128" s="9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34">
        <f>IF(TbRegistroSaídas[[#This Row],[Data do Caixa Previsto]]="",0,MONTH(TbRegistroSaídas[[#This Row],[Data do Caixa Previsto]]))</f>
        <v>9</v>
      </c>
      <c r="N128" s="34">
        <f>IF(TbRegistroSaídas[[#This Row],[Data do Caixa Previsto]]="",0,YEAR(TbRegistroSaídas[[#This Row],[Data do Caixa Previsto]]))</f>
        <v>2018</v>
      </c>
      <c r="O12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9" spans="2:15" x14ac:dyDescent="0.25">
      <c r="B129" s="8">
        <v>43366</v>
      </c>
      <c r="C129" s="8">
        <v>43324</v>
      </c>
      <c r="D129" s="8">
        <v>43366</v>
      </c>
      <c r="E129" t="s">
        <v>36</v>
      </c>
      <c r="F129" t="s">
        <v>30</v>
      </c>
      <c r="G129" t="s">
        <v>408</v>
      </c>
      <c r="H129" s="9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34">
        <f>IF(TbRegistroSaídas[[#This Row],[Data do Caixa Previsto]]="",0,MONTH(TbRegistroSaídas[[#This Row],[Data do Caixa Previsto]]))</f>
        <v>9</v>
      </c>
      <c r="N129" s="34">
        <f>IF(TbRegistroSaídas[[#This Row],[Data do Caixa Previsto]]="",0,YEAR(TbRegistroSaídas[[#This Row],[Data do Caixa Previsto]]))</f>
        <v>2018</v>
      </c>
      <c r="O12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0" spans="2:15" x14ac:dyDescent="0.25">
      <c r="B130" s="8">
        <v>43356</v>
      </c>
      <c r="C130" s="8">
        <v>43327</v>
      </c>
      <c r="D130" s="8">
        <v>43356</v>
      </c>
      <c r="E130" t="s">
        <v>36</v>
      </c>
      <c r="F130" t="s">
        <v>31</v>
      </c>
      <c r="G130" t="s">
        <v>409</v>
      </c>
      <c r="H130" s="9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34">
        <f>IF(TbRegistroSaídas[[#This Row],[Data do Caixa Previsto]]="",0,MONTH(TbRegistroSaídas[[#This Row],[Data do Caixa Previsto]]))</f>
        <v>9</v>
      </c>
      <c r="N130" s="34">
        <f>IF(TbRegistroSaídas[[#This Row],[Data do Caixa Previsto]]="",0,YEAR(TbRegistroSaídas[[#This Row],[Data do Caixa Previsto]]))</f>
        <v>2018</v>
      </c>
      <c r="O13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1" spans="2:15" x14ac:dyDescent="0.25">
      <c r="B131" s="8">
        <v>43359</v>
      </c>
      <c r="C131" s="8">
        <v>43334</v>
      </c>
      <c r="D131" s="8">
        <v>43359</v>
      </c>
      <c r="E131" t="s">
        <v>36</v>
      </c>
      <c r="F131" t="s">
        <v>43</v>
      </c>
      <c r="G131" t="s">
        <v>410</v>
      </c>
      <c r="H131" s="9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34">
        <f>IF(TbRegistroSaídas[[#This Row],[Data do Caixa Previsto]]="",0,MONTH(TbRegistroSaídas[[#This Row],[Data do Caixa Previsto]]))</f>
        <v>9</v>
      </c>
      <c r="N131" s="34">
        <f>IF(TbRegistroSaídas[[#This Row],[Data do Caixa Previsto]]="",0,YEAR(TbRegistroSaídas[[#This Row],[Data do Caixa Previsto]]))</f>
        <v>2018</v>
      </c>
      <c r="O13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2" spans="2:15" x14ac:dyDescent="0.25">
      <c r="B132" s="8">
        <v>43352</v>
      </c>
      <c r="C132" s="8">
        <v>43335</v>
      </c>
      <c r="D132" s="8">
        <v>43352</v>
      </c>
      <c r="E132" t="s">
        <v>36</v>
      </c>
      <c r="F132" t="s">
        <v>30</v>
      </c>
      <c r="G132" t="s">
        <v>411</v>
      </c>
      <c r="H132" s="9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34">
        <f>IF(TbRegistroSaídas[[#This Row],[Data do Caixa Previsto]]="",0,MONTH(TbRegistroSaídas[[#This Row],[Data do Caixa Previsto]]))</f>
        <v>9</v>
      </c>
      <c r="N132" s="34">
        <f>IF(TbRegistroSaídas[[#This Row],[Data do Caixa Previsto]]="",0,YEAR(TbRegistroSaídas[[#This Row],[Data do Caixa Previsto]]))</f>
        <v>2018</v>
      </c>
      <c r="O13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3" spans="2:15" x14ac:dyDescent="0.25">
      <c r="B133" s="8">
        <v>43340</v>
      </c>
      <c r="C133" s="8">
        <v>43340</v>
      </c>
      <c r="D133" s="8">
        <v>43340</v>
      </c>
      <c r="E133" t="s">
        <v>36</v>
      </c>
      <c r="F133" t="s">
        <v>34</v>
      </c>
      <c r="G133" t="s">
        <v>412</v>
      </c>
      <c r="H133" s="9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34">
        <f>IF(TbRegistroSaídas[[#This Row],[Data do Caixa Previsto]]="",0,MONTH(TbRegistroSaídas[[#This Row],[Data do Caixa Previsto]]))</f>
        <v>8</v>
      </c>
      <c r="N133" s="34">
        <f>IF(TbRegistroSaídas[[#This Row],[Data do Caixa Previsto]]="",0,YEAR(TbRegistroSaídas[[#This Row],[Data do Caixa Previsto]]))</f>
        <v>2018</v>
      </c>
      <c r="O13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4" spans="2:15" x14ac:dyDescent="0.25">
      <c r="B134" s="8">
        <v>43370</v>
      </c>
      <c r="C134" s="8">
        <v>43346</v>
      </c>
      <c r="D134" s="8">
        <v>43370</v>
      </c>
      <c r="E134" t="s">
        <v>36</v>
      </c>
      <c r="F134" t="s">
        <v>43</v>
      </c>
      <c r="G134" t="s">
        <v>413</v>
      </c>
      <c r="H134" s="9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34">
        <f>IF(TbRegistroSaídas[[#This Row],[Data do Caixa Previsto]]="",0,MONTH(TbRegistroSaídas[[#This Row],[Data do Caixa Previsto]]))</f>
        <v>9</v>
      </c>
      <c r="N134" s="34">
        <f>IF(TbRegistroSaídas[[#This Row],[Data do Caixa Previsto]]="",0,YEAR(TbRegistroSaídas[[#This Row],[Data do Caixa Previsto]]))</f>
        <v>2018</v>
      </c>
      <c r="O13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5" spans="2:15" x14ac:dyDescent="0.25">
      <c r="B135" s="8">
        <v>43402</v>
      </c>
      <c r="C135" s="8">
        <v>43350</v>
      </c>
      <c r="D135" s="8">
        <v>43402</v>
      </c>
      <c r="E135" t="s">
        <v>36</v>
      </c>
      <c r="F135" t="s">
        <v>30</v>
      </c>
      <c r="G135" t="s">
        <v>414</v>
      </c>
      <c r="H135" s="9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34">
        <f>IF(TbRegistroSaídas[[#This Row],[Data do Caixa Previsto]]="",0,MONTH(TbRegistroSaídas[[#This Row],[Data do Caixa Previsto]]))</f>
        <v>10</v>
      </c>
      <c r="N135" s="34">
        <f>IF(TbRegistroSaídas[[#This Row],[Data do Caixa Previsto]]="",0,YEAR(TbRegistroSaídas[[#This Row],[Data do Caixa Previsto]]))</f>
        <v>2018</v>
      </c>
      <c r="O13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6" spans="2:15" x14ac:dyDescent="0.25">
      <c r="B136" s="8">
        <v>43381</v>
      </c>
      <c r="C136" s="8">
        <v>43351</v>
      </c>
      <c r="D136" s="8">
        <v>43381</v>
      </c>
      <c r="E136" t="s">
        <v>36</v>
      </c>
      <c r="F136" t="s">
        <v>43</v>
      </c>
      <c r="G136" t="s">
        <v>415</v>
      </c>
      <c r="H136" s="9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34">
        <f>IF(TbRegistroSaídas[[#This Row],[Data do Caixa Previsto]]="",0,MONTH(TbRegistroSaídas[[#This Row],[Data do Caixa Previsto]]))</f>
        <v>10</v>
      </c>
      <c r="N136" s="34">
        <f>IF(TbRegistroSaídas[[#This Row],[Data do Caixa Previsto]]="",0,YEAR(TbRegistroSaídas[[#This Row],[Data do Caixa Previsto]]))</f>
        <v>2018</v>
      </c>
      <c r="O13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7" spans="2:15" x14ac:dyDescent="0.25">
      <c r="B137" s="8" t="s">
        <v>67</v>
      </c>
      <c r="C137" s="8">
        <v>43353</v>
      </c>
      <c r="D137" s="8">
        <v>43353</v>
      </c>
      <c r="E137" t="s">
        <v>36</v>
      </c>
      <c r="F137" t="s">
        <v>32</v>
      </c>
      <c r="G137" t="s">
        <v>416</v>
      </c>
      <c r="H137" s="9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34">
        <f>IF(TbRegistroSaídas[[#This Row],[Data do Caixa Previsto]]="",0,MONTH(TbRegistroSaídas[[#This Row],[Data do Caixa Previsto]]))</f>
        <v>9</v>
      </c>
      <c r="N137" s="34">
        <f>IF(TbRegistroSaídas[[#This Row],[Data do Caixa Previsto]]="",0,YEAR(TbRegistroSaídas[[#This Row],[Data do Caixa Previsto]]))</f>
        <v>2018</v>
      </c>
      <c r="O13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593</v>
      </c>
    </row>
    <row r="138" spans="2:15" x14ac:dyDescent="0.25">
      <c r="B138" s="8" t="s">
        <v>67</v>
      </c>
      <c r="C138" s="8">
        <v>43358</v>
      </c>
      <c r="D138" s="8">
        <v>43358</v>
      </c>
      <c r="E138" t="s">
        <v>36</v>
      </c>
      <c r="F138" t="s">
        <v>43</v>
      </c>
      <c r="G138" t="s">
        <v>417</v>
      </c>
      <c r="H138" s="9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34">
        <f>IF(TbRegistroSaídas[[#This Row],[Data do Caixa Previsto]]="",0,MONTH(TbRegistroSaídas[[#This Row],[Data do Caixa Previsto]]))</f>
        <v>9</v>
      </c>
      <c r="N138" s="34">
        <f>IF(TbRegistroSaídas[[#This Row],[Data do Caixa Previsto]]="",0,YEAR(TbRegistroSaídas[[#This Row],[Data do Caixa Previsto]]))</f>
        <v>2018</v>
      </c>
      <c r="O13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588</v>
      </c>
    </row>
    <row r="139" spans="2:15" x14ac:dyDescent="0.25">
      <c r="B139" s="8">
        <v>43405</v>
      </c>
      <c r="C139" s="8">
        <v>43358</v>
      </c>
      <c r="D139" s="8">
        <v>43405</v>
      </c>
      <c r="E139" t="s">
        <v>36</v>
      </c>
      <c r="F139" t="s">
        <v>43</v>
      </c>
      <c r="G139" t="s">
        <v>418</v>
      </c>
      <c r="H139" s="9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34">
        <f>IF(TbRegistroSaídas[[#This Row],[Data do Caixa Previsto]]="",0,MONTH(TbRegistroSaídas[[#This Row],[Data do Caixa Previsto]]))</f>
        <v>11</v>
      </c>
      <c r="N139" s="34">
        <f>IF(TbRegistroSaídas[[#This Row],[Data do Caixa Previsto]]="",0,YEAR(TbRegistroSaídas[[#This Row],[Data do Caixa Previsto]]))</f>
        <v>2018</v>
      </c>
      <c r="O13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0" spans="2:15" x14ac:dyDescent="0.25">
      <c r="B140" s="8">
        <v>43377</v>
      </c>
      <c r="C140" s="8">
        <v>43362</v>
      </c>
      <c r="D140" s="8">
        <v>43377</v>
      </c>
      <c r="E140" t="s">
        <v>36</v>
      </c>
      <c r="F140" t="s">
        <v>34</v>
      </c>
      <c r="G140" t="s">
        <v>419</v>
      </c>
      <c r="H140" s="9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34">
        <f>IF(TbRegistroSaídas[[#This Row],[Data do Caixa Previsto]]="",0,MONTH(TbRegistroSaídas[[#This Row],[Data do Caixa Previsto]]))</f>
        <v>10</v>
      </c>
      <c r="N140" s="34">
        <f>IF(TbRegistroSaídas[[#This Row],[Data do Caixa Previsto]]="",0,YEAR(TbRegistroSaídas[[#This Row],[Data do Caixa Previsto]]))</f>
        <v>2018</v>
      </c>
      <c r="O14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1" spans="2:15" x14ac:dyDescent="0.25">
      <c r="B141" s="8">
        <v>43375</v>
      </c>
      <c r="C141" s="8">
        <v>43367</v>
      </c>
      <c r="D141" s="8">
        <v>43375</v>
      </c>
      <c r="E141" t="s">
        <v>36</v>
      </c>
      <c r="F141" t="s">
        <v>30</v>
      </c>
      <c r="G141" t="s">
        <v>420</v>
      </c>
      <c r="H141" s="9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34">
        <f>IF(TbRegistroSaídas[[#This Row],[Data do Caixa Previsto]]="",0,MONTH(TbRegistroSaídas[[#This Row],[Data do Caixa Previsto]]))</f>
        <v>10</v>
      </c>
      <c r="N141" s="34">
        <f>IF(TbRegistroSaídas[[#This Row],[Data do Caixa Previsto]]="",0,YEAR(TbRegistroSaídas[[#This Row],[Data do Caixa Previsto]]))</f>
        <v>2018</v>
      </c>
      <c r="O14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2" spans="2:15" x14ac:dyDescent="0.25">
      <c r="B142" s="8">
        <v>43422</v>
      </c>
      <c r="C142" s="8">
        <v>43371</v>
      </c>
      <c r="D142" s="8">
        <v>43422</v>
      </c>
      <c r="E142" t="s">
        <v>36</v>
      </c>
      <c r="F142" t="s">
        <v>31</v>
      </c>
      <c r="G142" t="s">
        <v>421</v>
      </c>
      <c r="H142" s="9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34">
        <f>IF(TbRegistroSaídas[[#This Row],[Data do Caixa Previsto]]="",0,MONTH(TbRegistroSaídas[[#This Row],[Data do Caixa Previsto]]))</f>
        <v>11</v>
      </c>
      <c r="N142" s="34">
        <f>IF(TbRegistroSaídas[[#This Row],[Data do Caixa Previsto]]="",0,YEAR(TbRegistroSaídas[[#This Row],[Data do Caixa Previsto]]))</f>
        <v>2018</v>
      </c>
      <c r="O14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3" spans="2:15" x14ac:dyDescent="0.25">
      <c r="B143" s="8" t="s">
        <v>67</v>
      </c>
      <c r="C143" s="8">
        <v>43374</v>
      </c>
      <c r="D143" s="8">
        <v>43417</v>
      </c>
      <c r="E143" t="s">
        <v>36</v>
      </c>
      <c r="F143" t="s">
        <v>31</v>
      </c>
      <c r="G143" t="s">
        <v>422</v>
      </c>
      <c r="H143" s="9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34">
        <f>IF(TbRegistroSaídas[[#This Row],[Data do Caixa Previsto]]="",0,MONTH(TbRegistroSaídas[[#This Row],[Data do Caixa Previsto]]))</f>
        <v>11</v>
      </c>
      <c r="N143" s="34">
        <f>IF(TbRegistroSaídas[[#This Row],[Data do Caixa Previsto]]="",0,YEAR(TbRegistroSaídas[[#This Row],[Data do Caixa Previsto]]))</f>
        <v>2018</v>
      </c>
      <c r="O14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529</v>
      </c>
    </row>
    <row r="144" spans="2:15" x14ac:dyDescent="0.25">
      <c r="B144" s="8">
        <v>43377</v>
      </c>
      <c r="C144" s="8">
        <v>43377</v>
      </c>
      <c r="D144" s="8">
        <v>43377</v>
      </c>
      <c r="E144" t="s">
        <v>36</v>
      </c>
      <c r="F144" t="s">
        <v>34</v>
      </c>
      <c r="G144" t="s">
        <v>423</v>
      </c>
      <c r="H144" s="9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34">
        <f>IF(TbRegistroSaídas[[#This Row],[Data do Caixa Previsto]]="",0,MONTH(TbRegistroSaídas[[#This Row],[Data do Caixa Previsto]]))</f>
        <v>10</v>
      </c>
      <c r="N144" s="34">
        <f>IF(TbRegistroSaídas[[#This Row],[Data do Caixa Previsto]]="",0,YEAR(TbRegistroSaídas[[#This Row],[Data do Caixa Previsto]]))</f>
        <v>2018</v>
      </c>
      <c r="O14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5" spans="2:15" x14ac:dyDescent="0.25">
      <c r="B145" s="8">
        <v>43389</v>
      </c>
      <c r="C145" s="8">
        <v>43383</v>
      </c>
      <c r="D145" s="8">
        <v>43389</v>
      </c>
      <c r="E145" t="s">
        <v>36</v>
      </c>
      <c r="F145" t="s">
        <v>30</v>
      </c>
      <c r="G145" t="s">
        <v>424</v>
      </c>
      <c r="H145" s="9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34">
        <f>IF(TbRegistroSaídas[[#This Row],[Data do Caixa Previsto]]="",0,MONTH(TbRegistroSaídas[[#This Row],[Data do Caixa Previsto]]))</f>
        <v>10</v>
      </c>
      <c r="N145" s="34">
        <f>IF(TbRegistroSaídas[[#This Row],[Data do Caixa Previsto]]="",0,YEAR(TbRegistroSaídas[[#This Row],[Data do Caixa Previsto]]))</f>
        <v>2018</v>
      </c>
      <c r="O14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6" spans="2:15" x14ac:dyDescent="0.25">
      <c r="B146" s="8">
        <v>43468</v>
      </c>
      <c r="C146" s="8">
        <v>43385</v>
      </c>
      <c r="D146" s="8">
        <v>43404</v>
      </c>
      <c r="E146" t="s">
        <v>36</v>
      </c>
      <c r="F146" t="s">
        <v>30</v>
      </c>
      <c r="G146" t="s">
        <v>425</v>
      </c>
      <c r="H146" s="9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34">
        <f>IF(TbRegistroSaídas[[#This Row],[Data do Caixa Previsto]]="",0,MONTH(TbRegistroSaídas[[#This Row],[Data do Caixa Previsto]]))</f>
        <v>10</v>
      </c>
      <c r="N146" s="34">
        <f>IF(TbRegistroSaídas[[#This Row],[Data do Caixa Previsto]]="",0,YEAR(TbRegistroSaídas[[#This Row],[Data do Caixa Previsto]]))</f>
        <v>2018</v>
      </c>
      <c r="O14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</v>
      </c>
    </row>
    <row r="147" spans="2:15" x14ac:dyDescent="0.25">
      <c r="B147" s="8">
        <v>43448</v>
      </c>
      <c r="C147" s="8">
        <v>43387</v>
      </c>
      <c r="D147" s="8">
        <v>43387</v>
      </c>
      <c r="E147" t="s">
        <v>36</v>
      </c>
      <c r="F147" t="s">
        <v>32</v>
      </c>
      <c r="G147" t="s">
        <v>426</v>
      </c>
      <c r="H147" s="9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34">
        <f>IF(TbRegistroSaídas[[#This Row],[Data do Caixa Previsto]]="",0,MONTH(TbRegistroSaídas[[#This Row],[Data do Caixa Previsto]]))</f>
        <v>10</v>
      </c>
      <c r="N147" s="34">
        <f>IF(TbRegistroSaídas[[#This Row],[Data do Caixa Previsto]]="",0,YEAR(TbRegistroSaídas[[#This Row],[Data do Caixa Previsto]]))</f>
        <v>2018</v>
      </c>
      <c r="O14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61</v>
      </c>
    </row>
    <row r="148" spans="2:15" x14ac:dyDescent="0.25">
      <c r="B148" s="8">
        <v>43449</v>
      </c>
      <c r="C148" s="8">
        <v>43393</v>
      </c>
      <c r="D148" s="8">
        <v>43449</v>
      </c>
      <c r="E148" t="s">
        <v>36</v>
      </c>
      <c r="F148" t="s">
        <v>32</v>
      </c>
      <c r="G148" t="s">
        <v>427</v>
      </c>
      <c r="H148" s="9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34">
        <f>IF(TbRegistroSaídas[[#This Row],[Data do Caixa Previsto]]="",0,MONTH(TbRegistroSaídas[[#This Row],[Data do Caixa Previsto]]))</f>
        <v>12</v>
      </c>
      <c r="N148" s="34">
        <f>IF(TbRegistroSaídas[[#This Row],[Data do Caixa Previsto]]="",0,YEAR(TbRegistroSaídas[[#This Row],[Data do Caixa Previsto]]))</f>
        <v>2018</v>
      </c>
      <c r="O14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9" spans="2:15" x14ac:dyDescent="0.25">
      <c r="B149" s="8">
        <v>43394</v>
      </c>
      <c r="C149" s="8">
        <v>43394</v>
      </c>
      <c r="D149" s="8">
        <v>43394</v>
      </c>
      <c r="E149" t="s">
        <v>36</v>
      </c>
      <c r="F149" t="s">
        <v>43</v>
      </c>
      <c r="G149" t="s">
        <v>428</v>
      </c>
      <c r="H149" s="9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34">
        <f>IF(TbRegistroSaídas[[#This Row],[Data do Caixa Previsto]]="",0,MONTH(TbRegistroSaídas[[#This Row],[Data do Caixa Previsto]]))</f>
        <v>10</v>
      </c>
      <c r="N149" s="34">
        <f>IF(TbRegistroSaídas[[#This Row],[Data do Caixa Previsto]]="",0,YEAR(TbRegistroSaídas[[#This Row],[Data do Caixa Previsto]]))</f>
        <v>2018</v>
      </c>
      <c r="O14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0" spans="2:15" x14ac:dyDescent="0.25">
      <c r="B150" s="8">
        <v>43449</v>
      </c>
      <c r="C150" s="8">
        <v>43398</v>
      </c>
      <c r="D150" s="8">
        <v>43449</v>
      </c>
      <c r="E150" t="s">
        <v>36</v>
      </c>
      <c r="F150" t="s">
        <v>43</v>
      </c>
      <c r="G150" t="s">
        <v>429</v>
      </c>
      <c r="H150" s="9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34">
        <f>IF(TbRegistroSaídas[[#This Row],[Data do Caixa Previsto]]="",0,MONTH(TbRegistroSaídas[[#This Row],[Data do Caixa Previsto]]))</f>
        <v>12</v>
      </c>
      <c r="N150" s="34">
        <f>IF(TbRegistroSaídas[[#This Row],[Data do Caixa Previsto]]="",0,YEAR(TbRegistroSaídas[[#This Row],[Data do Caixa Previsto]]))</f>
        <v>2018</v>
      </c>
      <c r="O15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1" spans="2:15" x14ac:dyDescent="0.25">
      <c r="B151" s="8">
        <v>43424</v>
      </c>
      <c r="C151" s="8">
        <v>43400</v>
      </c>
      <c r="D151" s="8">
        <v>43424</v>
      </c>
      <c r="E151" t="s">
        <v>36</v>
      </c>
      <c r="F151" t="s">
        <v>32</v>
      </c>
      <c r="G151" t="s">
        <v>430</v>
      </c>
      <c r="H151" s="9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34">
        <f>IF(TbRegistroSaídas[[#This Row],[Data do Caixa Previsto]]="",0,MONTH(TbRegistroSaídas[[#This Row],[Data do Caixa Previsto]]))</f>
        <v>11</v>
      </c>
      <c r="N151" s="34">
        <f>IF(TbRegistroSaídas[[#This Row],[Data do Caixa Previsto]]="",0,YEAR(TbRegistroSaídas[[#This Row],[Data do Caixa Previsto]]))</f>
        <v>2018</v>
      </c>
      <c r="O15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2" spans="2:15" x14ac:dyDescent="0.25">
      <c r="B152" s="8">
        <v>43403</v>
      </c>
      <c r="C152" s="8">
        <v>43403</v>
      </c>
      <c r="D152" s="8">
        <v>43403</v>
      </c>
      <c r="E152" t="s">
        <v>36</v>
      </c>
      <c r="F152" t="s">
        <v>30</v>
      </c>
      <c r="G152" t="s">
        <v>431</v>
      </c>
      <c r="H152" s="9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34">
        <f>IF(TbRegistroSaídas[[#This Row],[Data do Caixa Previsto]]="",0,MONTH(TbRegistroSaídas[[#This Row],[Data do Caixa Previsto]]))</f>
        <v>10</v>
      </c>
      <c r="N152" s="34">
        <f>IF(TbRegistroSaídas[[#This Row],[Data do Caixa Previsto]]="",0,YEAR(TbRegistroSaídas[[#This Row],[Data do Caixa Previsto]]))</f>
        <v>2018</v>
      </c>
      <c r="O15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3" spans="2:15" x14ac:dyDescent="0.25">
      <c r="B153" s="8">
        <v>43461</v>
      </c>
      <c r="C153" s="8">
        <v>43405</v>
      </c>
      <c r="D153" s="8">
        <v>43461</v>
      </c>
      <c r="E153" t="s">
        <v>36</v>
      </c>
      <c r="F153" t="s">
        <v>43</v>
      </c>
      <c r="G153" t="s">
        <v>432</v>
      </c>
      <c r="H153" s="9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34">
        <f>IF(TbRegistroSaídas[[#This Row],[Data do Caixa Previsto]]="",0,MONTH(TbRegistroSaídas[[#This Row],[Data do Caixa Previsto]]))</f>
        <v>12</v>
      </c>
      <c r="N153" s="34">
        <f>IF(TbRegistroSaídas[[#This Row],[Data do Caixa Previsto]]="",0,YEAR(TbRegistroSaídas[[#This Row],[Data do Caixa Previsto]]))</f>
        <v>2018</v>
      </c>
      <c r="O15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4" spans="2:15" x14ac:dyDescent="0.25">
      <c r="B154" s="8">
        <v>43466</v>
      </c>
      <c r="C154" s="8">
        <v>43407</v>
      </c>
      <c r="D154" s="8">
        <v>43466</v>
      </c>
      <c r="E154" t="s">
        <v>36</v>
      </c>
      <c r="F154" t="s">
        <v>30</v>
      </c>
      <c r="G154" t="s">
        <v>350</v>
      </c>
      <c r="H154" s="9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34">
        <f>IF(TbRegistroSaídas[[#This Row],[Data do Caixa Previsto]]="",0,MONTH(TbRegistroSaídas[[#This Row],[Data do Caixa Previsto]]))</f>
        <v>1</v>
      </c>
      <c r="N154" s="34">
        <f>IF(TbRegistroSaídas[[#This Row],[Data do Caixa Previsto]]="",0,YEAR(TbRegistroSaídas[[#This Row],[Data do Caixa Previsto]]))</f>
        <v>2019</v>
      </c>
      <c r="O15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5" spans="2:15" x14ac:dyDescent="0.25">
      <c r="B155" s="8">
        <v>43446</v>
      </c>
      <c r="C155" s="8">
        <v>43412</v>
      </c>
      <c r="D155" s="8">
        <v>43446</v>
      </c>
      <c r="E155" t="s">
        <v>36</v>
      </c>
      <c r="F155" t="s">
        <v>43</v>
      </c>
      <c r="G155" t="s">
        <v>433</v>
      </c>
      <c r="H155" s="9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34">
        <f>IF(TbRegistroSaídas[[#This Row],[Data do Caixa Previsto]]="",0,MONTH(TbRegistroSaídas[[#This Row],[Data do Caixa Previsto]]))</f>
        <v>12</v>
      </c>
      <c r="N155" s="34">
        <f>IF(TbRegistroSaídas[[#This Row],[Data do Caixa Previsto]]="",0,YEAR(TbRegistroSaídas[[#This Row],[Data do Caixa Previsto]]))</f>
        <v>2018</v>
      </c>
      <c r="O15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6" spans="2:15" x14ac:dyDescent="0.25">
      <c r="B156" s="8">
        <v>43485</v>
      </c>
      <c r="C156" s="8">
        <v>43415</v>
      </c>
      <c r="D156" s="8">
        <v>43474</v>
      </c>
      <c r="E156" t="s">
        <v>36</v>
      </c>
      <c r="F156" t="s">
        <v>31</v>
      </c>
      <c r="G156" t="s">
        <v>434</v>
      </c>
      <c r="H156" s="9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34">
        <f>IF(TbRegistroSaídas[[#This Row],[Data do Caixa Previsto]]="",0,MONTH(TbRegistroSaídas[[#This Row],[Data do Caixa Previsto]]))</f>
        <v>1</v>
      </c>
      <c r="N156" s="34">
        <f>IF(TbRegistroSaídas[[#This Row],[Data do Caixa Previsto]]="",0,YEAR(TbRegistroSaídas[[#This Row],[Data do Caixa Previsto]]))</f>
        <v>2019</v>
      </c>
      <c r="O15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11</v>
      </c>
    </row>
    <row r="157" spans="2:15" x14ac:dyDescent="0.25">
      <c r="B157" s="8" t="s">
        <v>67</v>
      </c>
      <c r="C157" s="8">
        <v>43417</v>
      </c>
      <c r="D157" s="8">
        <v>43417</v>
      </c>
      <c r="E157" t="s">
        <v>36</v>
      </c>
      <c r="F157" t="s">
        <v>43</v>
      </c>
      <c r="G157" t="s">
        <v>435</v>
      </c>
      <c r="H157" s="9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34">
        <f>IF(TbRegistroSaídas[[#This Row],[Data do Caixa Previsto]]="",0,MONTH(TbRegistroSaídas[[#This Row],[Data do Caixa Previsto]]))</f>
        <v>11</v>
      </c>
      <c r="N157" s="34">
        <f>IF(TbRegistroSaídas[[#This Row],[Data do Caixa Previsto]]="",0,YEAR(TbRegistroSaídas[[#This Row],[Data do Caixa Previsto]]))</f>
        <v>2018</v>
      </c>
      <c r="O15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529</v>
      </c>
    </row>
    <row r="158" spans="2:15" x14ac:dyDescent="0.25">
      <c r="B158" s="8">
        <v>43451</v>
      </c>
      <c r="C158" s="8">
        <v>43421</v>
      </c>
      <c r="D158" s="8">
        <v>43451</v>
      </c>
      <c r="E158" t="s">
        <v>36</v>
      </c>
      <c r="F158" t="s">
        <v>31</v>
      </c>
      <c r="G158" t="s">
        <v>436</v>
      </c>
      <c r="H158" s="9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34">
        <f>IF(TbRegistroSaídas[[#This Row],[Data do Caixa Previsto]]="",0,MONTH(TbRegistroSaídas[[#This Row],[Data do Caixa Previsto]]))</f>
        <v>12</v>
      </c>
      <c r="N158" s="34">
        <f>IF(TbRegistroSaídas[[#This Row],[Data do Caixa Previsto]]="",0,YEAR(TbRegistroSaídas[[#This Row],[Data do Caixa Previsto]]))</f>
        <v>2018</v>
      </c>
      <c r="O15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9" spans="2:15" x14ac:dyDescent="0.25">
      <c r="B159" s="8">
        <v>43431</v>
      </c>
      <c r="C159" s="8">
        <v>43421</v>
      </c>
      <c r="D159" s="8">
        <v>43421</v>
      </c>
      <c r="E159" t="s">
        <v>36</v>
      </c>
      <c r="F159" t="s">
        <v>43</v>
      </c>
      <c r="G159" t="s">
        <v>437</v>
      </c>
      <c r="H159" s="9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34">
        <f>IF(TbRegistroSaídas[[#This Row],[Data do Caixa Previsto]]="",0,MONTH(TbRegistroSaídas[[#This Row],[Data do Caixa Previsto]]))</f>
        <v>11</v>
      </c>
      <c r="N159" s="34">
        <f>IF(TbRegistroSaídas[[#This Row],[Data do Caixa Previsto]]="",0,YEAR(TbRegistroSaídas[[#This Row],[Data do Caixa Previsto]]))</f>
        <v>2018</v>
      </c>
      <c r="O15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60" spans="2:15" x14ac:dyDescent="0.25">
      <c r="B160" s="8">
        <v>43424</v>
      </c>
      <c r="C160" s="8">
        <v>43424</v>
      </c>
      <c r="D160" s="8">
        <v>43424</v>
      </c>
      <c r="E160" t="s">
        <v>36</v>
      </c>
      <c r="F160" t="s">
        <v>31</v>
      </c>
      <c r="G160" t="s">
        <v>438</v>
      </c>
      <c r="H160" s="9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34">
        <f>IF(TbRegistroSaídas[[#This Row],[Data do Caixa Previsto]]="",0,MONTH(TbRegistroSaídas[[#This Row],[Data do Caixa Previsto]]))</f>
        <v>11</v>
      </c>
      <c r="N160" s="34">
        <f>IF(TbRegistroSaídas[[#This Row],[Data do Caixa Previsto]]="",0,YEAR(TbRegistroSaídas[[#This Row],[Data do Caixa Previsto]]))</f>
        <v>2018</v>
      </c>
      <c r="O16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1" spans="2:15" x14ac:dyDescent="0.25">
      <c r="B161" s="8">
        <v>43430</v>
      </c>
      <c r="C161" s="8">
        <v>43430</v>
      </c>
      <c r="D161" s="8">
        <v>43430</v>
      </c>
      <c r="E161" t="s">
        <v>36</v>
      </c>
      <c r="F161" t="s">
        <v>43</v>
      </c>
      <c r="G161" t="s">
        <v>439</v>
      </c>
      <c r="H161" s="9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34">
        <f>IF(TbRegistroSaídas[[#This Row],[Data do Caixa Previsto]]="",0,MONTH(TbRegistroSaídas[[#This Row],[Data do Caixa Previsto]]))</f>
        <v>11</v>
      </c>
      <c r="N161" s="34">
        <f>IF(TbRegistroSaídas[[#This Row],[Data do Caixa Previsto]]="",0,YEAR(TbRegistroSaídas[[#This Row],[Data do Caixa Previsto]]))</f>
        <v>2018</v>
      </c>
      <c r="O16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2" spans="2:15" x14ac:dyDescent="0.25">
      <c r="B162" s="8">
        <v>43433</v>
      </c>
      <c r="C162" s="8">
        <v>43433</v>
      </c>
      <c r="D162" s="8">
        <v>43433</v>
      </c>
      <c r="E162" t="s">
        <v>36</v>
      </c>
      <c r="F162" t="s">
        <v>31</v>
      </c>
      <c r="G162" t="s">
        <v>440</v>
      </c>
      <c r="H162" s="9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34">
        <f>IF(TbRegistroSaídas[[#This Row],[Data do Caixa Previsto]]="",0,MONTH(TbRegistroSaídas[[#This Row],[Data do Caixa Previsto]]))</f>
        <v>11</v>
      </c>
      <c r="N162" s="34">
        <f>IF(TbRegistroSaídas[[#This Row],[Data do Caixa Previsto]]="",0,YEAR(TbRegistroSaídas[[#This Row],[Data do Caixa Previsto]]))</f>
        <v>2018</v>
      </c>
      <c r="O16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3" spans="2:15" x14ac:dyDescent="0.25">
      <c r="B163" s="8">
        <v>43485</v>
      </c>
      <c r="C163" s="8">
        <v>43436</v>
      </c>
      <c r="D163" s="8">
        <v>43485</v>
      </c>
      <c r="E163" t="s">
        <v>36</v>
      </c>
      <c r="F163" t="s">
        <v>43</v>
      </c>
      <c r="G163" t="s">
        <v>441</v>
      </c>
      <c r="H163" s="9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34">
        <f>IF(TbRegistroSaídas[[#This Row],[Data do Caixa Previsto]]="",0,MONTH(TbRegistroSaídas[[#This Row],[Data do Caixa Previsto]]))</f>
        <v>1</v>
      </c>
      <c r="N163" s="34">
        <f>IF(TbRegistroSaídas[[#This Row],[Data do Caixa Previsto]]="",0,YEAR(TbRegistroSaídas[[#This Row],[Data do Caixa Previsto]]))</f>
        <v>2019</v>
      </c>
      <c r="O16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4" spans="2:15" x14ac:dyDescent="0.25">
      <c r="B164" s="8">
        <v>43494</v>
      </c>
      <c r="C164" s="8">
        <v>43438</v>
      </c>
      <c r="D164" s="8">
        <v>43494</v>
      </c>
      <c r="E164" t="s">
        <v>36</v>
      </c>
      <c r="F164" t="s">
        <v>43</v>
      </c>
      <c r="G164" t="s">
        <v>442</v>
      </c>
      <c r="H164" s="9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34">
        <f>IF(TbRegistroSaídas[[#This Row],[Data do Caixa Previsto]]="",0,MONTH(TbRegistroSaídas[[#This Row],[Data do Caixa Previsto]]))</f>
        <v>1</v>
      </c>
      <c r="N164" s="34">
        <f>IF(TbRegistroSaídas[[#This Row],[Data do Caixa Previsto]]="",0,YEAR(TbRegistroSaídas[[#This Row],[Data do Caixa Previsto]]))</f>
        <v>2019</v>
      </c>
      <c r="O16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5" spans="2:15" x14ac:dyDescent="0.25">
      <c r="B165" s="8">
        <v>43465</v>
      </c>
      <c r="C165" s="8">
        <v>43443</v>
      </c>
      <c r="D165" s="8">
        <v>43465</v>
      </c>
      <c r="E165" t="s">
        <v>36</v>
      </c>
      <c r="F165" t="s">
        <v>43</v>
      </c>
      <c r="G165" t="s">
        <v>443</v>
      </c>
      <c r="H165" s="9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34">
        <f>IF(TbRegistroSaídas[[#This Row],[Data do Caixa Previsto]]="",0,MONTH(TbRegistroSaídas[[#This Row],[Data do Caixa Previsto]]))</f>
        <v>12</v>
      </c>
      <c r="N165" s="34">
        <f>IF(TbRegistroSaídas[[#This Row],[Data do Caixa Previsto]]="",0,YEAR(TbRegistroSaídas[[#This Row],[Data do Caixa Previsto]]))</f>
        <v>2018</v>
      </c>
      <c r="O16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6" spans="2:15" x14ac:dyDescent="0.25">
      <c r="B166" s="8">
        <v>43444</v>
      </c>
      <c r="C166" s="8">
        <v>43444</v>
      </c>
      <c r="D166" s="8">
        <v>43444</v>
      </c>
      <c r="E166" t="s">
        <v>36</v>
      </c>
      <c r="F166" t="s">
        <v>30</v>
      </c>
      <c r="G166" t="s">
        <v>444</v>
      </c>
      <c r="H166" s="9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34">
        <f>IF(TbRegistroSaídas[[#This Row],[Data do Caixa Previsto]]="",0,MONTH(TbRegistroSaídas[[#This Row],[Data do Caixa Previsto]]))</f>
        <v>12</v>
      </c>
      <c r="N166" s="34">
        <f>IF(TbRegistroSaídas[[#This Row],[Data do Caixa Previsto]]="",0,YEAR(TbRegistroSaídas[[#This Row],[Data do Caixa Previsto]]))</f>
        <v>2018</v>
      </c>
      <c r="O16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7" spans="2:15" x14ac:dyDescent="0.25">
      <c r="B167" s="8" t="s">
        <v>67</v>
      </c>
      <c r="C167" s="8">
        <v>43448</v>
      </c>
      <c r="D167" s="8">
        <v>43480</v>
      </c>
      <c r="E167" t="s">
        <v>36</v>
      </c>
      <c r="F167" t="s">
        <v>43</v>
      </c>
      <c r="G167" t="s">
        <v>445</v>
      </c>
      <c r="H167" s="9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34">
        <f>IF(TbRegistroSaídas[[#This Row],[Data do Caixa Previsto]]="",0,MONTH(TbRegistroSaídas[[#This Row],[Data do Caixa Previsto]]))</f>
        <v>1</v>
      </c>
      <c r="N167" s="34">
        <f>IF(TbRegistroSaídas[[#This Row],[Data do Caixa Previsto]]="",0,YEAR(TbRegistroSaídas[[#This Row],[Data do Caixa Previsto]]))</f>
        <v>2019</v>
      </c>
      <c r="O16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466</v>
      </c>
    </row>
    <row r="168" spans="2:15" x14ac:dyDescent="0.25">
      <c r="B168" s="8">
        <v>43449</v>
      </c>
      <c r="C168" s="8">
        <v>43449</v>
      </c>
      <c r="D168" s="8">
        <v>43449</v>
      </c>
      <c r="E168" t="s">
        <v>36</v>
      </c>
      <c r="F168" t="s">
        <v>43</v>
      </c>
      <c r="G168" t="s">
        <v>446</v>
      </c>
      <c r="H168" s="9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34">
        <f>IF(TbRegistroSaídas[[#This Row],[Data do Caixa Previsto]]="",0,MONTH(TbRegistroSaídas[[#This Row],[Data do Caixa Previsto]]))</f>
        <v>12</v>
      </c>
      <c r="N168" s="34">
        <f>IF(TbRegistroSaídas[[#This Row],[Data do Caixa Previsto]]="",0,YEAR(TbRegistroSaídas[[#This Row],[Data do Caixa Previsto]]))</f>
        <v>2018</v>
      </c>
      <c r="O16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9" spans="2:15" x14ac:dyDescent="0.25">
      <c r="B169" s="8">
        <v>43487</v>
      </c>
      <c r="C169" s="8">
        <v>43452</v>
      </c>
      <c r="D169" s="8">
        <v>43487</v>
      </c>
      <c r="E169" t="s">
        <v>36</v>
      </c>
      <c r="F169" t="s">
        <v>34</v>
      </c>
      <c r="G169" t="s">
        <v>447</v>
      </c>
      <c r="H169" s="9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34">
        <f>IF(TbRegistroSaídas[[#This Row],[Data do Caixa Previsto]]="",0,MONTH(TbRegistroSaídas[[#This Row],[Data do Caixa Previsto]]))</f>
        <v>1</v>
      </c>
      <c r="N169" s="34">
        <f>IF(TbRegistroSaídas[[#This Row],[Data do Caixa Previsto]]="",0,YEAR(TbRegistroSaídas[[#This Row],[Data do Caixa Previsto]]))</f>
        <v>2019</v>
      </c>
      <c r="O16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0" spans="2:15" x14ac:dyDescent="0.25">
      <c r="B170" s="8">
        <v>43514</v>
      </c>
      <c r="C170" s="8">
        <v>43459</v>
      </c>
      <c r="D170" s="8">
        <v>43514</v>
      </c>
      <c r="E170" t="s">
        <v>36</v>
      </c>
      <c r="F170" t="s">
        <v>43</v>
      </c>
      <c r="G170" t="s">
        <v>448</v>
      </c>
      <c r="H170" s="9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34">
        <f>IF(TbRegistroSaídas[[#This Row],[Data do Caixa Previsto]]="",0,MONTH(TbRegistroSaídas[[#This Row],[Data do Caixa Previsto]]))</f>
        <v>2</v>
      </c>
      <c r="N170" s="34">
        <f>IF(TbRegistroSaídas[[#This Row],[Data do Caixa Previsto]]="",0,YEAR(TbRegistroSaídas[[#This Row],[Data do Caixa Previsto]]))</f>
        <v>2019</v>
      </c>
      <c r="O17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1" spans="2:15" x14ac:dyDescent="0.25">
      <c r="B171" s="8">
        <v>43491</v>
      </c>
      <c r="C171" s="8">
        <v>43461</v>
      </c>
      <c r="D171" s="8">
        <v>43491</v>
      </c>
      <c r="E171" t="s">
        <v>36</v>
      </c>
      <c r="F171" t="s">
        <v>43</v>
      </c>
      <c r="G171" t="s">
        <v>449</v>
      </c>
      <c r="H171" s="9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34">
        <f>IF(TbRegistroSaídas[[#This Row],[Data do Caixa Previsto]]="",0,MONTH(TbRegistroSaídas[[#This Row],[Data do Caixa Previsto]]))</f>
        <v>1</v>
      </c>
      <c r="N171" s="34">
        <f>IF(TbRegistroSaídas[[#This Row],[Data do Caixa Previsto]]="",0,YEAR(TbRegistroSaídas[[#This Row],[Data do Caixa Previsto]]))</f>
        <v>2019</v>
      </c>
      <c r="O17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2" spans="2:15" x14ac:dyDescent="0.25">
      <c r="B172" s="8">
        <v>43515</v>
      </c>
      <c r="C172" s="8">
        <v>43464</v>
      </c>
      <c r="D172" s="8">
        <v>43515</v>
      </c>
      <c r="E172" t="s">
        <v>36</v>
      </c>
      <c r="F172" t="s">
        <v>34</v>
      </c>
      <c r="G172" t="s">
        <v>450</v>
      </c>
      <c r="H172" s="9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34">
        <f>IF(TbRegistroSaídas[[#This Row],[Data do Caixa Previsto]]="",0,MONTH(TbRegistroSaídas[[#This Row],[Data do Caixa Previsto]]))</f>
        <v>2</v>
      </c>
      <c r="N172" s="34">
        <f>IF(TbRegistroSaídas[[#This Row],[Data do Caixa Previsto]]="",0,YEAR(TbRegistroSaídas[[#This Row],[Data do Caixa Previsto]]))</f>
        <v>2019</v>
      </c>
      <c r="O17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3" spans="2:15" x14ac:dyDescent="0.25">
      <c r="B173" s="8">
        <v>43467</v>
      </c>
      <c r="C173" s="8">
        <v>43467</v>
      </c>
      <c r="D173" s="8">
        <v>43467</v>
      </c>
      <c r="E173" t="s">
        <v>36</v>
      </c>
      <c r="F173" t="s">
        <v>34</v>
      </c>
      <c r="G173" t="s">
        <v>451</v>
      </c>
      <c r="H173" s="9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34">
        <f>IF(TbRegistroSaídas[[#This Row],[Data do Caixa Previsto]]="",0,MONTH(TbRegistroSaídas[[#This Row],[Data do Caixa Previsto]]))</f>
        <v>1</v>
      </c>
      <c r="N173" s="34">
        <f>IF(TbRegistroSaídas[[#This Row],[Data do Caixa Previsto]]="",0,YEAR(TbRegistroSaídas[[#This Row],[Data do Caixa Previsto]]))</f>
        <v>2019</v>
      </c>
      <c r="O17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4" spans="2:15" x14ac:dyDescent="0.25">
      <c r="B174" s="8">
        <v>43485</v>
      </c>
      <c r="C174" s="8">
        <v>43469</v>
      </c>
      <c r="D174" s="8">
        <v>43485</v>
      </c>
      <c r="E174" t="s">
        <v>36</v>
      </c>
      <c r="F174" t="s">
        <v>43</v>
      </c>
      <c r="G174" t="s">
        <v>452</v>
      </c>
      <c r="H174" s="9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34">
        <f>IF(TbRegistroSaídas[[#This Row],[Data do Caixa Previsto]]="",0,MONTH(TbRegistroSaídas[[#This Row],[Data do Caixa Previsto]]))</f>
        <v>1</v>
      </c>
      <c r="N174" s="34">
        <f>IF(TbRegistroSaídas[[#This Row],[Data do Caixa Previsto]]="",0,YEAR(TbRegistroSaídas[[#This Row],[Data do Caixa Previsto]]))</f>
        <v>2019</v>
      </c>
      <c r="O17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5" spans="2:15" x14ac:dyDescent="0.25">
      <c r="B175" s="8">
        <v>43501</v>
      </c>
      <c r="C175" s="8">
        <v>43476</v>
      </c>
      <c r="D175" s="8">
        <v>43501</v>
      </c>
      <c r="E175" t="s">
        <v>36</v>
      </c>
      <c r="F175" t="s">
        <v>43</v>
      </c>
      <c r="G175" t="s">
        <v>453</v>
      </c>
      <c r="H175" s="9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34">
        <f>IF(TbRegistroSaídas[[#This Row],[Data do Caixa Previsto]]="",0,MONTH(TbRegistroSaídas[[#This Row],[Data do Caixa Previsto]]))</f>
        <v>2</v>
      </c>
      <c r="N175" s="34">
        <f>IF(TbRegistroSaídas[[#This Row],[Data do Caixa Previsto]]="",0,YEAR(TbRegistroSaídas[[#This Row],[Data do Caixa Previsto]]))</f>
        <v>2019</v>
      </c>
      <c r="O17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6" spans="2:15" x14ac:dyDescent="0.25">
      <c r="B176" s="8">
        <v>43569</v>
      </c>
      <c r="C176" s="8">
        <v>43479</v>
      </c>
      <c r="D176" s="8">
        <v>43495</v>
      </c>
      <c r="E176" t="s">
        <v>36</v>
      </c>
      <c r="F176" t="s">
        <v>43</v>
      </c>
      <c r="G176" t="s">
        <v>454</v>
      </c>
      <c r="H176" s="9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34">
        <f>IF(TbRegistroSaídas[[#This Row],[Data do Caixa Previsto]]="",0,MONTH(TbRegistroSaídas[[#This Row],[Data do Caixa Previsto]]))</f>
        <v>1</v>
      </c>
      <c r="N176" s="34">
        <f>IF(TbRegistroSaídas[[#This Row],[Data do Caixa Previsto]]="",0,YEAR(TbRegistroSaídas[[#This Row],[Data do Caixa Previsto]]))</f>
        <v>2019</v>
      </c>
      <c r="O17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74</v>
      </c>
    </row>
    <row r="177" spans="2:15" x14ac:dyDescent="0.25">
      <c r="B177" s="8">
        <v>43482</v>
      </c>
      <c r="C177" s="8">
        <v>43482</v>
      </c>
      <c r="D177" s="8">
        <v>43482</v>
      </c>
      <c r="E177" t="s">
        <v>36</v>
      </c>
      <c r="F177" t="s">
        <v>34</v>
      </c>
      <c r="G177" t="s">
        <v>455</v>
      </c>
      <c r="H177" s="9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34">
        <f>IF(TbRegistroSaídas[[#This Row],[Data do Caixa Previsto]]="",0,MONTH(TbRegistroSaídas[[#This Row],[Data do Caixa Previsto]]))</f>
        <v>1</v>
      </c>
      <c r="N177" s="34">
        <f>IF(TbRegistroSaídas[[#This Row],[Data do Caixa Previsto]]="",0,YEAR(TbRegistroSaídas[[#This Row],[Data do Caixa Previsto]]))</f>
        <v>2019</v>
      </c>
      <c r="O17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8" spans="2:15" x14ac:dyDescent="0.25">
      <c r="B178" s="8">
        <v>43499</v>
      </c>
      <c r="C178" s="8">
        <v>43484</v>
      </c>
      <c r="D178" s="8">
        <v>43499</v>
      </c>
      <c r="E178" t="s">
        <v>36</v>
      </c>
      <c r="F178" t="s">
        <v>30</v>
      </c>
      <c r="G178" t="s">
        <v>456</v>
      </c>
      <c r="H178" s="9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34">
        <f>IF(TbRegistroSaídas[[#This Row],[Data do Caixa Previsto]]="",0,MONTH(TbRegistroSaídas[[#This Row],[Data do Caixa Previsto]]))</f>
        <v>2</v>
      </c>
      <c r="N178" s="34">
        <f>IF(TbRegistroSaídas[[#This Row],[Data do Caixa Previsto]]="",0,YEAR(TbRegistroSaídas[[#This Row],[Data do Caixa Previsto]]))</f>
        <v>2019</v>
      </c>
      <c r="O17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9" spans="2:15" x14ac:dyDescent="0.25">
      <c r="B179" s="8">
        <v>43487</v>
      </c>
      <c r="C179" s="8">
        <v>43487</v>
      </c>
      <c r="D179" s="8">
        <v>43487</v>
      </c>
      <c r="E179" t="s">
        <v>36</v>
      </c>
      <c r="F179" t="s">
        <v>34</v>
      </c>
      <c r="G179" t="s">
        <v>372</v>
      </c>
      <c r="H179" s="9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34">
        <f>IF(TbRegistroSaídas[[#This Row],[Data do Caixa Previsto]]="",0,MONTH(TbRegistroSaídas[[#This Row],[Data do Caixa Previsto]]))</f>
        <v>1</v>
      </c>
      <c r="N179" s="34">
        <f>IF(TbRegistroSaídas[[#This Row],[Data do Caixa Previsto]]="",0,YEAR(TbRegistroSaídas[[#This Row],[Data do Caixa Previsto]]))</f>
        <v>2019</v>
      </c>
      <c r="O17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0" spans="2:15" x14ac:dyDescent="0.25">
      <c r="B180" s="8">
        <v>43492</v>
      </c>
      <c r="C180" s="8">
        <v>43492</v>
      </c>
      <c r="D180" s="8">
        <v>43492</v>
      </c>
      <c r="E180" t="s">
        <v>36</v>
      </c>
      <c r="F180" t="s">
        <v>43</v>
      </c>
      <c r="G180" t="s">
        <v>457</v>
      </c>
      <c r="H180" s="9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34">
        <f>IF(TbRegistroSaídas[[#This Row],[Data do Caixa Previsto]]="",0,MONTH(TbRegistroSaídas[[#This Row],[Data do Caixa Previsto]]))</f>
        <v>1</v>
      </c>
      <c r="N180" s="34">
        <f>IF(TbRegistroSaídas[[#This Row],[Data do Caixa Previsto]]="",0,YEAR(TbRegistroSaídas[[#This Row],[Data do Caixa Previsto]]))</f>
        <v>2019</v>
      </c>
      <c r="O18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1" spans="2:15" x14ac:dyDescent="0.25">
      <c r="B181" s="8" t="s">
        <v>67</v>
      </c>
      <c r="C181" s="8">
        <v>43496</v>
      </c>
      <c r="D181" s="8">
        <v>43509</v>
      </c>
      <c r="E181" t="s">
        <v>36</v>
      </c>
      <c r="F181" t="s">
        <v>34</v>
      </c>
      <c r="G181" t="s">
        <v>458</v>
      </c>
      <c r="H181" s="9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34">
        <f>IF(TbRegistroSaídas[[#This Row],[Data do Caixa Previsto]]="",0,MONTH(TbRegistroSaídas[[#This Row],[Data do Caixa Previsto]]))</f>
        <v>2</v>
      </c>
      <c r="N181" s="34">
        <f>IF(TbRegistroSaídas[[#This Row],[Data do Caixa Previsto]]="",0,YEAR(TbRegistroSaídas[[#This Row],[Data do Caixa Previsto]]))</f>
        <v>2019</v>
      </c>
      <c r="O18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437</v>
      </c>
    </row>
    <row r="182" spans="2:15" x14ac:dyDescent="0.25">
      <c r="B182" s="8">
        <v>43520</v>
      </c>
      <c r="C182" s="8">
        <v>43497</v>
      </c>
      <c r="D182" s="8">
        <v>43520</v>
      </c>
      <c r="E182" t="s">
        <v>36</v>
      </c>
      <c r="F182" t="s">
        <v>31</v>
      </c>
      <c r="G182" t="s">
        <v>459</v>
      </c>
      <c r="H182" s="9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34">
        <f>IF(TbRegistroSaídas[[#This Row],[Data do Caixa Previsto]]="",0,MONTH(TbRegistroSaídas[[#This Row],[Data do Caixa Previsto]]))</f>
        <v>2</v>
      </c>
      <c r="N182" s="34">
        <f>IF(TbRegistroSaídas[[#This Row],[Data do Caixa Previsto]]="",0,YEAR(TbRegistroSaídas[[#This Row],[Data do Caixa Previsto]]))</f>
        <v>2019</v>
      </c>
      <c r="O18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3" spans="2:15" x14ac:dyDescent="0.25">
      <c r="B183" s="8">
        <v>43499</v>
      </c>
      <c r="C183" s="8">
        <v>43499</v>
      </c>
      <c r="D183" s="8">
        <v>43499</v>
      </c>
      <c r="E183" t="s">
        <v>36</v>
      </c>
      <c r="F183" t="s">
        <v>30</v>
      </c>
      <c r="G183" t="s">
        <v>460</v>
      </c>
      <c r="H183" s="9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34">
        <f>IF(TbRegistroSaídas[[#This Row],[Data do Caixa Previsto]]="",0,MONTH(TbRegistroSaídas[[#This Row],[Data do Caixa Previsto]]))</f>
        <v>2</v>
      </c>
      <c r="N183" s="34">
        <f>IF(TbRegistroSaídas[[#This Row],[Data do Caixa Previsto]]="",0,YEAR(TbRegistroSaídas[[#This Row],[Data do Caixa Previsto]]))</f>
        <v>2019</v>
      </c>
      <c r="O18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4" spans="2:15" x14ac:dyDescent="0.25">
      <c r="B184" s="8" t="s">
        <v>67</v>
      </c>
      <c r="C184" s="8">
        <v>43503</v>
      </c>
      <c r="D184" s="8">
        <v>43503</v>
      </c>
      <c r="E184" t="s">
        <v>36</v>
      </c>
      <c r="F184" t="s">
        <v>43</v>
      </c>
      <c r="G184" t="s">
        <v>461</v>
      </c>
      <c r="H184" s="9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34">
        <f>IF(TbRegistroSaídas[[#This Row],[Data do Caixa Previsto]]="",0,MONTH(TbRegistroSaídas[[#This Row],[Data do Caixa Previsto]]))</f>
        <v>2</v>
      </c>
      <c r="N184" s="34">
        <f>IF(TbRegistroSaídas[[#This Row],[Data do Caixa Previsto]]="",0,YEAR(TbRegistroSaídas[[#This Row],[Data do Caixa Previsto]]))</f>
        <v>2019</v>
      </c>
      <c r="O18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443</v>
      </c>
    </row>
    <row r="185" spans="2:15" x14ac:dyDescent="0.25">
      <c r="B185" s="8">
        <v>43505</v>
      </c>
      <c r="C185" s="8">
        <v>43505</v>
      </c>
      <c r="D185" s="8">
        <v>43505</v>
      </c>
      <c r="E185" t="s">
        <v>36</v>
      </c>
      <c r="F185" t="s">
        <v>32</v>
      </c>
      <c r="G185" t="s">
        <v>462</v>
      </c>
      <c r="H185" s="9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34">
        <f>IF(TbRegistroSaídas[[#This Row],[Data do Caixa Previsto]]="",0,MONTH(TbRegistroSaídas[[#This Row],[Data do Caixa Previsto]]))</f>
        <v>2</v>
      </c>
      <c r="N185" s="34">
        <f>IF(TbRegistroSaídas[[#This Row],[Data do Caixa Previsto]]="",0,YEAR(TbRegistroSaídas[[#This Row],[Data do Caixa Previsto]]))</f>
        <v>2019</v>
      </c>
      <c r="O18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6" spans="2:15" x14ac:dyDescent="0.25">
      <c r="B186" s="8">
        <v>43508</v>
      </c>
      <c r="C186" s="8">
        <v>43506</v>
      </c>
      <c r="D186" s="8">
        <v>43508</v>
      </c>
      <c r="E186" t="s">
        <v>36</v>
      </c>
      <c r="F186" t="s">
        <v>32</v>
      </c>
      <c r="G186" t="s">
        <v>463</v>
      </c>
      <c r="H186" s="9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34">
        <f>IF(TbRegistroSaídas[[#This Row],[Data do Caixa Previsto]]="",0,MONTH(TbRegistroSaídas[[#This Row],[Data do Caixa Previsto]]))</f>
        <v>2</v>
      </c>
      <c r="N186" s="34">
        <f>IF(TbRegistroSaídas[[#This Row],[Data do Caixa Previsto]]="",0,YEAR(TbRegistroSaídas[[#This Row],[Data do Caixa Previsto]]))</f>
        <v>2019</v>
      </c>
      <c r="O18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7" spans="2:15" x14ac:dyDescent="0.25">
      <c r="B187" s="8">
        <v>43555</v>
      </c>
      <c r="C187" s="8">
        <v>43508</v>
      </c>
      <c r="D187" s="8">
        <v>43555</v>
      </c>
      <c r="E187" t="s">
        <v>36</v>
      </c>
      <c r="F187" t="s">
        <v>31</v>
      </c>
      <c r="G187" t="s">
        <v>464</v>
      </c>
      <c r="H187" s="9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34">
        <f>IF(TbRegistroSaídas[[#This Row],[Data do Caixa Previsto]]="",0,MONTH(TbRegistroSaídas[[#This Row],[Data do Caixa Previsto]]))</f>
        <v>3</v>
      </c>
      <c r="N187" s="34">
        <f>IF(TbRegistroSaídas[[#This Row],[Data do Caixa Previsto]]="",0,YEAR(TbRegistroSaídas[[#This Row],[Data do Caixa Previsto]]))</f>
        <v>2019</v>
      </c>
      <c r="O18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8" spans="2:15" x14ac:dyDescent="0.25">
      <c r="B188" s="8">
        <v>43517</v>
      </c>
      <c r="C188" s="8">
        <v>43517</v>
      </c>
      <c r="D188" s="8">
        <v>43517</v>
      </c>
      <c r="E188" t="s">
        <v>36</v>
      </c>
      <c r="F188" t="s">
        <v>34</v>
      </c>
      <c r="G188" t="s">
        <v>465</v>
      </c>
      <c r="H188" s="9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34">
        <f>IF(TbRegistroSaídas[[#This Row],[Data do Caixa Previsto]]="",0,MONTH(TbRegistroSaídas[[#This Row],[Data do Caixa Previsto]]))</f>
        <v>2</v>
      </c>
      <c r="N188" s="34">
        <f>IF(TbRegistroSaídas[[#This Row],[Data do Caixa Previsto]]="",0,YEAR(TbRegistroSaídas[[#This Row],[Data do Caixa Previsto]]))</f>
        <v>2019</v>
      </c>
      <c r="O18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9" spans="2:15" x14ac:dyDescent="0.25">
      <c r="B189" s="8" t="s">
        <v>67</v>
      </c>
      <c r="C189" s="8">
        <v>43521</v>
      </c>
      <c r="D189" s="8">
        <v>43521</v>
      </c>
      <c r="E189" t="s">
        <v>36</v>
      </c>
      <c r="F189" t="s">
        <v>43</v>
      </c>
      <c r="G189" t="s">
        <v>466</v>
      </c>
      <c r="H189" s="9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34">
        <f>IF(TbRegistroSaídas[[#This Row],[Data do Caixa Previsto]]="",0,MONTH(TbRegistroSaídas[[#This Row],[Data do Caixa Previsto]]))</f>
        <v>2</v>
      </c>
      <c r="N189" s="34">
        <f>IF(TbRegistroSaídas[[#This Row],[Data do Caixa Previsto]]="",0,YEAR(TbRegistroSaídas[[#This Row],[Data do Caixa Previsto]]))</f>
        <v>2019</v>
      </c>
      <c r="O18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425</v>
      </c>
    </row>
    <row r="190" spans="2:15" x14ac:dyDescent="0.25">
      <c r="B190" s="8">
        <v>43531</v>
      </c>
      <c r="C190" s="8">
        <v>43523</v>
      </c>
      <c r="D190" s="8">
        <v>43531</v>
      </c>
      <c r="E190" t="s">
        <v>36</v>
      </c>
      <c r="F190" t="s">
        <v>32</v>
      </c>
      <c r="G190" t="s">
        <v>467</v>
      </c>
      <c r="H190" s="9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34">
        <f>IF(TbRegistroSaídas[[#This Row],[Data do Caixa Previsto]]="",0,MONTH(TbRegistroSaídas[[#This Row],[Data do Caixa Previsto]]))</f>
        <v>3</v>
      </c>
      <c r="N190" s="34">
        <f>IF(TbRegistroSaídas[[#This Row],[Data do Caixa Previsto]]="",0,YEAR(TbRegistroSaídas[[#This Row],[Data do Caixa Previsto]]))</f>
        <v>2019</v>
      </c>
      <c r="O19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1" spans="2:15" x14ac:dyDescent="0.25">
      <c r="B191" s="8">
        <v>43569</v>
      </c>
      <c r="C191" s="8">
        <v>43526</v>
      </c>
      <c r="D191" s="8">
        <v>43569</v>
      </c>
      <c r="E191" t="s">
        <v>36</v>
      </c>
      <c r="F191" t="s">
        <v>30</v>
      </c>
      <c r="G191" t="s">
        <v>468</v>
      </c>
      <c r="H191" s="9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34">
        <f>IF(TbRegistroSaídas[[#This Row],[Data do Caixa Previsto]]="",0,MONTH(TbRegistroSaídas[[#This Row],[Data do Caixa Previsto]]))</f>
        <v>4</v>
      </c>
      <c r="N191" s="34">
        <f>IF(TbRegistroSaídas[[#This Row],[Data do Caixa Previsto]]="",0,YEAR(TbRegistroSaídas[[#This Row],[Data do Caixa Previsto]]))</f>
        <v>2019</v>
      </c>
      <c r="O19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2" spans="2:15" x14ac:dyDescent="0.25">
      <c r="B192" s="8">
        <v>43567</v>
      </c>
      <c r="C192" s="8">
        <v>43530</v>
      </c>
      <c r="D192" s="8">
        <v>43567</v>
      </c>
      <c r="E192" t="s">
        <v>36</v>
      </c>
      <c r="F192" t="s">
        <v>30</v>
      </c>
      <c r="G192" t="s">
        <v>469</v>
      </c>
      <c r="H192" s="9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34">
        <f>IF(TbRegistroSaídas[[#This Row],[Data do Caixa Previsto]]="",0,MONTH(TbRegistroSaídas[[#This Row],[Data do Caixa Previsto]]))</f>
        <v>4</v>
      </c>
      <c r="N192" s="34">
        <f>IF(TbRegistroSaídas[[#This Row],[Data do Caixa Previsto]]="",0,YEAR(TbRegistroSaídas[[#This Row],[Data do Caixa Previsto]]))</f>
        <v>2019</v>
      </c>
      <c r="O19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3" spans="2:15" x14ac:dyDescent="0.25">
      <c r="B193" s="8">
        <v>43532</v>
      </c>
      <c r="C193" s="8">
        <v>43532</v>
      </c>
      <c r="D193" s="8">
        <v>43532</v>
      </c>
      <c r="E193" t="s">
        <v>36</v>
      </c>
      <c r="F193" t="s">
        <v>43</v>
      </c>
      <c r="G193" t="s">
        <v>470</v>
      </c>
      <c r="H193" s="9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34">
        <f>IF(TbRegistroSaídas[[#This Row],[Data do Caixa Previsto]]="",0,MONTH(TbRegistroSaídas[[#This Row],[Data do Caixa Previsto]]))</f>
        <v>3</v>
      </c>
      <c r="N193" s="34">
        <f>IF(TbRegistroSaídas[[#This Row],[Data do Caixa Previsto]]="",0,YEAR(TbRegistroSaídas[[#This Row],[Data do Caixa Previsto]]))</f>
        <v>2019</v>
      </c>
      <c r="O19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4" spans="2:15" x14ac:dyDescent="0.25">
      <c r="B194" s="8" t="s">
        <v>67</v>
      </c>
      <c r="C194" s="8">
        <v>43532</v>
      </c>
      <c r="D194" s="8">
        <v>43572</v>
      </c>
      <c r="E194" t="s">
        <v>36</v>
      </c>
      <c r="F194" t="s">
        <v>43</v>
      </c>
      <c r="G194" t="s">
        <v>471</v>
      </c>
      <c r="H194" s="9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34">
        <f>IF(TbRegistroSaídas[[#This Row],[Data do Caixa Previsto]]="",0,MONTH(TbRegistroSaídas[[#This Row],[Data do Caixa Previsto]]))</f>
        <v>4</v>
      </c>
      <c r="N194" s="34">
        <f>IF(TbRegistroSaídas[[#This Row],[Data do Caixa Previsto]]="",0,YEAR(TbRegistroSaídas[[#This Row],[Data do Caixa Previsto]]))</f>
        <v>2019</v>
      </c>
      <c r="O19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374</v>
      </c>
    </row>
    <row r="195" spans="2:15" x14ac:dyDescent="0.25">
      <c r="B195" s="8">
        <v>43570</v>
      </c>
      <c r="C195" s="8">
        <v>43534</v>
      </c>
      <c r="D195" s="8">
        <v>43570</v>
      </c>
      <c r="E195" t="s">
        <v>36</v>
      </c>
      <c r="F195" t="s">
        <v>34</v>
      </c>
      <c r="G195" t="s">
        <v>472</v>
      </c>
      <c r="H195" s="9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34">
        <f>IF(TbRegistroSaídas[[#This Row],[Data do Caixa Previsto]]="",0,MONTH(TbRegistroSaídas[[#This Row],[Data do Caixa Previsto]]))</f>
        <v>4</v>
      </c>
      <c r="N195" s="34">
        <f>IF(TbRegistroSaídas[[#This Row],[Data do Caixa Previsto]]="",0,YEAR(TbRegistroSaídas[[#This Row],[Data do Caixa Previsto]]))</f>
        <v>2019</v>
      </c>
      <c r="O19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6" spans="2:15" x14ac:dyDescent="0.25">
      <c r="B196" s="8">
        <v>43536</v>
      </c>
      <c r="C196" s="8">
        <v>43536</v>
      </c>
      <c r="D196" s="8">
        <v>43536</v>
      </c>
      <c r="E196" t="s">
        <v>36</v>
      </c>
      <c r="F196" t="s">
        <v>30</v>
      </c>
      <c r="G196" t="s">
        <v>473</v>
      </c>
      <c r="H196" s="9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34">
        <f>IF(TbRegistroSaídas[[#This Row],[Data do Caixa Previsto]]="",0,MONTH(TbRegistroSaídas[[#This Row],[Data do Caixa Previsto]]))</f>
        <v>3</v>
      </c>
      <c r="N196" s="34">
        <f>IF(TbRegistroSaídas[[#This Row],[Data do Caixa Previsto]]="",0,YEAR(TbRegistroSaídas[[#This Row],[Data do Caixa Previsto]]))</f>
        <v>2019</v>
      </c>
      <c r="O19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7" spans="2:15" x14ac:dyDescent="0.25">
      <c r="B197" s="8">
        <v>43576</v>
      </c>
      <c r="C197" s="8">
        <v>43537</v>
      </c>
      <c r="D197" s="8">
        <v>43576</v>
      </c>
      <c r="E197" t="s">
        <v>36</v>
      </c>
      <c r="F197" t="s">
        <v>34</v>
      </c>
      <c r="G197" t="s">
        <v>474</v>
      </c>
      <c r="H197" s="9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34">
        <f>IF(TbRegistroSaídas[[#This Row],[Data do Caixa Previsto]]="",0,MONTH(TbRegistroSaídas[[#This Row],[Data do Caixa Previsto]]))</f>
        <v>4</v>
      </c>
      <c r="N197" s="34">
        <f>IF(TbRegistroSaídas[[#This Row],[Data do Caixa Previsto]]="",0,YEAR(TbRegistroSaídas[[#This Row],[Data do Caixa Previsto]]))</f>
        <v>2019</v>
      </c>
      <c r="O19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8" spans="2:15" x14ac:dyDescent="0.25">
      <c r="B198" s="8">
        <v>43543</v>
      </c>
      <c r="C198" s="8">
        <v>43540</v>
      </c>
      <c r="D198" s="8">
        <v>43543</v>
      </c>
      <c r="E198" t="s">
        <v>36</v>
      </c>
      <c r="F198" t="s">
        <v>30</v>
      </c>
      <c r="G198" t="s">
        <v>475</v>
      </c>
      <c r="H198" s="9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34">
        <f>IF(TbRegistroSaídas[[#This Row],[Data do Caixa Previsto]]="",0,MONTH(TbRegistroSaídas[[#This Row],[Data do Caixa Previsto]]))</f>
        <v>3</v>
      </c>
      <c r="N198" s="34">
        <f>IF(TbRegistroSaídas[[#This Row],[Data do Caixa Previsto]]="",0,YEAR(TbRegistroSaídas[[#This Row],[Data do Caixa Previsto]]))</f>
        <v>2019</v>
      </c>
      <c r="O19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9" spans="2:15" x14ac:dyDescent="0.25">
      <c r="B199" s="8">
        <v>43543</v>
      </c>
      <c r="C199" s="8">
        <v>43543</v>
      </c>
      <c r="D199" s="8">
        <v>43543</v>
      </c>
      <c r="E199" t="s">
        <v>36</v>
      </c>
      <c r="F199" t="s">
        <v>34</v>
      </c>
      <c r="G199" t="s">
        <v>476</v>
      </c>
      <c r="H199" s="9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34">
        <f>IF(TbRegistroSaídas[[#This Row],[Data do Caixa Previsto]]="",0,MONTH(TbRegistroSaídas[[#This Row],[Data do Caixa Previsto]]))</f>
        <v>3</v>
      </c>
      <c r="N199" s="34">
        <f>IF(TbRegistroSaídas[[#This Row],[Data do Caixa Previsto]]="",0,YEAR(TbRegistroSaídas[[#This Row],[Data do Caixa Previsto]]))</f>
        <v>2019</v>
      </c>
      <c r="O19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0" spans="2:15" x14ac:dyDescent="0.25">
      <c r="B200" s="8">
        <v>43586</v>
      </c>
      <c r="C200" s="8">
        <v>43546</v>
      </c>
      <c r="D200" s="8">
        <v>43586</v>
      </c>
      <c r="E200" t="s">
        <v>36</v>
      </c>
      <c r="F200" t="s">
        <v>43</v>
      </c>
      <c r="G200" t="s">
        <v>477</v>
      </c>
      <c r="H200" s="9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34">
        <f>IF(TbRegistroSaídas[[#This Row],[Data do Caixa Previsto]]="",0,MONTH(TbRegistroSaídas[[#This Row],[Data do Caixa Previsto]]))</f>
        <v>5</v>
      </c>
      <c r="N200" s="34">
        <f>IF(TbRegistroSaídas[[#This Row],[Data do Caixa Previsto]]="",0,YEAR(TbRegistroSaídas[[#This Row],[Data do Caixa Previsto]]))</f>
        <v>2019</v>
      </c>
      <c r="O20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1" spans="2:15" x14ac:dyDescent="0.25">
      <c r="B201" s="8">
        <v>43551</v>
      </c>
      <c r="C201" s="8">
        <v>43551</v>
      </c>
      <c r="D201" s="8">
        <v>43551</v>
      </c>
      <c r="E201" t="s">
        <v>36</v>
      </c>
      <c r="F201" t="s">
        <v>32</v>
      </c>
      <c r="G201" t="s">
        <v>478</v>
      </c>
      <c r="H201" s="9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34">
        <f>IF(TbRegistroSaídas[[#This Row],[Data do Caixa Previsto]]="",0,MONTH(TbRegistroSaídas[[#This Row],[Data do Caixa Previsto]]))</f>
        <v>3</v>
      </c>
      <c r="N201" s="34">
        <f>IF(TbRegistroSaídas[[#This Row],[Data do Caixa Previsto]]="",0,YEAR(TbRegistroSaídas[[#This Row],[Data do Caixa Previsto]]))</f>
        <v>2019</v>
      </c>
      <c r="O20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2" spans="2:15" x14ac:dyDescent="0.25">
      <c r="B202" s="8">
        <v>43557</v>
      </c>
      <c r="C202" s="8">
        <v>43557</v>
      </c>
      <c r="D202" s="8">
        <v>43557</v>
      </c>
      <c r="E202" t="s">
        <v>36</v>
      </c>
      <c r="F202" t="s">
        <v>30</v>
      </c>
      <c r="G202" t="s">
        <v>479</v>
      </c>
      <c r="H202" s="9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34">
        <f>IF(TbRegistroSaídas[[#This Row],[Data do Caixa Previsto]]="",0,MONTH(TbRegistroSaídas[[#This Row],[Data do Caixa Previsto]]))</f>
        <v>4</v>
      </c>
      <c r="N202" s="34">
        <f>IF(TbRegistroSaídas[[#This Row],[Data do Caixa Previsto]]="",0,YEAR(TbRegistroSaídas[[#This Row],[Data do Caixa Previsto]]))</f>
        <v>2019</v>
      </c>
      <c r="O20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3" spans="2:15" x14ac:dyDescent="0.25">
      <c r="B203" s="8">
        <v>43560</v>
      </c>
      <c r="C203" s="8">
        <v>43558</v>
      </c>
      <c r="D203" s="8">
        <v>43560</v>
      </c>
      <c r="E203" t="s">
        <v>36</v>
      </c>
      <c r="F203" t="s">
        <v>43</v>
      </c>
      <c r="G203" t="s">
        <v>480</v>
      </c>
      <c r="H203" s="9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34">
        <f>IF(TbRegistroSaídas[[#This Row],[Data do Caixa Previsto]]="",0,MONTH(TbRegistroSaídas[[#This Row],[Data do Caixa Previsto]]))</f>
        <v>4</v>
      </c>
      <c r="N203" s="34">
        <f>IF(TbRegistroSaídas[[#This Row],[Data do Caixa Previsto]]="",0,YEAR(TbRegistroSaídas[[#This Row],[Data do Caixa Previsto]]))</f>
        <v>2019</v>
      </c>
      <c r="O20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4" spans="2:15" x14ac:dyDescent="0.25">
      <c r="B204" s="8" t="s">
        <v>67</v>
      </c>
      <c r="C204" s="8">
        <v>43561</v>
      </c>
      <c r="D204" s="8">
        <v>43605</v>
      </c>
      <c r="E204" t="s">
        <v>36</v>
      </c>
      <c r="F204" t="s">
        <v>32</v>
      </c>
      <c r="G204" t="s">
        <v>481</v>
      </c>
      <c r="H204" s="9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34">
        <f>IF(TbRegistroSaídas[[#This Row],[Data do Caixa Previsto]]="",0,MONTH(TbRegistroSaídas[[#This Row],[Data do Caixa Previsto]]))</f>
        <v>5</v>
      </c>
      <c r="N204" s="34">
        <f>IF(TbRegistroSaídas[[#This Row],[Data do Caixa Previsto]]="",0,YEAR(TbRegistroSaídas[[#This Row],[Data do Caixa Previsto]]))</f>
        <v>2019</v>
      </c>
      <c r="O20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341</v>
      </c>
    </row>
    <row r="205" spans="2:15" x14ac:dyDescent="0.25">
      <c r="B205" s="8">
        <v>43647</v>
      </c>
      <c r="C205" s="8">
        <v>43563</v>
      </c>
      <c r="D205" s="8">
        <v>43603</v>
      </c>
      <c r="E205" t="s">
        <v>36</v>
      </c>
      <c r="F205" t="s">
        <v>43</v>
      </c>
      <c r="G205" t="s">
        <v>482</v>
      </c>
      <c r="H205" s="9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34">
        <f>IF(TbRegistroSaídas[[#This Row],[Data do Caixa Previsto]]="",0,MONTH(TbRegistroSaídas[[#This Row],[Data do Caixa Previsto]]))</f>
        <v>5</v>
      </c>
      <c r="N205" s="34">
        <f>IF(TbRegistroSaídas[[#This Row],[Data do Caixa Previsto]]="",0,YEAR(TbRegistroSaídas[[#This Row],[Data do Caixa Previsto]]))</f>
        <v>2019</v>
      </c>
      <c r="O20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</v>
      </c>
    </row>
    <row r="206" spans="2:15" x14ac:dyDescent="0.25">
      <c r="B206" s="8">
        <v>43578</v>
      </c>
      <c r="C206" s="8">
        <v>43565</v>
      </c>
      <c r="D206" s="8">
        <v>43565</v>
      </c>
      <c r="E206" t="s">
        <v>36</v>
      </c>
      <c r="F206" t="s">
        <v>43</v>
      </c>
      <c r="G206" t="s">
        <v>483</v>
      </c>
      <c r="H206" s="9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34">
        <f>IF(TbRegistroSaídas[[#This Row],[Data do Caixa Previsto]]="",0,MONTH(TbRegistroSaídas[[#This Row],[Data do Caixa Previsto]]))</f>
        <v>4</v>
      </c>
      <c r="N206" s="34">
        <f>IF(TbRegistroSaídas[[#This Row],[Data do Caixa Previsto]]="",0,YEAR(TbRegistroSaídas[[#This Row],[Data do Caixa Previsto]]))</f>
        <v>2019</v>
      </c>
      <c r="O20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207" spans="2:15" x14ac:dyDescent="0.25">
      <c r="B207" s="8">
        <v>43584</v>
      </c>
      <c r="C207" s="8">
        <v>43569</v>
      </c>
      <c r="D207" s="8">
        <v>43584</v>
      </c>
      <c r="E207" t="s">
        <v>36</v>
      </c>
      <c r="F207" t="s">
        <v>43</v>
      </c>
      <c r="G207" t="s">
        <v>484</v>
      </c>
      <c r="H207" s="9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34">
        <f>IF(TbRegistroSaídas[[#This Row],[Data do Caixa Previsto]]="",0,MONTH(TbRegistroSaídas[[#This Row],[Data do Caixa Previsto]]))</f>
        <v>4</v>
      </c>
      <c r="N207" s="34">
        <f>IF(TbRegistroSaídas[[#This Row],[Data do Caixa Previsto]]="",0,YEAR(TbRegistroSaídas[[#This Row],[Data do Caixa Previsto]]))</f>
        <v>2019</v>
      </c>
      <c r="O20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8" spans="2:15" x14ac:dyDescent="0.25">
      <c r="B208" s="8">
        <v>43572</v>
      </c>
      <c r="C208" s="8">
        <v>43572</v>
      </c>
      <c r="D208" s="8">
        <v>43572</v>
      </c>
      <c r="E208" t="s">
        <v>36</v>
      </c>
      <c r="F208" t="s">
        <v>31</v>
      </c>
      <c r="G208" t="s">
        <v>485</v>
      </c>
      <c r="H208" s="9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34">
        <f>IF(TbRegistroSaídas[[#This Row],[Data do Caixa Previsto]]="",0,MONTH(TbRegistroSaídas[[#This Row],[Data do Caixa Previsto]]))</f>
        <v>4</v>
      </c>
      <c r="N208" s="34">
        <f>IF(TbRegistroSaídas[[#This Row],[Data do Caixa Previsto]]="",0,YEAR(TbRegistroSaídas[[#This Row],[Data do Caixa Previsto]]))</f>
        <v>2019</v>
      </c>
      <c r="O20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9" spans="2:15" x14ac:dyDescent="0.25">
      <c r="B209" s="8" t="s">
        <v>67</v>
      </c>
      <c r="C209" s="8">
        <v>43574</v>
      </c>
      <c r="D209" s="8">
        <v>43589</v>
      </c>
      <c r="E209" t="s">
        <v>36</v>
      </c>
      <c r="F209" t="s">
        <v>43</v>
      </c>
      <c r="G209" t="s">
        <v>486</v>
      </c>
      <c r="H209" s="9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34">
        <f>IF(TbRegistroSaídas[[#This Row],[Data do Caixa Previsto]]="",0,MONTH(TbRegistroSaídas[[#This Row],[Data do Caixa Previsto]]))</f>
        <v>5</v>
      </c>
      <c r="N209" s="34">
        <f>IF(TbRegistroSaídas[[#This Row],[Data do Caixa Previsto]]="",0,YEAR(TbRegistroSaídas[[#This Row],[Data do Caixa Previsto]]))</f>
        <v>2019</v>
      </c>
      <c r="O20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357</v>
      </c>
    </row>
    <row r="210" spans="2:15" x14ac:dyDescent="0.25">
      <c r="B210" s="8">
        <v>43586</v>
      </c>
      <c r="C210" s="8">
        <v>43576</v>
      </c>
      <c r="D210" s="8">
        <v>43586</v>
      </c>
      <c r="E210" t="s">
        <v>36</v>
      </c>
      <c r="F210" t="s">
        <v>43</v>
      </c>
      <c r="G210" t="s">
        <v>487</v>
      </c>
      <c r="H210" s="9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34">
        <f>IF(TbRegistroSaídas[[#This Row],[Data do Caixa Previsto]]="",0,MONTH(TbRegistroSaídas[[#This Row],[Data do Caixa Previsto]]))</f>
        <v>5</v>
      </c>
      <c r="N210" s="34">
        <f>IF(TbRegistroSaídas[[#This Row],[Data do Caixa Previsto]]="",0,YEAR(TbRegistroSaídas[[#This Row],[Data do Caixa Previsto]]))</f>
        <v>2019</v>
      </c>
      <c r="O21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1" spans="2:15" x14ac:dyDescent="0.25">
      <c r="B211" s="8">
        <v>43661</v>
      </c>
      <c r="C211" s="8">
        <v>43580</v>
      </c>
      <c r="D211" s="8">
        <v>43635</v>
      </c>
      <c r="E211" t="s">
        <v>36</v>
      </c>
      <c r="F211" t="s">
        <v>43</v>
      </c>
      <c r="G211" t="s">
        <v>488</v>
      </c>
      <c r="H211" s="9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34">
        <f>IF(TbRegistroSaídas[[#This Row],[Data do Caixa Previsto]]="",0,MONTH(TbRegistroSaídas[[#This Row],[Data do Caixa Previsto]]))</f>
        <v>6</v>
      </c>
      <c r="N211" s="34">
        <f>IF(TbRegistroSaídas[[#This Row],[Data do Caixa Previsto]]="",0,YEAR(TbRegistroSaídas[[#This Row],[Data do Caixa Previsto]]))</f>
        <v>2019</v>
      </c>
      <c r="O21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</v>
      </c>
    </row>
    <row r="212" spans="2:15" x14ac:dyDescent="0.25">
      <c r="B212" s="8">
        <v>43622</v>
      </c>
      <c r="C212" s="8">
        <v>43582</v>
      </c>
      <c r="D212" s="8">
        <v>43622</v>
      </c>
      <c r="E212" t="s">
        <v>36</v>
      </c>
      <c r="F212" t="s">
        <v>31</v>
      </c>
      <c r="G212" t="s">
        <v>489</v>
      </c>
      <c r="H212" s="9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34">
        <f>IF(TbRegistroSaídas[[#This Row],[Data do Caixa Previsto]]="",0,MONTH(TbRegistroSaídas[[#This Row],[Data do Caixa Previsto]]))</f>
        <v>6</v>
      </c>
      <c r="N212" s="34">
        <f>IF(TbRegistroSaídas[[#This Row],[Data do Caixa Previsto]]="",0,YEAR(TbRegistroSaídas[[#This Row],[Data do Caixa Previsto]]))</f>
        <v>2019</v>
      </c>
      <c r="O21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3" spans="2:15" x14ac:dyDescent="0.25">
      <c r="B213" s="8">
        <v>43624</v>
      </c>
      <c r="C213" s="8">
        <v>43588</v>
      </c>
      <c r="D213" s="8">
        <v>43624</v>
      </c>
      <c r="E213" t="s">
        <v>36</v>
      </c>
      <c r="F213" t="s">
        <v>43</v>
      </c>
      <c r="G213" t="s">
        <v>490</v>
      </c>
      <c r="H213" s="9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34">
        <f>IF(TbRegistroSaídas[[#This Row],[Data do Caixa Previsto]]="",0,MONTH(TbRegistroSaídas[[#This Row],[Data do Caixa Previsto]]))</f>
        <v>6</v>
      </c>
      <c r="N213" s="34">
        <f>IF(TbRegistroSaídas[[#This Row],[Data do Caixa Previsto]]="",0,YEAR(TbRegistroSaídas[[#This Row],[Data do Caixa Previsto]]))</f>
        <v>2019</v>
      </c>
      <c r="O21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4" spans="2:15" x14ac:dyDescent="0.25">
      <c r="B214" s="8">
        <v>43595</v>
      </c>
      <c r="C214" s="8">
        <v>43590</v>
      </c>
      <c r="D214" s="8">
        <v>43595</v>
      </c>
      <c r="E214" t="s">
        <v>36</v>
      </c>
      <c r="F214" t="s">
        <v>43</v>
      </c>
      <c r="G214" t="s">
        <v>491</v>
      </c>
      <c r="H214" s="9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34">
        <f>IF(TbRegistroSaídas[[#This Row],[Data do Caixa Previsto]]="",0,MONTH(TbRegistroSaídas[[#This Row],[Data do Caixa Previsto]]))</f>
        <v>5</v>
      </c>
      <c r="N214" s="34">
        <f>IF(TbRegistroSaídas[[#This Row],[Data do Caixa Previsto]]="",0,YEAR(TbRegistroSaídas[[#This Row],[Data do Caixa Previsto]]))</f>
        <v>2019</v>
      </c>
      <c r="O21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5" spans="2:15" x14ac:dyDescent="0.25">
      <c r="B215" s="8">
        <v>43613</v>
      </c>
      <c r="C215" s="8">
        <v>43591</v>
      </c>
      <c r="D215" s="8">
        <v>43613</v>
      </c>
      <c r="E215" t="s">
        <v>36</v>
      </c>
      <c r="F215" t="s">
        <v>31</v>
      </c>
      <c r="G215" t="s">
        <v>492</v>
      </c>
      <c r="H215" s="9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34">
        <f>IF(TbRegistroSaídas[[#This Row],[Data do Caixa Previsto]]="",0,MONTH(TbRegistroSaídas[[#This Row],[Data do Caixa Previsto]]))</f>
        <v>5</v>
      </c>
      <c r="N215" s="34">
        <f>IF(TbRegistroSaídas[[#This Row],[Data do Caixa Previsto]]="",0,YEAR(TbRegistroSaídas[[#This Row],[Data do Caixa Previsto]]))</f>
        <v>2019</v>
      </c>
      <c r="O21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6" spans="2:15" x14ac:dyDescent="0.25">
      <c r="B216" s="8">
        <v>43623</v>
      </c>
      <c r="C216" s="8">
        <v>43592</v>
      </c>
      <c r="D216" s="8">
        <v>43623</v>
      </c>
      <c r="E216" t="s">
        <v>36</v>
      </c>
      <c r="F216" t="s">
        <v>31</v>
      </c>
      <c r="G216" t="s">
        <v>493</v>
      </c>
      <c r="H216" s="9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34">
        <f>IF(TbRegistroSaídas[[#This Row],[Data do Caixa Previsto]]="",0,MONTH(TbRegistroSaídas[[#This Row],[Data do Caixa Previsto]]))</f>
        <v>6</v>
      </c>
      <c r="N216" s="34">
        <f>IF(TbRegistroSaídas[[#This Row],[Data do Caixa Previsto]]="",0,YEAR(TbRegistroSaídas[[#This Row],[Data do Caixa Previsto]]))</f>
        <v>2019</v>
      </c>
      <c r="O21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7" spans="2:15" x14ac:dyDescent="0.25">
      <c r="B217" s="8">
        <v>43645</v>
      </c>
      <c r="C217" s="8">
        <v>43594</v>
      </c>
      <c r="D217" s="8">
        <v>43645</v>
      </c>
      <c r="E217" t="s">
        <v>36</v>
      </c>
      <c r="F217" t="s">
        <v>31</v>
      </c>
      <c r="G217" t="s">
        <v>494</v>
      </c>
      <c r="H217" s="9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34">
        <f>IF(TbRegistroSaídas[[#This Row],[Data do Caixa Previsto]]="",0,MONTH(TbRegistroSaídas[[#This Row],[Data do Caixa Previsto]]))</f>
        <v>6</v>
      </c>
      <c r="N217" s="34">
        <f>IF(TbRegistroSaídas[[#This Row],[Data do Caixa Previsto]]="",0,YEAR(TbRegistroSaídas[[#This Row],[Data do Caixa Previsto]]))</f>
        <v>2019</v>
      </c>
      <c r="O21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8" spans="2:15" x14ac:dyDescent="0.25">
      <c r="B218" s="8">
        <v>43614</v>
      </c>
      <c r="C218" s="8">
        <v>43595</v>
      </c>
      <c r="D218" s="8">
        <v>43614</v>
      </c>
      <c r="E218" t="s">
        <v>36</v>
      </c>
      <c r="F218" t="s">
        <v>31</v>
      </c>
      <c r="G218" t="s">
        <v>495</v>
      </c>
      <c r="H218" s="9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34">
        <f>IF(TbRegistroSaídas[[#This Row],[Data do Caixa Previsto]]="",0,MONTH(TbRegistroSaídas[[#This Row],[Data do Caixa Previsto]]))</f>
        <v>5</v>
      </c>
      <c r="N218" s="34">
        <f>IF(TbRegistroSaídas[[#This Row],[Data do Caixa Previsto]]="",0,YEAR(TbRegistroSaídas[[#This Row],[Data do Caixa Previsto]]))</f>
        <v>2019</v>
      </c>
      <c r="O21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9" spans="2:15" x14ac:dyDescent="0.25">
      <c r="B219" s="8">
        <v>43598</v>
      </c>
      <c r="C219" s="8">
        <v>43598</v>
      </c>
      <c r="D219" s="8">
        <v>43598</v>
      </c>
      <c r="E219" t="s">
        <v>36</v>
      </c>
      <c r="F219" t="s">
        <v>34</v>
      </c>
      <c r="G219" t="s">
        <v>496</v>
      </c>
      <c r="H219" s="9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34">
        <f>IF(TbRegistroSaídas[[#This Row],[Data do Caixa Previsto]]="",0,MONTH(TbRegistroSaídas[[#This Row],[Data do Caixa Previsto]]))</f>
        <v>5</v>
      </c>
      <c r="N219" s="34">
        <f>IF(TbRegistroSaídas[[#This Row],[Data do Caixa Previsto]]="",0,YEAR(TbRegistroSaídas[[#This Row],[Data do Caixa Previsto]]))</f>
        <v>2019</v>
      </c>
      <c r="O21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0" spans="2:15" x14ac:dyDescent="0.25">
      <c r="B220" s="8">
        <v>43601</v>
      </c>
      <c r="C220" s="8">
        <v>43601</v>
      </c>
      <c r="D220" s="8">
        <v>43601</v>
      </c>
      <c r="E220" t="s">
        <v>36</v>
      </c>
      <c r="F220" t="s">
        <v>43</v>
      </c>
      <c r="G220" t="s">
        <v>497</v>
      </c>
      <c r="H220" s="9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34">
        <f>IF(TbRegistroSaídas[[#This Row],[Data do Caixa Previsto]]="",0,MONTH(TbRegistroSaídas[[#This Row],[Data do Caixa Previsto]]))</f>
        <v>5</v>
      </c>
      <c r="N220" s="34">
        <f>IF(TbRegistroSaídas[[#This Row],[Data do Caixa Previsto]]="",0,YEAR(TbRegistroSaídas[[#This Row],[Data do Caixa Previsto]]))</f>
        <v>2019</v>
      </c>
      <c r="O22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1" spans="2:15" x14ac:dyDescent="0.25">
      <c r="B221" s="8">
        <v>43604</v>
      </c>
      <c r="C221" s="8">
        <v>43604</v>
      </c>
      <c r="D221" s="8">
        <v>43604</v>
      </c>
      <c r="E221" t="s">
        <v>36</v>
      </c>
      <c r="F221" t="s">
        <v>34</v>
      </c>
      <c r="G221" t="s">
        <v>498</v>
      </c>
      <c r="H221" s="9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34">
        <f>IF(TbRegistroSaídas[[#This Row],[Data do Caixa Previsto]]="",0,MONTH(TbRegistroSaídas[[#This Row],[Data do Caixa Previsto]]))</f>
        <v>5</v>
      </c>
      <c r="N221" s="34">
        <f>IF(TbRegistroSaídas[[#This Row],[Data do Caixa Previsto]]="",0,YEAR(TbRegistroSaídas[[#This Row],[Data do Caixa Previsto]]))</f>
        <v>2019</v>
      </c>
      <c r="O22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2" spans="2:15" x14ac:dyDescent="0.25">
      <c r="B222" s="8">
        <v>43626</v>
      </c>
      <c r="C222" s="8">
        <v>43607</v>
      </c>
      <c r="D222" s="8">
        <v>43626</v>
      </c>
      <c r="E222" t="s">
        <v>36</v>
      </c>
      <c r="F222" t="s">
        <v>43</v>
      </c>
      <c r="G222" t="s">
        <v>499</v>
      </c>
      <c r="H222" s="9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34">
        <f>IF(TbRegistroSaídas[[#This Row],[Data do Caixa Previsto]]="",0,MONTH(TbRegistroSaídas[[#This Row],[Data do Caixa Previsto]]))</f>
        <v>6</v>
      </c>
      <c r="N222" s="34">
        <f>IF(TbRegistroSaídas[[#This Row],[Data do Caixa Previsto]]="",0,YEAR(TbRegistroSaídas[[#This Row],[Data do Caixa Previsto]]))</f>
        <v>2019</v>
      </c>
      <c r="O22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3" spans="2:15" x14ac:dyDescent="0.25">
      <c r="B223" s="8">
        <v>43610</v>
      </c>
      <c r="C223" s="8">
        <v>43610</v>
      </c>
      <c r="D223" s="8">
        <v>43610</v>
      </c>
      <c r="E223" t="s">
        <v>36</v>
      </c>
      <c r="F223" t="s">
        <v>30</v>
      </c>
      <c r="G223" t="s">
        <v>500</v>
      </c>
      <c r="H223" s="9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34">
        <f>IF(TbRegistroSaídas[[#This Row],[Data do Caixa Previsto]]="",0,MONTH(TbRegistroSaídas[[#This Row],[Data do Caixa Previsto]]))</f>
        <v>5</v>
      </c>
      <c r="N223" s="34">
        <f>IF(TbRegistroSaídas[[#This Row],[Data do Caixa Previsto]]="",0,YEAR(TbRegistroSaídas[[#This Row],[Data do Caixa Previsto]]))</f>
        <v>2019</v>
      </c>
      <c r="O22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4" spans="2:15" x14ac:dyDescent="0.25">
      <c r="B224" s="8" t="s">
        <v>67</v>
      </c>
      <c r="C224" s="8">
        <v>43614</v>
      </c>
      <c r="D224" s="8">
        <v>43645</v>
      </c>
      <c r="E224" t="s">
        <v>36</v>
      </c>
      <c r="F224" t="s">
        <v>43</v>
      </c>
      <c r="G224" t="s">
        <v>344</v>
      </c>
      <c r="H224" s="9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34">
        <f>IF(TbRegistroSaídas[[#This Row],[Data do Caixa Previsto]]="",0,MONTH(TbRegistroSaídas[[#This Row],[Data do Caixa Previsto]]))</f>
        <v>6</v>
      </c>
      <c r="N224" s="34">
        <f>IF(TbRegistroSaídas[[#This Row],[Data do Caixa Previsto]]="",0,YEAR(TbRegistroSaídas[[#This Row],[Data do Caixa Previsto]]))</f>
        <v>2019</v>
      </c>
      <c r="O22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301</v>
      </c>
    </row>
    <row r="225" spans="2:15" x14ac:dyDescent="0.25">
      <c r="B225" s="8">
        <v>43628</v>
      </c>
      <c r="C225" s="8">
        <v>43619</v>
      </c>
      <c r="D225" s="8">
        <v>43628</v>
      </c>
      <c r="E225" t="s">
        <v>36</v>
      </c>
      <c r="F225" t="s">
        <v>31</v>
      </c>
      <c r="G225" t="s">
        <v>501</v>
      </c>
      <c r="H225" s="9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34">
        <f>IF(TbRegistroSaídas[[#This Row],[Data do Caixa Previsto]]="",0,MONTH(TbRegistroSaídas[[#This Row],[Data do Caixa Previsto]]))</f>
        <v>6</v>
      </c>
      <c r="N225" s="34">
        <f>IF(TbRegistroSaídas[[#This Row],[Data do Caixa Previsto]]="",0,YEAR(TbRegistroSaídas[[#This Row],[Data do Caixa Previsto]]))</f>
        <v>2019</v>
      </c>
      <c r="O22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6" spans="2:15" x14ac:dyDescent="0.25">
      <c r="B226" s="8">
        <v>43639</v>
      </c>
      <c r="C226" s="8">
        <v>43623</v>
      </c>
      <c r="D226" s="8">
        <v>43639</v>
      </c>
      <c r="E226" t="s">
        <v>36</v>
      </c>
      <c r="F226" t="s">
        <v>34</v>
      </c>
      <c r="G226" t="s">
        <v>502</v>
      </c>
      <c r="H226" s="9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34">
        <f>IF(TbRegistroSaídas[[#This Row],[Data do Caixa Previsto]]="",0,MONTH(TbRegistroSaídas[[#This Row],[Data do Caixa Previsto]]))</f>
        <v>6</v>
      </c>
      <c r="N226" s="34">
        <f>IF(TbRegistroSaídas[[#This Row],[Data do Caixa Previsto]]="",0,YEAR(TbRegistroSaídas[[#This Row],[Data do Caixa Previsto]]))</f>
        <v>2019</v>
      </c>
      <c r="O22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7" spans="2:15" x14ac:dyDescent="0.25">
      <c r="B227" s="8">
        <v>43625</v>
      </c>
      <c r="C227" s="8">
        <v>43625</v>
      </c>
      <c r="D227" s="8">
        <v>43625</v>
      </c>
      <c r="E227" t="s">
        <v>36</v>
      </c>
      <c r="F227" t="s">
        <v>43</v>
      </c>
      <c r="G227" t="s">
        <v>503</v>
      </c>
      <c r="H227" s="9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34">
        <f>IF(TbRegistroSaídas[[#This Row],[Data do Caixa Previsto]]="",0,MONTH(TbRegistroSaídas[[#This Row],[Data do Caixa Previsto]]))</f>
        <v>6</v>
      </c>
      <c r="N227" s="34">
        <f>IF(TbRegistroSaídas[[#This Row],[Data do Caixa Previsto]]="",0,YEAR(TbRegistroSaídas[[#This Row],[Data do Caixa Previsto]]))</f>
        <v>2019</v>
      </c>
      <c r="O22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8" spans="2:15" x14ac:dyDescent="0.25">
      <c r="B228" s="8">
        <v>43664</v>
      </c>
      <c r="C228" s="8">
        <v>43632</v>
      </c>
      <c r="D228" s="8">
        <v>43664</v>
      </c>
      <c r="E228" t="s">
        <v>36</v>
      </c>
      <c r="F228" t="s">
        <v>34</v>
      </c>
      <c r="G228" t="s">
        <v>504</v>
      </c>
      <c r="H228" s="9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34">
        <f>IF(TbRegistroSaídas[[#This Row],[Data do Caixa Previsto]]="",0,MONTH(TbRegistroSaídas[[#This Row],[Data do Caixa Previsto]]))</f>
        <v>7</v>
      </c>
      <c r="N228" s="34">
        <f>IF(TbRegistroSaídas[[#This Row],[Data do Caixa Previsto]]="",0,YEAR(TbRegistroSaídas[[#This Row],[Data do Caixa Previsto]]))</f>
        <v>2019</v>
      </c>
      <c r="O22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9" spans="2:15" x14ac:dyDescent="0.25">
      <c r="B229" s="8" t="s">
        <v>67</v>
      </c>
      <c r="C229" s="8">
        <v>43635</v>
      </c>
      <c r="D229" s="8">
        <v>43686</v>
      </c>
      <c r="E229" t="s">
        <v>36</v>
      </c>
      <c r="F229" t="s">
        <v>34</v>
      </c>
      <c r="G229" t="s">
        <v>505</v>
      </c>
      <c r="H229" s="9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34">
        <f>IF(TbRegistroSaídas[[#This Row],[Data do Caixa Previsto]]="",0,MONTH(TbRegistroSaídas[[#This Row],[Data do Caixa Previsto]]))</f>
        <v>8</v>
      </c>
      <c r="N229" s="34">
        <f>IF(TbRegistroSaídas[[#This Row],[Data do Caixa Previsto]]="",0,YEAR(TbRegistroSaídas[[#This Row],[Data do Caixa Previsto]]))</f>
        <v>2019</v>
      </c>
      <c r="O22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260</v>
      </c>
    </row>
    <row r="230" spans="2:15" x14ac:dyDescent="0.25">
      <c r="B230" s="8">
        <v>43637</v>
      </c>
      <c r="C230" s="8">
        <v>43637</v>
      </c>
      <c r="D230" s="8">
        <v>43637</v>
      </c>
      <c r="E230" t="s">
        <v>36</v>
      </c>
      <c r="F230" t="s">
        <v>34</v>
      </c>
      <c r="G230" t="s">
        <v>506</v>
      </c>
      <c r="H230" s="9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34">
        <f>IF(TbRegistroSaídas[[#This Row],[Data do Caixa Previsto]]="",0,MONTH(TbRegistroSaídas[[#This Row],[Data do Caixa Previsto]]))</f>
        <v>6</v>
      </c>
      <c r="N230" s="34">
        <f>IF(TbRegistroSaídas[[#This Row],[Data do Caixa Previsto]]="",0,YEAR(TbRegistroSaídas[[#This Row],[Data do Caixa Previsto]]))</f>
        <v>2019</v>
      </c>
      <c r="O23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1" spans="2:15" x14ac:dyDescent="0.25">
      <c r="B231" s="8">
        <v>43639</v>
      </c>
      <c r="C231" s="8">
        <v>43639</v>
      </c>
      <c r="D231" s="8">
        <v>43639</v>
      </c>
      <c r="E231" t="s">
        <v>36</v>
      </c>
      <c r="F231" t="s">
        <v>34</v>
      </c>
      <c r="G231" t="s">
        <v>507</v>
      </c>
      <c r="H231" s="9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34">
        <f>IF(TbRegistroSaídas[[#This Row],[Data do Caixa Previsto]]="",0,MONTH(TbRegistroSaídas[[#This Row],[Data do Caixa Previsto]]))</f>
        <v>6</v>
      </c>
      <c r="N231" s="34">
        <f>IF(TbRegistroSaídas[[#This Row],[Data do Caixa Previsto]]="",0,YEAR(TbRegistroSaídas[[#This Row],[Data do Caixa Previsto]]))</f>
        <v>2019</v>
      </c>
      <c r="O23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2" spans="2:15" x14ac:dyDescent="0.25">
      <c r="B232" s="8">
        <v>43653</v>
      </c>
      <c r="C232" s="8">
        <v>43646</v>
      </c>
      <c r="D232" s="8">
        <v>43653</v>
      </c>
      <c r="E232" t="s">
        <v>36</v>
      </c>
      <c r="F232" t="s">
        <v>43</v>
      </c>
      <c r="G232" t="s">
        <v>508</v>
      </c>
      <c r="H232" s="9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34">
        <f>IF(TbRegistroSaídas[[#This Row],[Data do Caixa Previsto]]="",0,MONTH(TbRegistroSaídas[[#This Row],[Data do Caixa Previsto]]))</f>
        <v>7</v>
      </c>
      <c r="N232" s="34">
        <f>IF(TbRegistroSaídas[[#This Row],[Data do Caixa Previsto]]="",0,YEAR(TbRegistroSaídas[[#This Row],[Data do Caixa Previsto]]))</f>
        <v>2019</v>
      </c>
      <c r="O23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showRowColHeaders="0" zoomScaleNormal="100" workbookViewId="0">
      <selection activeCell="C3" sqref="C3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33" t="s">
        <v>11</v>
      </c>
      <c r="K1" s="133"/>
      <c r="L1" s="133"/>
      <c r="M1" s="133"/>
      <c r="N1" s="133"/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14" t="s">
        <v>509</v>
      </c>
      <c r="C3" s="157">
        <v>2019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13" t="s">
        <v>510</v>
      </c>
    </row>
    <row r="7" spans="2:14" ht="20.100000000000001" customHeight="1" x14ac:dyDescent="0.25">
      <c r="B7" s="17" t="s">
        <v>511</v>
      </c>
      <c r="C7" s="15" t="s">
        <v>514</v>
      </c>
      <c r="D7" s="15" t="s">
        <v>515</v>
      </c>
      <c r="E7" s="15" t="s">
        <v>516</v>
      </c>
      <c r="F7" s="15" t="s">
        <v>517</v>
      </c>
      <c r="G7" s="15" t="s">
        <v>518</v>
      </c>
      <c r="H7" s="15" t="s">
        <v>519</v>
      </c>
      <c r="I7" s="15" t="s">
        <v>520</v>
      </c>
      <c r="J7" s="15" t="s">
        <v>521</v>
      </c>
      <c r="K7" s="15" t="s">
        <v>522</v>
      </c>
      <c r="L7" s="15" t="s">
        <v>523</v>
      </c>
      <c r="M7" s="15" t="s">
        <v>524</v>
      </c>
      <c r="N7" s="16" t="s">
        <v>525</v>
      </c>
    </row>
    <row r="8" spans="2:14" ht="20.100000000000001" customHeight="1" x14ac:dyDescent="0.25">
      <c r="B8" s="19" t="s">
        <v>527</v>
      </c>
      <c r="C8" s="23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23">
        <f>C11</f>
        <v>40555</v>
      </c>
      <c r="E8" s="23">
        <f t="shared" ref="E8:N8" si="0">D11</f>
        <v>41511</v>
      </c>
      <c r="F8" s="23">
        <f t="shared" si="0"/>
        <v>53246</v>
      </c>
      <c r="G8" s="23">
        <f t="shared" si="0"/>
        <v>39267</v>
      </c>
      <c r="H8" s="23">
        <f t="shared" si="0"/>
        <v>28688</v>
      </c>
      <c r="I8" s="23">
        <f t="shared" si="0"/>
        <v>19950</v>
      </c>
      <c r="J8" s="23">
        <f t="shared" si="0"/>
        <v>16469</v>
      </c>
      <c r="K8" s="23">
        <f t="shared" si="0"/>
        <v>19070</v>
      </c>
      <c r="L8" s="23">
        <f t="shared" si="0"/>
        <v>20549</v>
      </c>
      <c r="M8" s="23">
        <f t="shared" si="0"/>
        <v>21057</v>
      </c>
      <c r="N8" s="24">
        <f t="shared" si="0"/>
        <v>21057</v>
      </c>
    </row>
    <row r="9" spans="2:14" ht="20.100000000000001" customHeight="1" x14ac:dyDescent="0.25">
      <c r="B9" s="19" t="s">
        <v>526</v>
      </c>
      <c r="C9" s="23">
        <f>SUMIFS(TbRegistroEntradas[Valor],TbRegistroEntradas[Mês Caixa],C5,TbRegistroEntradas[Ano Caixa],$C$3)</f>
        <v>17211</v>
      </c>
      <c r="D9" s="23">
        <f>SUMIFS(TbRegistroEntradas[Valor],TbRegistroEntradas[Mês Caixa],D5,TbRegistroEntradas[Ano Caixa],$C$3)</f>
        <v>25105</v>
      </c>
      <c r="E9" s="23">
        <f>SUMIFS(TbRegistroEntradas[Valor],TbRegistroEntradas[Mês Caixa],E5,TbRegistroEntradas[Ano Caixa],$C$3)</f>
        <v>34872</v>
      </c>
      <c r="F9" s="23">
        <f>SUMIFS(TbRegistroEntradas[Valor],TbRegistroEntradas[Mês Caixa],F5,TbRegistroEntradas[Ano Caixa],$C$3)</f>
        <v>13810</v>
      </c>
      <c r="G9" s="23">
        <f>SUMIFS(TbRegistroEntradas[Valor],TbRegistroEntradas[Mês Caixa],G5,TbRegistroEntradas[Ano Caixa],$C$3)</f>
        <v>16506</v>
      </c>
      <c r="H9" s="23">
        <f>SUMIFS(TbRegistroEntradas[Valor],TbRegistroEntradas[Mês Caixa],H5,TbRegistroEntradas[Ano Caixa],$C$3)</f>
        <v>12345</v>
      </c>
      <c r="I9" s="23">
        <f>SUMIFS(TbRegistroEntradas[Valor],TbRegistroEntradas[Mês Caixa],I5,TbRegistroEntradas[Ano Caixa],$C$3)</f>
        <v>4849</v>
      </c>
      <c r="J9" s="23">
        <f>SUMIFS(TbRegistroEntradas[Valor],TbRegistroEntradas[Mês Caixa],J5,TbRegistroEntradas[Ano Caixa],$C$3)</f>
        <v>2601</v>
      </c>
      <c r="K9" s="23">
        <f>SUMIFS(TbRegistroEntradas[Valor],TbRegistroEntradas[Mês Caixa],K5,TbRegistroEntradas[Ano Caixa],$C$3)</f>
        <v>1479</v>
      </c>
      <c r="L9" s="23">
        <f>SUMIFS(TbRegistroEntradas[Valor],TbRegistroEntradas[Mês Caixa],L5,TbRegistroEntradas[Ano Caixa],$C$3)</f>
        <v>508</v>
      </c>
      <c r="M9" s="23">
        <f>SUMIFS(TbRegistroEntradas[Valor],TbRegistroEntradas[Mês Caixa],M5,TbRegistroEntradas[Ano Caixa],$C$3)</f>
        <v>0</v>
      </c>
      <c r="N9" s="24">
        <f>SUMIFS(TbRegistroEntradas[Valor],TbRegistroEntradas[Mês Caixa],N5,TbRegistroEntradas[Ano Caixa],$C$3)</f>
        <v>0</v>
      </c>
    </row>
    <row r="10" spans="2:14" ht="20.100000000000001" customHeight="1" x14ac:dyDescent="0.25">
      <c r="B10" s="19" t="s">
        <v>512</v>
      </c>
      <c r="C10" s="23">
        <f>SUMIFS(TbRegistroSaídas[Valor],TbRegistroSaídas[Mês Caixa],C5,TbRegistroSaídas[Ano Caixa],$C$3)</f>
        <v>31764</v>
      </c>
      <c r="D10" s="23">
        <f>SUMIFS(TbRegistroSaídas[Valor],TbRegistroSaídas[Mês Caixa],D5,TbRegistroSaídas[Ano Caixa],$C$3)</f>
        <v>24149</v>
      </c>
      <c r="E10" s="23">
        <f>SUMIFS(TbRegistroSaídas[Valor],TbRegistroSaídas[Mês Caixa],E5,TbRegistroSaídas[Ano Caixa],$C$3)</f>
        <v>23137</v>
      </c>
      <c r="F10" s="23">
        <f>SUMIFS(TbRegistroSaídas[Valor],TbRegistroSaídas[Mês Caixa],F5,TbRegistroSaídas[Ano Caixa],$C$3)</f>
        <v>27789</v>
      </c>
      <c r="G10" s="23">
        <f>SUMIFS(TbRegistroSaídas[Valor],TbRegistroSaídas[Mês Caixa],G5,TbRegistroSaídas[Ano Caixa],$C$3)</f>
        <v>27085</v>
      </c>
      <c r="H10" s="23">
        <f>SUMIFS(TbRegistroSaídas[Valor],TbRegistroSaídas[Mês Caixa],H5,TbRegistroSaídas[Ano Caixa],$C$3)</f>
        <v>21083</v>
      </c>
      <c r="I10" s="23">
        <f>SUMIFS(TbRegistroSaídas[Valor],TbRegistroSaídas[Mês Caixa],I5,TbRegistroSaídas[Ano Caixa],$C$3)</f>
        <v>8330</v>
      </c>
      <c r="J10" s="23">
        <f>SUMIFS(TbRegistroSaídas[Valor],TbRegistroSaídas[Mês Caixa],J5,TbRegistroSaídas[Ano Caixa],$C$3)</f>
        <v>0</v>
      </c>
      <c r="K10" s="23">
        <f>SUMIFS(TbRegistroSaídas[Valor],TbRegistroSaídas[Mês Caixa],K5,TbRegistroSaídas[Ano Caixa],$C$3)</f>
        <v>0</v>
      </c>
      <c r="L10" s="23">
        <f>SUMIFS(TbRegistroSaídas[Valor],TbRegistroSaídas[Mês Caixa],L5,TbRegistroSaídas[Ano Caixa],$C$3)</f>
        <v>0</v>
      </c>
      <c r="M10" s="23">
        <f>SUMIFS(TbRegistroSaídas[Valor],TbRegistroSaídas[Mês Caixa],M5,TbRegistroSaídas[Ano Caixa],$C$3)</f>
        <v>0</v>
      </c>
      <c r="N10" s="24">
        <f>SUMIFS(TbRegistroSaídas[Valor],TbRegistroSaídas[Mês Caixa],N5,TbRegistroSaídas[Ano Caixa],$C$3)</f>
        <v>0</v>
      </c>
    </row>
    <row r="11" spans="2:14" ht="20.100000000000001" customHeight="1" x14ac:dyDescent="0.25">
      <c r="B11" s="22" t="s">
        <v>513</v>
      </c>
      <c r="C11" s="25">
        <f>C8+C9-C10</f>
        <v>40555</v>
      </c>
      <c r="D11" s="25">
        <f t="shared" ref="D11:N11" si="1">D8+D9-D10</f>
        <v>41511</v>
      </c>
      <c r="E11" s="25">
        <f t="shared" si="1"/>
        <v>53246</v>
      </c>
      <c r="F11" s="25">
        <f t="shared" si="1"/>
        <v>39267</v>
      </c>
      <c r="G11" s="25">
        <f t="shared" si="1"/>
        <v>28688</v>
      </c>
      <c r="H11" s="25">
        <f t="shared" si="1"/>
        <v>19950</v>
      </c>
      <c r="I11" s="25">
        <f t="shared" si="1"/>
        <v>16469</v>
      </c>
      <c r="J11" s="25">
        <f t="shared" si="1"/>
        <v>19070</v>
      </c>
      <c r="K11" s="25">
        <f t="shared" si="1"/>
        <v>20549</v>
      </c>
      <c r="L11" s="25">
        <f t="shared" si="1"/>
        <v>21057</v>
      </c>
      <c r="M11" s="25">
        <f t="shared" si="1"/>
        <v>21057</v>
      </c>
      <c r="N11" s="26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18" t="s">
        <v>528</v>
      </c>
    </row>
    <row r="14" spans="2:14" ht="20.100000000000001" customHeight="1" x14ac:dyDescent="0.25">
      <c r="B14" s="17" t="s">
        <v>511</v>
      </c>
      <c r="C14" s="15" t="s">
        <v>514</v>
      </c>
      <c r="D14" s="15" t="s">
        <v>515</v>
      </c>
      <c r="E14" s="15" t="s">
        <v>516</v>
      </c>
      <c r="F14" s="15" t="s">
        <v>517</v>
      </c>
      <c r="G14" s="15" t="s">
        <v>518</v>
      </c>
      <c r="H14" s="15" t="s">
        <v>519</v>
      </c>
      <c r="I14" s="15" t="s">
        <v>520</v>
      </c>
      <c r="J14" s="15" t="s">
        <v>521</v>
      </c>
      <c r="K14" s="15" t="s">
        <v>522</v>
      </c>
      <c r="L14" s="15" t="s">
        <v>523</v>
      </c>
      <c r="M14" s="15" t="s">
        <v>524</v>
      </c>
      <c r="N14" s="16" t="s">
        <v>525</v>
      </c>
    </row>
    <row r="15" spans="2:14" ht="20.100000000000001" customHeight="1" x14ac:dyDescent="0.25">
      <c r="B15" s="19" t="s">
        <v>527</v>
      </c>
      <c r="C15" s="23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23">
        <f>C18</f>
        <v>34684</v>
      </c>
      <c r="E15" s="23">
        <f t="shared" ref="E15:N15" si="2">D18</f>
        <v>40111</v>
      </c>
      <c r="F15" s="23">
        <f t="shared" si="2"/>
        <v>27220</v>
      </c>
      <c r="G15" s="23">
        <f t="shared" si="2"/>
        <v>23048</v>
      </c>
      <c r="H15" s="23">
        <f t="shared" si="2"/>
        <v>8340</v>
      </c>
      <c r="I15" s="23">
        <f t="shared" si="2"/>
        <v>3236</v>
      </c>
      <c r="J15" s="23">
        <f t="shared" si="2"/>
        <v>3236</v>
      </c>
      <c r="K15" s="23">
        <f t="shared" si="2"/>
        <v>3236</v>
      </c>
      <c r="L15" s="23">
        <f t="shared" si="2"/>
        <v>3236</v>
      </c>
      <c r="M15" s="23">
        <f t="shared" si="2"/>
        <v>3236</v>
      </c>
      <c r="N15" s="24">
        <f t="shared" si="2"/>
        <v>3236</v>
      </c>
    </row>
    <row r="16" spans="2:14" ht="20.100000000000001" customHeight="1" x14ac:dyDescent="0.25">
      <c r="B16" s="19" t="s">
        <v>526</v>
      </c>
      <c r="C16" s="23">
        <f>SUMIFS(TbRegistroEntradas[Valor],TbRegistroEntradas[Mês Competência],C5,TbRegistroEntradas[Ano Competência],$C$3)</f>
        <v>22897</v>
      </c>
      <c r="D16" s="23">
        <f>SUMIFS(TbRegistroEntradas[Valor],TbRegistroEntradas[Mês Competência],D5,TbRegistroEntradas[Ano Competência],$C$3)</f>
        <v>31755</v>
      </c>
      <c r="E16" s="23">
        <f>SUMIFS(TbRegistroEntradas[Valor],TbRegistroEntradas[Mês Competência],E5,TbRegistroEntradas[Ano Competência],$C$3)</f>
        <v>18601</v>
      </c>
      <c r="F16" s="23">
        <f>SUMIFS(TbRegistroEntradas[Valor],TbRegistroEntradas[Mês Competência],F5,TbRegistroEntradas[Ano Competência],$C$3)</f>
        <v>22939</v>
      </c>
      <c r="G16" s="23">
        <f>SUMIFS(TbRegistroEntradas[Valor],TbRegistroEntradas[Mês Competência],G5,TbRegistroEntradas[Ano Competência],$C$3)</f>
        <v>22602</v>
      </c>
      <c r="H16" s="23">
        <f>SUMIFS(TbRegistroEntradas[Valor],TbRegistroEntradas[Mês Competência],H5,TbRegistroEntradas[Ano Competência],$C$3)</f>
        <v>11865</v>
      </c>
      <c r="I16" s="23">
        <f>SUMIFS(TbRegistroEntradas[Valor],TbRegistroEntradas[Mês Competência],I5,TbRegistroEntradas[Ano Competência],$C$3)</f>
        <v>0</v>
      </c>
      <c r="J16" s="23">
        <f>SUMIFS(TbRegistroEntradas[Valor],TbRegistroEntradas[Mês Competência],J5,TbRegistroEntradas[Ano Competência],$C$3)</f>
        <v>0</v>
      </c>
      <c r="K16" s="23">
        <f>SUMIFS(TbRegistroEntradas[Valor],TbRegistroEntradas[Mês Competência],K5,TbRegistroEntradas[Ano Competência],$C$3)</f>
        <v>0</v>
      </c>
      <c r="L16" s="23">
        <f>SUMIFS(TbRegistroEntradas[Valor],TbRegistroEntradas[Mês Competência],L5,TbRegistroEntradas[Ano Competência],$C$3)</f>
        <v>0</v>
      </c>
      <c r="M16" s="23">
        <f>SUMIFS(TbRegistroEntradas[Valor],TbRegistroEntradas[Mês Competência],M5,TbRegistroEntradas[Ano Competência],$C$3)</f>
        <v>0</v>
      </c>
      <c r="N16" s="23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19" t="s">
        <v>512</v>
      </c>
      <c r="C17" s="23">
        <f>SUMIFS(TbRegistroSaídas[Valor],TbRegistroSaídas[Mês Competência],C5,TbRegistroSaídas[Ano Competência],$C$3)</f>
        <v>30580</v>
      </c>
      <c r="D17" s="23">
        <f>SUMIFS(TbRegistroSaídas[Valor],TbRegistroSaídas[Mês Competência],D5,TbRegistroSaídas[Ano Competência],$C$3)</f>
        <v>26328</v>
      </c>
      <c r="E17" s="23">
        <f>SUMIFS(TbRegistroSaídas[Valor],TbRegistroSaídas[Mês Competência],E5,TbRegistroSaídas[Ano Competência],$C$3)</f>
        <v>31492</v>
      </c>
      <c r="F17" s="23">
        <f>SUMIFS(TbRegistroSaídas[Valor],TbRegistroSaídas[Mês Competência],F5,TbRegistroSaídas[Ano Competência],$C$3)</f>
        <v>27111</v>
      </c>
      <c r="G17" s="23">
        <f>SUMIFS(TbRegistroSaídas[Valor],TbRegistroSaídas[Mês Competência],G5,TbRegistroSaídas[Ano Competência],$C$3)</f>
        <v>37310</v>
      </c>
      <c r="H17" s="23">
        <f>SUMIFS(TbRegistroSaídas[Valor],TbRegistroSaídas[Mês Competência],H5,TbRegistroSaídas[Ano Competência],$C$3)</f>
        <v>16969</v>
      </c>
      <c r="I17" s="23">
        <f>SUMIFS(TbRegistroSaídas[Valor],TbRegistroSaídas[Mês Competência],I5,TbRegistroSaídas[Ano Competência],$C$3)</f>
        <v>0</v>
      </c>
      <c r="J17" s="23">
        <f>SUMIFS(TbRegistroSaídas[Valor],TbRegistroSaídas[Mês Competência],J5,TbRegistroSaídas[Ano Competência],$C$3)</f>
        <v>0</v>
      </c>
      <c r="K17" s="23">
        <f>SUMIFS(TbRegistroSaídas[Valor],TbRegistroSaídas[Mês Competência],K5,TbRegistroSaídas[Ano Competência],$C$3)</f>
        <v>0</v>
      </c>
      <c r="L17" s="23">
        <f>SUMIFS(TbRegistroSaídas[Valor],TbRegistroSaídas[Mês Competência],L5,TbRegistroSaídas[Ano Competência],$C$3)</f>
        <v>0</v>
      </c>
      <c r="M17" s="23">
        <f>SUMIFS(TbRegistroSaídas[Valor],TbRegistroSaídas[Mês Competência],M5,TbRegistroSaídas[Ano Competência],$C$3)</f>
        <v>0</v>
      </c>
      <c r="N17" s="24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22" t="s">
        <v>513</v>
      </c>
      <c r="C18" s="25">
        <f>C15+C16-C17</f>
        <v>34684</v>
      </c>
      <c r="D18" s="25">
        <f t="shared" ref="D18:N18" si="3">D15+D16-D17</f>
        <v>40111</v>
      </c>
      <c r="E18" s="25">
        <f t="shared" si="3"/>
        <v>27220</v>
      </c>
      <c r="F18" s="25">
        <f t="shared" si="3"/>
        <v>23048</v>
      </c>
      <c r="G18" s="25">
        <f t="shared" si="3"/>
        <v>8340</v>
      </c>
      <c r="H18" s="25">
        <f t="shared" si="3"/>
        <v>3236</v>
      </c>
      <c r="I18" s="25">
        <f t="shared" si="3"/>
        <v>3236</v>
      </c>
      <c r="J18" s="25">
        <f t="shared" si="3"/>
        <v>3236</v>
      </c>
      <c r="K18" s="25">
        <f t="shared" si="3"/>
        <v>3236</v>
      </c>
      <c r="L18" s="25">
        <f t="shared" si="3"/>
        <v>3236</v>
      </c>
      <c r="M18" s="25">
        <f t="shared" si="3"/>
        <v>3236</v>
      </c>
      <c r="N18" s="26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18" t="s">
        <v>529</v>
      </c>
    </row>
    <row r="21" spans="2:14" ht="20.100000000000001" customHeight="1" x14ac:dyDescent="0.25">
      <c r="B21" s="17" t="s">
        <v>511</v>
      </c>
      <c r="C21" s="15" t="s">
        <v>514</v>
      </c>
      <c r="D21" s="15" t="s">
        <v>515</v>
      </c>
      <c r="E21" s="15" t="s">
        <v>516</v>
      </c>
      <c r="F21" s="15" t="s">
        <v>517</v>
      </c>
      <c r="G21" s="15" t="s">
        <v>518</v>
      </c>
      <c r="H21" s="15" t="s">
        <v>519</v>
      </c>
      <c r="I21" s="15" t="s">
        <v>520</v>
      </c>
      <c r="J21" s="15" t="s">
        <v>521</v>
      </c>
      <c r="K21" s="15" t="s">
        <v>522</v>
      </c>
      <c r="L21" s="15" t="s">
        <v>523</v>
      </c>
      <c r="M21" s="15" t="s">
        <v>524</v>
      </c>
      <c r="N21" s="16" t="s">
        <v>525</v>
      </c>
    </row>
    <row r="22" spans="2:14" ht="20.100000000000001" customHeight="1" x14ac:dyDescent="0.25">
      <c r="B22" s="19" t="s">
        <v>530</v>
      </c>
      <c r="C22" s="23">
        <f>C16</f>
        <v>22897</v>
      </c>
      <c r="D22" s="23">
        <f t="shared" ref="D22:N22" si="4">D16</f>
        <v>31755</v>
      </c>
      <c r="E22" s="23">
        <f t="shared" si="4"/>
        <v>18601</v>
      </c>
      <c r="F22" s="23">
        <f t="shared" si="4"/>
        <v>22939</v>
      </c>
      <c r="G22" s="23">
        <f t="shared" si="4"/>
        <v>22602</v>
      </c>
      <c r="H22" s="23">
        <f t="shared" si="4"/>
        <v>11865</v>
      </c>
      <c r="I22" s="23">
        <f t="shared" si="4"/>
        <v>0</v>
      </c>
      <c r="J22" s="23">
        <f t="shared" si="4"/>
        <v>0</v>
      </c>
      <c r="K22" s="23">
        <f t="shared" si="4"/>
        <v>0</v>
      </c>
      <c r="L22" s="23">
        <f t="shared" si="4"/>
        <v>0</v>
      </c>
      <c r="M22" s="23">
        <f t="shared" si="4"/>
        <v>0</v>
      </c>
      <c r="N22" s="24">
        <f t="shared" si="4"/>
        <v>0</v>
      </c>
    </row>
    <row r="23" spans="2:14" ht="20.100000000000001" customHeight="1" x14ac:dyDescent="0.25">
      <c r="B23" s="19" t="s">
        <v>531</v>
      </c>
      <c r="C23" s="23">
        <f>C17</f>
        <v>30580</v>
      </c>
      <c r="D23" s="23">
        <f t="shared" ref="D23:N23" si="5">D17</f>
        <v>26328</v>
      </c>
      <c r="E23" s="23">
        <f t="shared" si="5"/>
        <v>31492</v>
      </c>
      <c r="F23" s="23">
        <f t="shared" si="5"/>
        <v>27111</v>
      </c>
      <c r="G23" s="23">
        <f t="shared" si="5"/>
        <v>37310</v>
      </c>
      <c r="H23" s="23">
        <f t="shared" si="5"/>
        <v>16969</v>
      </c>
      <c r="I23" s="23">
        <f t="shared" si="5"/>
        <v>0</v>
      </c>
      <c r="J23" s="23">
        <f t="shared" si="5"/>
        <v>0</v>
      </c>
      <c r="K23" s="23">
        <f t="shared" si="5"/>
        <v>0</v>
      </c>
      <c r="L23" s="23">
        <f t="shared" si="5"/>
        <v>0</v>
      </c>
      <c r="M23" s="23">
        <f t="shared" si="5"/>
        <v>0</v>
      </c>
      <c r="N23" s="24">
        <f t="shared" si="5"/>
        <v>0</v>
      </c>
    </row>
    <row r="24" spans="2:14" ht="20.100000000000001" customHeight="1" x14ac:dyDescent="0.25">
      <c r="B24" s="20" t="s">
        <v>532</v>
      </c>
      <c r="C24" s="27">
        <f>IF(C22-C23&gt;0,C22-C23,0)</f>
        <v>0</v>
      </c>
      <c r="D24" s="27">
        <f t="shared" ref="D24:N24" si="6">IF(D22-D23&gt;0,D22-D23,0)</f>
        <v>5427</v>
      </c>
      <c r="E24" s="27">
        <f t="shared" si="6"/>
        <v>0</v>
      </c>
      <c r="F24" s="27">
        <f t="shared" si="6"/>
        <v>0</v>
      </c>
      <c r="G24" s="27">
        <f t="shared" si="6"/>
        <v>0</v>
      </c>
      <c r="H24" s="27">
        <f t="shared" si="6"/>
        <v>0</v>
      </c>
      <c r="I24" s="27">
        <f t="shared" si="6"/>
        <v>0</v>
      </c>
      <c r="J24" s="27">
        <f t="shared" si="6"/>
        <v>0</v>
      </c>
      <c r="K24" s="27">
        <f t="shared" si="6"/>
        <v>0</v>
      </c>
      <c r="L24" s="27">
        <f t="shared" si="6"/>
        <v>0</v>
      </c>
      <c r="M24" s="27">
        <f t="shared" si="6"/>
        <v>0</v>
      </c>
      <c r="N24" s="28">
        <f t="shared" si="6"/>
        <v>0</v>
      </c>
    </row>
    <row r="25" spans="2:14" ht="20.100000000000001" customHeight="1" x14ac:dyDescent="0.25">
      <c r="B25" s="21" t="s">
        <v>533</v>
      </c>
      <c r="C25" s="29">
        <f>IF(C22-C23&lt;0,C22-C23,0)</f>
        <v>-7683</v>
      </c>
      <c r="D25" s="29">
        <f t="shared" ref="D25:N25" si="7">IF(D22-D23&lt;0,D22-D23,0)</f>
        <v>0</v>
      </c>
      <c r="E25" s="29">
        <f t="shared" si="7"/>
        <v>-12891</v>
      </c>
      <c r="F25" s="29">
        <f t="shared" si="7"/>
        <v>-4172</v>
      </c>
      <c r="G25" s="29">
        <f t="shared" si="7"/>
        <v>-14708</v>
      </c>
      <c r="H25" s="29">
        <f t="shared" si="7"/>
        <v>-5104</v>
      </c>
      <c r="I25" s="29">
        <f t="shared" si="7"/>
        <v>0</v>
      </c>
      <c r="J25" s="29">
        <f t="shared" si="7"/>
        <v>0</v>
      </c>
      <c r="K25" s="29">
        <f t="shared" si="7"/>
        <v>0</v>
      </c>
      <c r="L25" s="29">
        <f t="shared" si="7"/>
        <v>0</v>
      </c>
      <c r="M25" s="29">
        <f t="shared" si="7"/>
        <v>0</v>
      </c>
      <c r="N25" s="30">
        <f t="shared" si="7"/>
        <v>0</v>
      </c>
    </row>
    <row r="26" spans="2:14" ht="20.100000000000001" customHeight="1" x14ac:dyDescent="0.25">
      <c r="B26" s="21" t="s">
        <v>534</v>
      </c>
      <c r="C26" s="29">
        <f>C22-C23</f>
        <v>-7683</v>
      </c>
      <c r="D26" s="29">
        <f>C26+(D22-D23)</f>
        <v>-2256</v>
      </c>
      <c r="E26" s="29">
        <f t="shared" ref="E26:N26" si="8">D26+(E22-E23)</f>
        <v>-15147</v>
      </c>
      <c r="F26" s="29">
        <f t="shared" si="8"/>
        <v>-19319</v>
      </c>
      <c r="G26" s="29">
        <f t="shared" si="8"/>
        <v>-34027</v>
      </c>
      <c r="H26" s="29">
        <f t="shared" si="8"/>
        <v>-39131</v>
      </c>
      <c r="I26" s="29">
        <f t="shared" si="8"/>
        <v>-39131</v>
      </c>
      <c r="J26" s="29">
        <f t="shared" si="8"/>
        <v>-39131</v>
      </c>
      <c r="K26" s="29">
        <f t="shared" si="8"/>
        <v>-39131</v>
      </c>
      <c r="L26" s="29">
        <f t="shared" si="8"/>
        <v>-39131</v>
      </c>
      <c r="M26" s="29">
        <f t="shared" si="8"/>
        <v>-39131</v>
      </c>
      <c r="N26" s="30">
        <f t="shared" si="8"/>
        <v>-39131</v>
      </c>
    </row>
  </sheetData>
  <sheetProtection sheet="1" objects="1" scenarios="1" selectLockedCells="1"/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12</v>
      </c>
    </row>
    <row r="2" spans="2:15" ht="84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538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B7" s="31" t="s">
        <v>539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540</v>
      </c>
    </row>
    <row r="8" spans="2:15" ht="20.100000000000001" customHeight="1" x14ac:dyDescent="0.25">
      <c r="B8" s="32" t="s">
        <v>24</v>
      </c>
      <c r="C8" s="35">
        <v>20582</v>
      </c>
      <c r="D8" s="35">
        <v>24761</v>
      </c>
      <c r="E8" s="35">
        <v>37458</v>
      </c>
      <c r="F8" s="35">
        <v>30226</v>
      </c>
      <c r="G8" s="35">
        <v>19009</v>
      </c>
      <c r="H8" s="35">
        <v>28711</v>
      </c>
      <c r="I8" s="35">
        <v>33298</v>
      </c>
      <c r="J8" s="35">
        <v>22302</v>
      </c>
      <c r="K8" s="35">
        <v>26024</v>
      </c>
      <c r="L8" s="35">
        <v>29400</v>
      </c>
      <c r="M8" s="35">
        <v>30897</v>
      </c>
      <c r="N8" s="35">
        <v>17906</v>
      </c>
      <c r="O8" s="35">
        <v>320574</v>
      </c>
    </row>
    <row r="9" spans="2:15" ht="20.100000000000001" customHeight="1" x14ac:dyDescent="0.25">
      <c r="B9" s="33" t="s">
        <v>30</v>
      </c>
      <c r="C9" s="35">
        <v>1864</v>
      </c>
      <c r="D9" s="35"/>
      <c r="E9" s="35">
        <v>4800</v>
      </c>
      <c r="F9" s="35"/>
      <c r="G9" s="35">
        <v>6340</v>
      </c>
      <c r="H9" s="35">
        <v>6836</v>
      </c>
      <c r="I9" s="35">
        <v>2713</v>
      </c>
      <c r="J9" s="35">
        <v>3080</v>
      </c>
      <c r="K9" s="35"/>
      <c r="L9" s="35">
        <v>4922</v>
      </c>
      <c r="M9" s="35">
        <v>919</v>
      </c>
      <c r="N9" s="35"/>
      <c r="O9" s="35">
        <v>31474</v>
      </c>
    </row>
    <row r="10" spans="2:15" ht="20.100000000000001" customHeight="1" x14ac:dyDescent="0.25">
      <c r="B10" s="33" t="s">
        <v>31</v>
      </c>
      <c r="C10" s="35">
        <v>3843</v>
      </c>
      <c r="D10" s="35">
        <v>10345</v>
      </c>
      <c r="E10" s="35">
        <v>5629</v>
      </c>
      <c r="F10" s="35">
        <v>4467</v>
      </c>
      <c r="G10" s="35"/>
      <c r="H10" s="35">
        <v>2114</v>
      </c>
      <c r="I10" s="35">
        <v>8337</v>
      </c>
      <c r="J10" s="35">
        <v>4072</v>
      </c>
      <c r="K10" s="35">
        <v>5761</v>
      </c>
      <c r="L10" s="35">
        <v>7117</v>
      </c>
      <c r="M10" s="35">
        <v>3068</v>
      </c>
      <c r="N10" s="35">
        <v>2088</v>
      </c>
      <c r="O10" s="35">
        <v>56841</v>
      </c>
    </row>
    <row r="11" spans="2:15" ht="20.100000000000001" customHeight="1" x14ac:dyDescent="0.25">
      <c r="B11" s="33" t="s">
        <v>32</v>
      </c>
      <c r="C11" s="35"/>
      <c r="D11" s="35">
        <v>5718</v>
      </c>
      <c r="E11" s="35">
        <v>4918</v>
      </c>
      <c r="F11" s="35">
        <v>3446</v>
      </c>
      <c r="G11" s="35">
        <v>611</v>
      </c>
      <c r="H11" s="35">
        <v>3224</v>
      </c>
      <c r="I11" s="35">
        <v>1306</v>
      </c>
      <c r="J11" s="35"/>
      <c r="K11" s="35">
        <v>6637</v>
      </c>
      <c r="L11" s="35"/>
      <c r="M11" s="35">
        <v>1820</v>
      </c>
      <c r="N11" s="35"/>
      <c r="O11" s="35">
        <v>27680</v>
      </c>
    </row>
    <row r="12" spans="2:15" ht="20.100000000000001" customHeight="1" x14ac:dyDescent="0.25">
      <c r="B12" s="33" t="s">
        <v>33</v>
      </c>
      <c r="C12" s="35">
        <v>10164</v>
      </c>
      <c r="D12" s="35">
        <v>7734</v>
      </c>
      <c r="E12" s="35">
        <v>9984</v>
      </c>
      <c r="F12" s="35">
        <v>22313</v>
      </c>
      <c r="G12" s="35">
        <v>4850</v>
      </c>
      <c r="H12" s="35">
        <v>12262</v>
      </c>
      <c r="I12" s="35">
        <v>12594</v>
      </c>
      <c r="J12" s="35">
        <v>6006</v>
      </c>
      <c r="K12" s="35">
        <v>11235</v>
      </c>
      <c r="L12" s="35">
        <v>10633</v>
      </c>
      <c r="M12" s="35">
        <v>20451</v>
      </c>
      <c r="N12" s="35">
        <v>9738</v>
      </c>
      <c r="O12" s="35">
        <v>137964</v>
      </c>
    </row>
    <row r="13" spans="2:15" ht="20.100000000000001" customHeight="1" x14ac:dyDescent="0.25">
      <c r="B13" s="33" t="s">
        <v>34</v>
      </c>
      <c r="C13" s="35">
        <v>4711</v>
      </c>
      <c r="D13" s="35">
        <v>964</v>
      </c>
      <c r="E13" s="35">
        <v>12127</v>
      </c>
      <c r="F13" s="35"/>
      <c r="G13" s="35">
        <v>7208</v>
      </c>
      <c r="H13" s="35">
        <v>4275</v>
      </c>
      <c r="I13" s="35">
        <v>8348</v>
      </c>
      <c r="J13" s="35">
        <v>9144</v>
      </c>
      <c r="K13" s="35">
        <v>2391</v>
      </c>
      <c r="L13" s="35">
        <v>6728</v>
      </c>
      <c r="M13" s="35">
        <v>4639</v>
      </c>
      <c r="N13" s="35">
        <v>6080</v>
      </c>
      <c r="O13" s="35">
        <v>66615</v>
      </c>
    </row>
    <row r="14" spans="2:15" ht="20.100000000000001" customHeight="1" x14ac:dyDescent="0.25">
      <c r="B14" s="32" t="s">
        <v>540</v>
      </c>
      <c r="C14" s="35">
        <v>20582</v>
      </c>
      <c r="D14" s="35">
        <v>24761</v>
      </c>
      <c r="E14" s="35">
        <v>37458</v>
      </c>
      <c r="F14" s="35">
        <v>30226</v>
      </c>
      <c r="G14" s="35">
        <v>19009</v>
      </c>
      <c r="H14" s="35">
        <v>28711</v>
      </c>
      <c r="I14" s="35">
        <v>33298</v>
      </c>
      <c r="J14" s="35">
        <v>22302</v>
      </c>
      <c r="K14" s="35">
        <v>26024</v>
      </c>
      <c r="L14" s="35">
        <v>29400</v>
      </c>
      <c r="M14" s="35">
        <v>30897</v>
      </c>
      <c r="N14" s="35">
        <v>17906</v>
      </c>
      <c r="O14" s="35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13</v>
      </c>
    </row>
    <row r="2" spans="2:15" ht="84.7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538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B7" s="31" t="s">
        <v>539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540</v>
      </c>
    </row>
    <row r="8" spans="2:15" ht="20.100000000000001" customHeight="1" x14ac:dyDescent="0.25">
      <c r="B8" s="32" t="s">
        <v>36</v>
      </c>
      <c r="C8" s="35">
        <v>41773</v>
      </c>
      <c r="D8" s="35">
        <v>25578</v>
      </c>
      <c r="E8" s="35">
        <v>24127</v>
      </c>
      <c r="F8" s="35">
        <v>14679</v>
      </c>
      <c r="G8" s="35">
        <v>24782</v>
      </c>
      <c r="H8" s="35">
        <v>24927</v>
      </c>
      <c r="I8" s="35">
        <v>34065</v>
      </c>
      <c r="J8" s="35">
        <v>21727</v>
      </c>
      <c r="K8" s="35">
        <v>19948</v>
      </c>
      <c r="L8" s="35">
        <v>28693</v>
      </c>
      <c r="M8" s="35">
        <v>22624</v>
      </c>
      <c r="N8" s="35">
        <v>19227</v>
      </c>
      <c r="O8" s="35">
        <v>302150</v>
      </c>
    </row>
    <row r="9" spans="2:15" ht="20.100000000000001" customHeight="1" x14ac:dyDescent="0.25">
      <c r="B9" s="33" t="s">
        <v>30</v>
      </c>
      <c r="C9" s="35">
        <v>3057</v>
      </c>
      <c r="D9" s="35">
        <v>3255</v>
      </c>
      <c r="E9" s="35">
        <v>5837</v>
      </c>
      <c r="F9" s="35">
        <v>2760</v>
      </c>
      <c r="G9" s="35">
        <v>1882</v>
      </c>
      <c r="H9" s="35">
        <v>1613</v>
      </c>
      <c r="I9" s="35"/>
      <c r="J9" s="35">
        <v>9987</v>
      </c>
      <c r="K9" s="35">
        <v>5001</v>
      </c>
      <c r="L9" s="35">
        <v>10149</v>
      </c>
      <c r="M9" s="35">
        <v>1542</v>
      </c>
      <c r="N9" s="35">
        <v>3956</v>
      </c>
      <c r="O9" s="35">
        <v>49039</v>
      </c>
    </row>
    <row r="10" spans="2:15" ht="20.100000000000001" customHeight="1" x14ac:dyDescent="0.25">
      <c r="B10" s="33" t="s">
        <v>31</v>
      </c>
      <c r="C10" s="35">
        <v>6054</v>
      </c>
      <c r="D10" s="35">
        <v>8702</v>
      </c>
      <c r="E10" s="35">
        <v>474</v>
      </c>
      <c r="F10" s="35">
        <v>2463</v>
      </c>
      <c r="G10" s="35">
        <v>6406</v>
      </c>
      <c r="H10" s="35">
        <v>10243</v>
      </c>
      <c r="I10" s="35">
        <v>14461</v>
      </c>
      <c r="J10" s="35">
        <v>4084</v>
      </c>
      <c r="K10" s="35">
        <v>521</v>
      </c>
      <c r="L10" s="35">
        <v>819</v>
      </c>
      <c r="M10" s="35">
        <v>7204</v>
      </c>
      <c r="N10" s="35"/>
      <c r="O10" s="35">
        <v>61431</v>
      </c>
    </row>
    <row r="11" spans="2:15" ht="20.100000000000001" customHeight="1" x14ac:dyDescent="0.25">
      <c r="B11" s="33" t="s">
        <v>32</v>
      </c>
      <c r="C11" s="35">
        <v>2247</v>
      </c>
      <c r="D11" s="35">
        <v>3503</v>
      </c>
      <c r="E11" s="35">
        <v>3893</v>
      </c>
      <c r="F11" s="35">
        <v>4867</v>
      </c>
      <c r="G11" s="35"/>
      <c r="H11" s="35"/>
      <c r="I11" s="35">
        <v>1108</v>
      </c>
      <c r="J11" s="35">
        <v>4462</v>
      </c>
      <c r="K11" s="35">
        <v>159</v>
      </c>
      <c r="L11" s="35">
        <v>9436</v>
      </c>
      <c r="M11" s="35"/>
      <c r="N11" s="35"/>
      <c r="O11" s="35">
        <v>29675</v>
      </c>
    </row>
    <row r="12" spans="2:15" ht="20.100000000000001" customHeight="1" x14ac:dyDescent="0.25">
      <c r="B12" s="33" t="s">
        <v>34</v>
      </c>
      <c r="C12" s="35">
        <v>12821</v>
      </c>
      <c r="D12" s="35"/>
      <c r="E12" s="35"/>
      <c r="F12" s="35"/>
      <c r="G12" s="35">
        <v>4543</v>
      </c>
      <c r="H12" s="35">
        <v>3756</v>
      </c>
      <c r="I12" s="35">
        <v>7688</v>
      </c>
      <c r="J12" s="35">
        <v>2140</v>
      </c>
      <c r="K12" s="35">
        <v>4173</v>
      </c>
      <c r="L12" s="35">
        <v>1260</v>
      </c>
      <c r="M12" s="35"/>
      <c r="N12" s="35">
        <v>3894</v>
      </c>
      <c r="O12" s="35">
        <v>40275</v>
      </c>
    </row>
    <row r="13" spans="2:15" ht="20.100000000000001" customHeight="1" x14ac:dyDescent="0.25">
      <c r="B13" s="33" t="s">
        <v>43</v>
      </c>
      <c r="C13" s="35">
        <v>17594</v>
      </c>
      <c r="D13" s="35">
        <v>10118</v>
      </c>
      <c r="E13" s="35">
        <v>13923</v>
      </c>
      <c r="F13" s="35">
        <v>4589</v>
      </c>
      <c r="G13" s="35">
        <v>11951</v>
      </c>
      <c r="H13" s="35">
        <v>9315</v>
      </c>
      <c r="I13" s="35">
        <v>10808</v>
      </c>
      <c r="J13" s="35">
        <v>1054</v>
      </c>
      <c r="K13" s="35">
        <v>10094</v>
      </c>
      <c r="L13" s="35">
        <v>7029</v>
      </c>
      <c r="M13" s="35">
        <v>13878</v>
      </c>
      <c r="N13" s="35">
        <v>11377</v>
      </c>
      <c r="O13" s="35">
        <v>121730</v>
      </c>
    </row>
    <row r="14" spans="2:15" ht="20.100000000000001" customHeight="1" x14ac:dyDescent="0.25">
      <c r="B14" s="32" t="s">
        <v>540</v>
      </c>
      <c r="C14" s="35">
        <v>41773</v>
      </c>
      <c r="D14" s="35">
        <v>25578</v>
      </c>
      <c r="E14" s="35">
        <v>24127</v>
      </c>
      <c r="F14" s="35">
        <v>14679</v>
      </c>
      <c r="G14" s="35">
        <v>24782</v>
      </c>
      <c r="H14" s="35">
        <v>24927</v>
      </c>
      <c r="I14" s="35">
        <v>34065</v>
      </c>
      <c r="J14" s="35">
        <v>21727</v>
      </c>
      <c r="K14" s="35">
        <v>19948</v>
      </c>
      <c r="L14" s="35">
        <v>28693</v>
      </c>
      <c r="M14" s="35">
        <v>22624</v>
      </c>
      <c r="N14" s="35">
        <v>19227</v>
      </c>
      <c r="O14" s="35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14</v>
      </c>
    </row>
    <row r="2" spans="2:15" ht="81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544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C7">
        <v>0</v>
      </c>
      <c r="J7" t="s">
        <v>545</v>
      </c>
    </row>
    <row r="8" spans="2:15" ht="20.100000000000001" customHeight="1" x14ac:dyDescent="0.25">
      <c r="B8" s="31" t="s">
        <v>539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32" t="s">
        <v>36</v>
      </c>
      <c r="C9" s="35">
        <v>6816</v>
      </c>
      <c r="D9" s="35">
        <v>9291</v>
      </c>
      <c r="E9" s="35">
        <v>9778</v>
      </c>
      <c r="F9" s="35">
        <v>6321</v>
      </c>
      <c r="G9" s="35">
        <v>6846</v>
      </c>
      <c r="H9" s="35">
        <v>3092</v>
      </c>
      <c r="I9" s="35">
        <v>4672</v>
      </c>
      <c r="J9" s="35">
        <v>46816</v>
      </c>
    </row>
    <row r="10" spans="2:15" ht="20.100000000000001" customHeight="1" x14ac:dyDescent="0.25">
      <c r="B10" s="33" t="s">
        <v>30</v>
      </c>
      <c r="C10" s="35"/>
      <c r="D10" s="35">
        <v>3255</v>
      </c>
      <c r="E10" s="35">
        <v>1996</v>
      </c>
      <c r="F10" s="35"/>
      <c r="G10" s="35"/>
      <c r="H10" s="35"/>
      <c r="I10" s="35"/>
      <c r="J10" s="35">
        <v>5251</v>
      </c>
    </row>
    <row r="11" spans="2:15" ht="20.100000000000001" customHeight="1" x14ac:dyDescent="0.25">
      <c r="B11" s="33" t="s">
        <v>31</v>
      </c>
      <c r="C11" s="35">
        <v>3598</v>
      </c>
      <c r="D11" s="35">
        <v>2623</v>
      </c>
      <c r="E11" s="35">
        <v>2975</v>
      </c>
      <c r="F11" s="35"/>
      <c r="G11" s="35">
        <v>3411</v>
      </c>
      <c r="H11" s="35"/>
      <c r="I11" s="35">
        <v>819</v>
      </c>
      <c r="J11" s="35">
        <v>13426</v>
      </c>
    </row>
    <row r="12" spans="2:15" ht="20.100000000000001" customHeight="1" x14ac:dyDescent="0.25">
      <c r="B12" s="33" t="s">
        <v>32</v>
      </c>
      <c r="C12" s="35">
        <v>2247</v>
      </c>
      <c r="D12" s="35">
        <v>3413</v>
      </c>
      <c r="E12" s="35"/>
      <c r="F12" s="35"/>
      <c r="G12" s="35"/>
      <c r="H12" s="35">
        <v>159</v>
      </c>
      <c r="I12" s="35"/>
      <c r="J12" s="35">
        <v>5819</v>
      </c>
    </row>
    <row r="13" spans="2:15" ht="20.100000000000001" customHeight="1" x14ac:dyDescent="0.25">
      <c r="B13" s="33" t="s">
        <v>43</v>
      </c>
      <c r="C13" s="35">
        <v>971</v>
      </c>
      <c r="D13" s="35"/>
      <c r="E13" s="35">
        <v>4807</v>
      </c>
      <c r="F13" s="35">
        <v>6321</v>
      </c>
      <c r="G13" s="35">
        <v>3435</v>
      </c>
      <c r="H13" s="35">
        <v>2933</v>
      </c>
      <c r="I13" s="35">
        <v>3853</v>
      </c>
      <c r="J13" s="35">
        <v>22320</v>
      </c>
    </row>
    <row r="14" spans="2:15" ht="20.100000000000001" customHeight="1" x14ac:dyDescent="0.25">
      <c r="B14" s="32" t="s">
        <v>540</v>
      </c>
      <c r="C14" s="35">
        <v>6816</v>
      </c>
      <c r="D14" s="35">
        <v>9291</v>
      </c>
      <c r="E14" s="35">
        <v>9778</v>
      </c>
      <c r="F14" s="35">
        <v>6321</v>
      </c>
      <c r="G14" s="35">
        <v>6846</v>
      </c>
      <c r="H14" s="35">
        <v>3092</v>
      </c>
      <c r="I14" s="35">
        <v>4672</v>
      </c>
      <c r="J14" s="35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15</v>
      </c>
    </row>
    <row r="2" spans="2:15" ht="82.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544</v>
      </c>
      <c r="C4" s="32">
        <v>2019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C7">
        <v>0</v>
      </c>
      <c r="I7" t="s">
        <v>545</v>
      </c>
    </row>
    <row r="8" spans="2:15" ht="20.100000000000001" customHeight="1" x14ac:dyDescent="0.25">
      <c r="B8" s="31" t="s">
        <v>539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32" t="s">
        <v>24</v>
      </c>
      <c r="C9" s="35">
        <v>1209</v>
      </c>
      <c r="D9" s="35">
        <v>1992</v>
      </c>
      <c r="E9" s="35">
        <v>4797</v>
      </c>
      <c r="F9" s="35">
        <v>6672</v>
      </c>
      <c r="G9" s="35">
        <v>1482</v>
      </c>
      <c r="H9" s="35">
        <v>4535</v>
      </c>
      <c r="I9" s="35">
        <v>20687</v>
      </c>
    </row>
    <row r="10" spans="2:15" ht="20.100000000000001" customHeight="1" x14ac:dyDescent="0.25">
      <c r="B10" s="33" t="s">
        <v>30</v>
      </c>
      <c r="C10" s="35"/>
      <c r="D10" s="35"/>
      <c r="E10" s="35"/>
      <c r="F10" s="35"/>
      <c r="G10" s="35"/>
      <c r="H10" s="35">
        <v>4535</v>
      </c>
      <c r="I10" s="35">
        <v>4535</v>
      </c>
    </row>
    <row r="11" spans="2:15" ht="20.100000000000001" customHeight="1" x14ac:dyDescent="0.25">
      <c r="B11" s="33" t="s">
        <v>31</v>
      </c>
      <c r="C11" s="35"/>
      <c r="D11" s="35"/>
      <c r="E11" s="35">
        <v>4797</v>
      </c>
      <c r="F11" s="35"/>
      <c r="G11" s="35"/>
      <c r="H11" s="35"/>
      <c r="I11" s="35">
        <v>4797</v>
      </c>
    </row>
    <row r="12" spans="2:15" ht="20.100000000000001" customHeight="1" x14ac:dyDescent="0.25">
      <c r="B12" s="33" t="s">
        <v>32</v>
      </c>
      <c r="C12" s="35"/>
      <c r="D12" s="35"/>
      <c r="E12" s="35"/>
      <c r="F12" s="35"/>
      <c r="G12" s="35">
        <v>1482</v>
      </c>
      <c r="H12" s="35"/>
      <c r="I12" s="35">
        <v>1482</v>
      </c>
    </row>
    <row r="13" spans="2:15" ht="20.100000000000001" customHeight="1" x14ac:dyDescent="0.25">
      <c r="B13" s="33" t="s">
        <v>33</v>
      </c>
      <c r="C13" s="35">
        <v>1209</v>
      </c>
      <c r="D13" s="35">
        <v>1992</v>
      </c>
      <c r="E13" s="35"/>
      <c r="F13" s="35">
        <v>2531</v>
      </c>
      <c r="G13" s="35"/>
      <c r="H13" s="35"/>
      <c r="I13" s="35">
        <v>5732</v>
      </c>
    </row>
    <row r="14" spans="2:15" ht="20.100000000000001" customHeight="1" x14ac:dyDescent="0.25">
      <c r="B14" s="33" t="s">
        <v>34</v>
      </c>
      <c r="C14" s="35"/>
      <c r="D14" s="35"/>
      <c r="E14" s="35"/>
      <c r="F14" s="35">
        <v>4141</v>
      </c>
      <c r="G14" s="35"/>
      <c r="H14" s="35"/>
      <c r="I14" s="35">
        <v>4141</v>
      </c>
    </row>
    <row r="15" spans="2:15" ht="20.100000000000001" customHeight="1" x14ac:dyDescent="0.25">
      <c r="B15" s="32" t="s">
        <v>540</v>
      </c>
      <c r="C15" s="35">
        <v>1209</v>
      </c>
      <c r="D15" s="35">
        <v>1992</v>
      </c>
      <c r="E15" s="35">
        <v>4797</v>
      </c>
      <c r="F15" s="35">
        <v>6672</v>
      </c>
      <c r="G15" s="35">
        <v>1482</v>
      </c>
      <c r="H15" s="35">
        <v>4535</v>
      </c>
      <c r="I15" s="35">
        <v>20687</v>
      </c>
    </row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2" width="11.7109375" customWidth="1"/>
    <col min="13" max="13" width="7.85546875" customWidth="1"/>
    <col min="14" max="14" width="11.42578125" customWidth="1"/>
    <col min="15" max="15" width="16.42578125" customWidth="1"/>
    <col min="16" max="16384" width="11.710937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16</v>
      </c>
    </row>
    <row r="2" spans="2:15" ht="61.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128" t="s">
        <v>614</v>
      </c>
      <c r="O2" s="129">
        <f ca="1">TODAY()</f>
        <v>43946</v>
      </c>
    </row>
    <row r="3" spans="2:15" ht="20.100000000000001" customHeight="1" x14ac:dyDescent="0.25"/>
    <row r="4" spans="2:15" ht="20.100000000000001" customHeight="1" x14ac:dyDescent="0.25">
      <c r="B4" s="31" t="s">
        <v>544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C7" t="s">
        <v>547</v>
      </c>
      <c r="L7" t="s">
        <v>540</v>
      </c>
    </row>
    <row r="8" spans="2:15" ht="20.100000000000001" customHeight="1" x14ac:dyDescent="0.25">
      <c r="B8" s="31" t="s">
        <v>539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32" t="s">
        <v>24</v>
      </c>
      <c r="C9" s="35">
        <v>4843</v>
      </c>
      <c r="D9" s="35">
        <v>1561</v>
      </c>
      <c r="E9" s="35">
        <v>964</v>
      </c>
      <c r="F9" s="35">
        <v>5975</v>
      </c>
      <c r="G9" s="35">
        <v>2593</v>
      </c>
      <c r="H9" s="35">
        <v>5627</v>
      </c>
      <c r="I9" s="35">
        <v>2071</v>
      </c>
      <c r="J9" s="35">
        <v>3787</v>
      </c>
      <c r="K9" s="35">
        <v>4061</v>
      </c>
      <c r="L9" s="35">
        <v>31482</v>
      </c>
    </row>
    <row r="10" spans="2:15" ht="20.100000000000001" customHeight="1" x14ac:dyDescent="0.25">
      <c r="B10" s="33" t="s">
        <v>30</v>
      </c>
      <c r="C10" s="35">
        <v>4843</v>
      </c>
      <c r="D10" s="35"/>
      <c r="E10" s="35"/>
      <c r="F10" s="35"/>
      <c r="G10" s="35"/>
      <c r="H10" s="35"/>
      <c r="I10" s="35"/>
      <c r="J10" s="35"/>
      <c r="K10" s="35"/>
      <c r="L10" s="35">
        <v>4843</v>
      </c>
    </row>
    <row r="11" spans="2:15" ht="20.100000000000001" customHeight="1" x14ac:dyDescent="0.25">
      <c r="B11" s="33" t="s">
        <v>31</v>
      </c>
      <c r="C11" s="35"/>
      <c r="D11" s="35"/>
      <c r="E11" s="35"/>
      <c r="F11" s="35">
        <v>3998</v>
      </c>
      <c r="G11" s="35"/>
      <c r="H11" s="35"/>
      <c r="I11" s="35"/>
      <c r="J11" s="35"/>
      <c r="K11" s="35"/>
      <c r="L11" s="35">
        <v>3998</v>
      </c>
    </row>
    <row r="12" spans="2:15" ht="20.100000000000001" customHeight="1" x14ac:dyDescent="0.25">
      <c r="B12" s="33" t="s">
        <v>33</v>
      </c>
      <c r="C12" s="35"/>
      <c r="D12" s="35">
        <v>1561</v>
      </c>
      <c r="E12" s="35"/>
      <c r="F12" s="35"/>
      <c r="G12" s="35">
        <v>2593</v>
      </c>
      <c r="H12" s="35">
        <v>1369</v>
      </c>
      <c r="I12" s="35">
        <v>2071</v>
      </c>
      <c r="J12" s="35">
        <v>3787</v>
      </c>
      <c r="K12" s="35"/>
      <c r="L12" s="35">
        <v>11381</v>
      </c>
    </row>
    <row r="13" spans="2:15" ht="20.100000000000001" customHeight="1" x14ac:dyDescent="0.25">
      <c r="B13" s="33" t="s">
        <v>34</v>
      </c>
      <c r="C13" s="35"/>
      <c r="D13" s="35"/>
      <c r="E13" s="35">
        <v>964</v>
      </c>
      <c r="F13" s="35">
        <v>1977</v>
      </c>
      <c r="G13" s="35"/>
      <c r="H13" s="35">
        <v>4258</v>
      </c>
      <c r="I13" s="35"/>
      <c r="J13" s="35"/>
      <c r="K13" s="35">
        <v>4061</v>
      </c>
      <c r="L13" s="35">
        <v>11260</v>
      </c>
    </row>
    <row r="14" spans="2:15" ht="20.100000000000001" customHeight="1" x14ac:dyDescent="0.25">
      <c r="B14" s="32" t="s">
        <v>540</v>
      </c>
      <c r="C14" s="35">
        <v>4843</v>
      </c>
      <c r="D14" s="35">
        <v>1561</v>
      </c>
      <c r="E14" s="35">
        <v>964</v>
      </c>
      <c r="F14" s="35">
        <v>5975</v>
      </c>
      <c r="G14" s="35">
        <v>2593</v>
      </c>
      <c r="H14" s="35">
        <v>5627</v>
      </c>
      <c r="I14" s="35">
        <v>2071</v>
      </c>
      <c r="J14" s="35">
        <v>3787</v>
      </c>
      <c r="K14" s="35">
        <v>4061</v>
      </c>
      <c r="L14" s="35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showRowColHeaders="0" zoomScaleNormal="100" workbookViewId="0">
      <selection activeCell="K4" sqref="K4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3" t="s">
        <v>17</v>
      </c>
    </row>
    <row r="2" spans="2:11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158">
        <v>43435</v>
      </c>
    </row>
    <row r="3" spans="2:11" ht="20.100000000000001" customHeight="1" x14ac:dyDescent="0.25"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2:11" ht="20.100000000000001" customHeight="1" x14ac:dyDescent="0.25">
      <c r="B4" s="71" t="s">
        <v>548</v>
      </c>
      <c r="C4" s="36"/>
      <c r="D4" s="72" t="s">
        <v>549</v>
      </c>
      <c r="E4" s="36"/>
      <c r="F4" s="37"/>
      <c r="G4" s="38"/>
      <c r="H4" s="38"/>
      <c r="I4" s="78" t="s">
        <v>550</v>
      </c>
      <c r="J4" s="38"/>
      <c r="K4" s="82" t="s">
        <v>31</v>
      </c>
    </row>
    <row r="5" spans="2:11" ht="20.100000000000001" customHeight="1" x14ac:dyDescent="0.25">
      <c r="B5" s="125">
        <f>DashBoardFinanceiroAtualD!$C$11</f>
        <v>62860</v>
      </c>
      <c r="C5" s="36"/>
      <c r="D5" s="39" t="s">
        <v>603</v>
      </c>
      <c r="E5" s="36"/>
      <c r="F5" s="40"/>
      <c r="G5" s="41"/>
      <c r="H5" s="41"/>
      <c r="I5" s="42"/>
      <c r="J5" s="43"/>
      <c r="K5" s="44"/>
    </row>
    <row r="6" spans="2:11" ht="4.5" customHeight="1" x14ac:dyDescent="0.25">
      <c r="B6" s="36"/>
      <c r="C6" s="36"/>
      <c r="D6" s="36"/>
      <c r="E6" s="36"/>
      <c r="F6" s="40"/>
      <c r="G6" s="41"/>
      <c r="H6" s="41"/>
      <c r="I6" s="42"/>
      <c r="J6" s="42"/>
      <c r="K6" s="44"/>
    </row>
    <row r="7" spans="2:11" ht="20.100000000000001" customHeight="1" x14ac:dyDescent="0.25">
      <c r="B7" s="71" t="s">
        <v>551</v>
      </c>
      <c r="C7" s="36"/>
      <c r="D7" s="134"/>
      <c r="E7" s="36"/>
      <c r="F7" s="40"/>
      <c r="G7" s="41"/>
      <c r="H7" s="41"/>
      <c r="I7" s="42"/>
      <c r="J7" s="42"/>
      <c r="K7" s="77" t="s">
        <v>552</v>
      </c>
    </row>
    <row r="8" spans="2:11" ht="20.100000000000001" customHeight="1" x14ac:dyDescent="0.25">
      <c r="B8" s="126">
        <f>DashBoardFinanceiroAtualD!$D$13</f>
        <v>46816</v>
      </c>
      <c r="C8" s="36"/>
      <c r="D8" s="135"/>
      <c r="E8" s="36"/>
      <c r="F8" s="40"/>
      <c r="G8" s="41"/>
      <c r="H8" s="41"/>
      <c r="I8" s="42"/>
      <c r="J8" s="42"/>
      <c r="K8" s="120">
        <f>SUM(DashBoardFinanceiroAtualD!J5:J16)</f>
        <v>65381</v>
      </c>
    </row>
    <row r="9" spans="2:11" ht="4.5" customHeight="1" x14ac:dyDescent="0.25">
      <c r="B9" s="36"/>
      <c r="C9" s="36"/>
      <c r="D9" s="36"/>
      <c r="E9" s="36"/>
      <c r="F9" s="40"/>
      <c r="G9" s="41"/>
      <c r="H9" s="41"/>
      <c r="I9" s="42"/>
      <c r="J9" s="42"/>
      <c r="K9" s="45"/>
    </row>
    <row r="10" spans="2:11" ht="20.100000000000001" customHeight="1" x14ac:dyDescent="0.25">
      <c r="B10" s="71" t="s">
        <v>553</v>
      </c>
      <c r="C10" s="36"/>
      <c r="D10" s="134"/>
      <c r="E10" s="36"/>
      <c r="F10" s="40"/>
      <c r="G10" s="41"/>
      <c r="H10" s="41"/>
      <c r="I10" s="42"/>
      <c r="J10" s="42"/>
      <c r="K10" s="45"/>
    </row>
    <row r="11" spans="2:11" ht="20.100000000000001" customHeight="1" x14ac:dyDescent="0.25">
      <c r="B11" s="127">
        <f>DashBoardFinanceiroAtualD!$D$14</f>
        <v>27421</v>
      </c>
      <c r="C11" s="36"/>
      <c r="D11" s="135"/>
      <c r="E11" s="36"/>
      <c r="F11" s="46"/>
      <c r="G11" s="47"/>
      <c r="H11" s="47"/>
      <c r="I11" s="48"/>
      <c r="J11" s="48"/>
      <c r="K11" s="49"/>
    </row>
    <row r="12" spans="2:11" ht="20.100000000000001" customHeight="1" x14ac:dyDescent="0.25">
      <c r="B12" s="36"/>
      <c r="C12" s="36"/>
      <c r="D12" s="36"/>
      <c r="E12" s="36"/>
      <c r="F12" s="50"/>
      <c r="G12" s="50"/>
      <c r="H12" s="50"/>
      <c r="I12" s="36"/>
      <c r="J12" s="36"/>
      <c r="K12" s="36"/>
    </row>
    <row r="13" spans="2:11" ht="20.100000000000001" customHeight="1" x14ac:dyDescent="0.25">
      <c r="B13" s="136" t="s">
        <v>554</v>
      </c>
      <c r="C13" s="137"/>
      <c r="D13" s="138"/>
      <c r="E13" s="36"/>
      <c r="F13" s="136" t="s">
        <v>555</v>
      </c>
      <c r="G13" s="138"/>
      <c r="H13" s="50"/>
      <c r="I13" s="75" t="s">
        <v>556</v>
      </c>
      <c r="J13" s="36"/>
      <c r="K13" s="76" t="s">
        <v>557</v>
      </c>
    </row>
    <row r="14" spans="2:11" ht="20.100000000000001" customHeight="1" x14ac:dyDescent="0.25">
      <c r="B14" s="51"/>
      <c r="C14" s="52"/>
      <c r="D14" s="53"/>
      <c r="E14" s="36"/>
      <c r="F14" s="73" t="s">
        <v>558</v>
      </c>
      <c r="G14" s="74" t="s">
        <v>559</v>
      </c>
      <c r="H14" s="50"/>
      <c r="I14" s="54">
        <f>DashBoardFinanceiroAtualD!E32</f>
        <v>63901</v>
      </c>
      <c r="J14" s="36"/>
      <c r="K14" s="81" t="s">
        <v>34</v>
      </c>
    </row>
    <row r="15" spans="2:11" ht="20.100000000000001" customHeight="1" x14ac:dyDescent="0.25">
      <c r="B15" s="51"/>
      <c r="C15" s="42"/>
      <c r="D15" s="53"/>
      <c r="E15" s="36"/>
      <c r="F15" s="55"/>
      <c r="G15" s="56"/>
      <c r="H15" s="50"/>
      <c r="I15" s="57"/>
      <c r="J15" s="36"/>
      <c r="K15" s="80">
        <f>DashBoardFinanceiroAtualD!H44</f>
        <v>39120</v>
      </c>
    </row>
    <row r="16" spans="2:11" ht="20.100000000000001" customHeight="1" x14ac:dyDescent="0.25">
      <c r="B16" s="58">
        <f>DashBoardFinanceiroAtualD!E22</f>
        <v>303044</v>
      </c>
      <c r="C16" s="42"/>
      <c r="D16" s="53"/>
      <c r="E16" s="36"/>
      <c r="F16" s="59">
        <f ca="1">DashBoardFinanceiroAtualD!E27</f>
        <v>252.125</v>
      </c>
      <c r="G16" s="79">
        <f ca="1">DashBoardFinanceiroAtualD!J27</f>
        <v>466.35714285714283</v>
      </c>
      <c r="H16" s="50"/>
      <c r="I16" s="57"/>
      <c r="J16" s="36"/>
      <c r="K16" s="60"/>
    </row>
    <row r="17" spans="2:11" ht="20.100000000000001" customHeight="1" x14ac:dyDescent="0.25">
      <c r="B17" s="58"/>
      <c r="C17" s="42"/>
      <c r="D17" s="53"/>
      <c r="E17" s="36"/>
      <c r="F17" s="61"/>
      <c r="G17" s="56"/>
      <c r="H17" s="50"/>
      <c r="I17" s="57"/>
      <c r="J17" s="36"/>
      <c r="K17" s="60"/>
    </row>
    <row r="18" spans="2:11" ht="18.75" x14ac:dyDescent="0.25">
      <c r="B18" s="51"/>
      <c r="C18" s="42"/>
      <c r="D18" s="53"/>
      <c r="E18" s="36"/>
      <c r="F18" s="62" t="s">
        <v>560</v>
      </c>
      <c r="G18" s="63" t="s">
        <v>560</v>
      </c>
      <c r="H18" s="50"/>
      <c r="I18" s="57"/>
      <c r="J18" s="36"/>
      <c r="K18" s="60"/>
    </row>
    <row r="19" spans="2:11" ht="26.25" x14ac:dyDescent="0.25">
      <c r="B19" s="64"/>
      <c r="C19" s="65"/>
      <c r="D19" s="66"/>
      <c r="E19" s="36"/>
      <c r="F19" s="67"/>
      <c r="G19" s="68"/>
      <c r="H19" s="50"/>
      <c r="I19" s="69"/>
      <c r="J19" s="36"/>
      <c r="K19" s="70"/>
    </row>
    <row r="20" spans="2:11" x14ac:dyDescent="0.25">
      <c r="B20" s="36"/>
      <c r="C20" s="36"/>
      <c r="D20" s="36"/>
      <c r="E20" s="36"/>
      <c r="F20" s="50"/>
      <c r="G20" s="50"/>
      <c r="H20" s="50"/>
      <c r="I20" s="36"/>
      <c r="J20" s="36"/>
      <c r="K20" s="36"/>
    </row>
    <row r="21" spans="2:11" x14ac:dyDescent="0.25">
      <c r="B21" s="83"/>
      <c r="C21" s="83"/>
      <c r="D21" s="83"/>
      <c r="E21" s="83"/>
      <c r="F21" s="83"/>
      <c r="G21" s="83"/>
      <c r="H21" s="83"/>
      <c r="I21" s="83"/>
      <c r="J21" s="83"/>
      <c r="K21" s="83"/>
    </row>
  </sheetData>
  <sheetProtection sheet="1" objects="1" scenarios="1" selectLockedCells="1"/>
  <mergeCells count="4">
    <mergeCell ref="D7:D8"/>
    <mergeCell ref="D10:D11"/>
    <mergeCell ref="B13:D13"/>
    <mergeCell ref="F13:G13"/>
  </mergeCells>
  <conditionalFormatting sqref="I14">
    <cfRule type="cellIs" dxfId="26" priority="2" operator="lessThan">
      <formula>0</formula>
    </cfRule>
  </conditionalFormatting>
  <conditionalFormatting sqref="B5">
    <cfRule type="cellIs" dxfId="25" priority="1" operator="lessThan">
      <formula>0</formula>
    </cfRule>
  </conditionalFormatting>
  <dataValidations count="3">
    <dataValidation type="list" allowBlank="1" showInputMessage="1" showErrorMessage="1" errorTitle="Conta Inexisente!" error="Selecione um item da conta." sqref="K4">
      <formula1>PCEntradasN2_Nível_2</formula1>
    </dataValidation>
    <dataValidation type="list" allowBlank="1" showInputMessage="1" showErrorMessage="1" errorTitle="Conta Inexistente!" error="Selecione uma conta da lista." sqref="K14">
      <formula1>PCSaídasN2_Nível_2</formula1>
    </dataValidation>
    <dataValidation type="date" allowBlank="1" showInputMessage="1" showErrorMessage="1" sqref="K2">
      <formula1>1</formula1>
      <formula2>219148</formula2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DashBoardFinanceiroAtualD!H5:H16</xm:f>
              <xm:sqref>D10</xm:sqref>
            </x14:sparkline>
          </x14:sparklines>
        </x14:sparklineGroup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DashBoardFinanceiroAtualD!G5:G16</xm:f>
              <xm:sqref>D7</xm:sqref>
            </x14:sparkline>
          </x14:sparklines>
        </x14:sparklineGroup>
      </x14:sparklineGroup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13" workbookViewId="0">
      <selection activeCell="J43" sqref="J43"/>
    </sheetView>
  </sheetViews>
  <sheetFormatPr defaultRowHeight="15" x14ac:dyDescent="0.25"/>
  <cols>
    <col min="1" max="1" width="1.7109375" customWidth="1"/>
    <col min="2" max="2" width="12.140625" customWidth="1"/>
    <col min="3" max="3" width="14.140625" customWidth="1"/>
    <col min="4" max="4" width="13.7109375" customWidth="1"/>
    <col min="5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14" customWidth="1"/>
    <col min="12" max="12" width="5" bestFit="1" customWidth="1"/>
  </cols>
  <sheetData>
    <row r="1" spans="1:12" x14ac:dyDescent="0.25">
      <c r="A1" s="84"/>
      <c r="B1" s="85" t="s">
        <v>601</v>
      </c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x14ac:dyDescent="0.25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x14ac:dyDescent="0.25">
      <c r="A3" s="84"/>
      <c r="B3" s="84"/>
      <c r="C3" s="84"/>
      <c r="D3" s="84"/>
      <c r="E3" s="84"/>
      <c r="F3" s="86" t="s">
        <v>563</v>
      </c>
      <c r="G3" s="84"/>
      <c r="H3" s="84"/>
      <c r="I3" s="84"/>
      <c r="J3" s="86" t="s">
        <v>564</v>
      </c>
      <c r="K3" s="87" t="s">
        <v>565</v>
      </c>
      <c r="L3" s="88">
        <f>$C$4</f>
        <v>2018</v>
      </c>
    </row>
    <row r="4" spans="1:12" x14ac:dyDescent="0.25">
      <c r="A4" s="84"/>
      <c r="B4" s="87" t="s">
        <v>566</v>
      </c>
      <c r="C4" s="89">
        <f>YEAR($C$5)</f>
        <v>2018</v>
      </c>
      <c r="D4" s="84"/>
      <c r="E4" s="84"/>
      <c r="F4" s="90" t="s">
        <v>567</v>
      </c>
      <c r="G4" s="91" t="s">
        <v>568</v>
      </c>
      <c r="H4" s="90" t="s">
        <v>569</v>
      </c>
      <c r="I4" s="84"/>
      <c r="J4" s="92" t="str">
        <f>DashBoardFinanceiroAtual!K4</f>
        <v>Informática</v>
      </c>
      <c r="K4" s="90" t="s">
        <v>570</v>
      </c>
      <c r="L4" s="90" t="s">
        <v>567</v>
      </c>
    </row>
    <row r="5" spans="1:12" x14ac:dyDescent="0.25">
      <c r="A5" s="84"/>
      <c r="B5" s="87" t="s">
        <v>602</v>
      </c>
      <c r="C5" s="117">
        <f>DashBoardFinanceiroAtual!K2</f>
        <v>43435</v>
      </c>
      <c r="D5" s="84"/>
      <c r="E5" s="84"/>
      <c r="F5" s="93">
        <v>1</v>
      </c>
      <c r="G5" s="94">
        <f>SUMIFS(TbRegistroSaídas[Valor],TbRegistroSaídas[Data do Caixa Realizado],"",TbRegistroSaídas[Ano Previsto],$C$4,TbRegistroSaídas[Data do Caixa Previsto],"&lt;="&amp;$C$5,TbRegistroSaídas[Mês Previsto],F5)</f>
        <v>6816</v>
      </c>
      <c r="H5" s="94">
        <f>SUMIFS(TbRegistroEntradas[Valor],TbRegistroEntradas[Data do Caixa Realizado],"",TbRegistroEntradas[Ano Previsto],$C$4,TbRegistroEntradas[Data do Caixa Previsto],"&lt;="&amp;$C$5,TbRegistroEntradas[Mês Previsto],F5)</f>
        <v>4843</v>
      </c>
      <c r="I5" s="84"/>
      <c r="J5" s="94">
        <f>SUMIFS(TbRegistroEntradas[Valor],TbRegistroEntradas[Conta Nível 2],$J$4,TbRegistroEntradas[Ano Caixa],$L$3,TbRegistroEntradas[Data do Caixa Realizado],"&lt;="&amp;$C$5,TbRegistroEntradas[Mês Caixa],F5)</f>
        <v>14580</v>
      </c>
      <c r="K5" s="94">
        <f>IF(J5=0,NA(),J5)</f>
        <v>14580</v>
      </c>
      <c r="L5" s="95" t="s">
        <v>571</v>
      </c>
    </row>
    <row r="6" spans="1:12" x14ac:dyDescent="0.25">
      <c r="A6" s="84"/>
      <c r="B6" s="84"/>
      <c r="C6" s="84"/>
      <c r="D6" s="84"/>
      <c r="E6" s="84"/>
      <c r="F6" s="84">
        <v>2</v>
      </c>
      <c r="G6" s="96">
        <f>SUMIFS(TbRegistroSaídas[Valor],TbRegistroSaídas[Data do Caixa Realizado],"",TbRegistroSaídas[Ano Previsto],$C$4,TbRegistroSaídas[Data do Caixa Previsto],"&lt;="&amp;$C$5,TbRegistroSaídas[Mês Previsto],F6)</f>
        <v>9291</v>
      </c>
      <c r="H6" s="96">
        <f>SUMIFS(TbRegistroEntradas[Valor],TbRegistroEntradas[Data do Caixa Realizado],"",TbRegistroEntradas[Ano Previsto],$C$4,TbRegistroEntradas[Data do Caixa Previsto],"&lt;="&amp;$C$5,TbRegistroEntradas[Mês Previsto],F6)</f>
        <v>1561</v>
      </c>
      <c r="I6" s="84"/>
      <c r="J6" s="96">
        <f>SUMIFS(TbRegistroEntradas[Valor],TbRegistroEntradas[Conta Nível 2],$J$4,TbRegistroEntradas[Ano Caixa],$L$3,TbRegistroEntradas[Data do Caixa Realizado],"&lt;="&amp;$C$5,TbRegistroEntradas[Mês Caixa],F6)</f>
        <v>10052</v>
      </c>
      <c r="K6" s="96">
        <f t="shared" ref="K6:K16" si="0">IF(J6=0,NA(),J6)</f>
        <v>10052</v>
      </c>
      <c r="L6" s="87" t="s">
        <v>572</v>
      </c>
    </row>
    <row r="7" spans="1:12" x14ac:dyDescent="0.25">
      <c r="A7" s="84"/>
      <c r="B7" s="86" t="s">
        <v>573</v>
      </c>
      <c r="C7" s="84"/>
      <c r="D7" s="84"/>
      <c r="E7" s="84"/>
      <c r="F7" s="84">
        <v>3</v>
      </c>
      <c r="G7" s="96">
        <f>SUMIFS(TbRegistroSaídas[Valor],TbRegistroSaídas[Data do Caixa Realizado],"",TbRegistroSaídas[Ano Previsto],$C$4,TbRegistroSaídas[Data do Caixa Previsto],"&lt;="&amp;$C$5,TbRegistroSaídas[Mês Previsto],F7)</f>
        <v>0</v>
      </c>
      <c r="H7" s="96">
        <f>SUMIFS(TbRegistroEntradas[Valor],TbRegistroEntradas[Data do Caixa Realizado],"",TbRegistroEntradas[Ano Previsto],$C$4,TbRegistroEntradas[Data do Caixa Previsto],"&lt;="&amp;$C$5,TbRegistroEntradas[Mês Previsto],F7)</f>
        <v>964</v>
      </c>
      <c r="I7" s="84"/>
      <c r="J7" s="96">
        <f>SUMIFS(TbRegistroEntradas[Valor],TbRegistroEntradas[Conta Nível 2],$J$4,TbRegistroEntradas[Ano Caixa],$L$3,TbRegistroEntradas[Data do Caixa Realizado],"&lt;="&amp;$C$5,TbRegistroEntradas[Mês Caixa],F7)</f>
        <v>0</v>
      </c>
      <c r="K7" s="96" t="e">
        <f t="shared" si="0"/>
        <v>#N/A</v>
      </c>
      <c r="L7" s="87" t="s">
        <v>574</v>
      </c>
    </row>
    <row r="8" spans="1:12" x14ac:dyDescent="0.25">
      <c r="A8" s="84"/>
      <c r="B8" s="93" t="s">
        <v>575</v>
      </c>
      <c r="C8" s="97">
        <f>SUMIFS(TbRegistroEntradas[Valor],TbRegistroEntradas[Ano Caixa],"&lt;"&amp;$C$4,TbRegistroEntradas[Ano Caixa],"&lt;&gt;0")-SUMIFS(TbRegistroSaídas[Valor],TbRegistroSaídas[Ano Caixa],"&lt;"&amp;$C$4,TbRegistroSaídas[Ano Caixa],"&lt;&gt;0")</f>
        <v>-1041</v>
      </c>
      <c r="D8" s="84"/>
      <c r="E8" s="84"/>
      <c r="F8" s="84">
        <v>4</v>
      </c>
      <c r="G8" s="96">
        <f>SUMIFS(TbRegistroSaídas[Valor],TbRegistroSaídas[Data do Caixa Realizado],"",TbRegistroSaídas[Ano Previsto],$C$4,TbRegistroSaídas[Data do Caixa Previsto],"&lt;="&amp;$C$5,TbRegistroSaídas[Mês Previsto],F8)</f>
        <v>0</v>
      </c>
      <c r="H8" s="96">
        <f>SUMIFS(TbRegistroEntradas[Valor],TbRegistroEntradas[Data do Caixa Realizado],"",TbRegistroEntradas[Ano Previsto],$C$4,TbRegistroEntradas[Data do Caixa Previsto],"&lt;="&amp;$C$5,TbRegistroEntradas[Mês Previsto],F8)</f>
        <v>5975</v>
      </c>
      <c r="I8" s="84"/>
      <c r="J8" s="96">
        <f>SUMIFS(TbRegistroEntradas[Valor],TbRegistroEntradas[Conta Nível 2],$J$4,TbRegistroEntradas[Ano Caixa],$L$3,TbRegistroEntradas[Data do Caixa Realizado],"&lt;="&amp;$C$5,TbRegistroEntradas[Mês Caixa],F8)</f>
        <v>10096</v>
      </c>
      <c r="K8" s="96">
        <f t="shared" si="0"/>
        <v>10096</v>
      </c>
      <c r="L8" s="87" t="s">
        <v>576</v>
      </c>
    </row>
    <row r="9" spans="1:12" x14ac:dyDescent="0.25">
      <c r="A9" s="84"/>
      <c r="B9" s="84" t="s">
        <v>577</v>
      </c>
      <c r="C9" s="98">
        <f>SUMIFS(TbRegistroEntradas[Valor],TbRegistroEntradas[Ano Caixa],$C$4,TbRegistroEntradas[Data do Caixa Realizado],"&lt;="&amp;$C$5)</f>
        <v>303044</v>
      </c>
      <c r="D9" s="84"/>
      <c r="E9" s="84"/>
      <c r="F9" s="84">
        <v>5</v>
      </c>
      <c r="G9" s="96">
        <f>SUMIFS(TbRegistroSaídas[Valor],TbRegistroSaídas[Data do Caixa Realizado],"",TbRegistroSaídas[Ano Previsto],$C$4,TbRegistroSaídas[Data do Caixa Previsto],"&lt;="&amp;$C$5,TbRegistroSaídas[Mês Previsto],F9)</f>
        <v>9778</v>
      </c>
      <c r="H9" s="96">
        <f>SUMIFS(TbRegistroEntradas[Valor],TbRegistroEntradas[Data do Caixa Realizado],"",TbRegistroEntradas[Ano Previsto],$C$4,TbRegistroEntradas[Data do Caixa Previsto],"&lt;="&amp;$C$5,TbRegistroEntradas[Mês Previsto],F9)</f>
        <v>0</v>
      </c>
      <c r="I9" s="84"/>
      <c r="J9" s="96">
        <f>SUMIFS(TbRegistroEntradas[Valor],TbRegistroEntradas[Conta Nível 2],$J$4,TbRegistroEntradas[Ano Caixa],$L$3,TbRegistroEntradas[Data do Caixa Realizado],"&lt;="&amp;$C$5,TbRegistroEntradas[Mês Caixa],F9)</f>
        <v>3252</v>
      </c>
      <c r="K9" s="96">
        <f t="shared" si="0"/>
        <v>3252</v>
      </c>
      <c r="L9" s="87" t="s">
        <v>578</v>
      </c>
    </row>
    <row r="10" spans="1:12" x14ac:dyDescent="0.25">
      <c r="A10" s="84"/>
      <c r="B10" s="84" t="s">
        <v>579</v>
      </c>
      <c r="C10" s="98">
        <f>SUMIFS(TbRegistroSaídas[Valor],TbRegistroSaídas[Ano Caixa],$C$4,TbRegistroSaídas[Data do Caixa Realizado],"&lt;="&amp;$C$5)</f>
        <v>239143</v>
      </c>
      <c r="D10" s="84"/>
      <c r="E10" s="84"/>
      <c r="F10" s="84">
        <v>6</v>
      </c>
      <c r="G10" s="96">
        <f>SUMIFS(TbRegistroSaídas[Valor],TbRegistroSaídas[Data do Caixa Realizado],"",TbRegistroSaídas[Ano Previsto],$C$4,TbRegistroSaídas[Data do Caixa Previsto],"&lt;="&amp;$C$5,TbRegistroSaídas[Mês Previsto],F10)</f>
        <v>6321</v>
      </c>
      <c r="H10" s="96">
        <f>SUMIFS(TbRegistroEntradas[Valor],TbRegistroEntradas[Data do Caixa Realizado],"",TbRegistroEntradas[Ano Previsto],$C$4,TbRegistroEntradas[Data do Caixa Previsto],"&lt;="&amp;$C$5,TbRegistroEntradas[Mês Previsto],F10)</f>
        <v>2593</v>
      </c>
      <c r="I10" s="84"/>
      <c r="J10" s="96">
        <f>SUMIFS(TbRegistroEntradas[Valor],TbRegistroEntradas[Conta Nível 2],$J$4,TbRegistroEntradas[Ano Caixa],$L$3,TbRegistroEntradas[Data do Caixa Realizado],"&lt;="&amp;$C$5,TbRegistroEntradas[Mês Caixa],F10)</f>
        <v>2114</v>
      </c>
      <c r="K10" s="96">
        <f t="shared" si="0"/>
        <v>2114</v>
      </c>
      <c r="L10" s="87" t="s">
        <v>580</v>
      </c>
    </row>
    <row r="11" spans="1:12" x14ac:dyDescent="0.25">
      <c r="A11" s="84"/>
      <c r="B11" s="99" t="s">
        <v>581</v>
      </c>
      <c r="C11" s="100">
        <f>C8+(C9-C10)</f>
        <v>62860</v>
      </c>
      <c r="D11" s="84"/>
      <c r="E11" s="84"/>
      <c r="F11" s="84">
        <v>7</v>
      </c>
      <c r="G11" s="96">
        <f>SUMIFS(TbRegistroSaídas[Valor],TbRegistroSaídas[Data do Caixa Realizado],"",TbRegistroSaídas[Ano Previsto],$C$4,TbRegistroSaídas[Data do Caixa Previsto],"&lt;="&amp;$C$5,TbRegistroSaídas[Mês Previsto],F11)</f>
        <v>6846</v>
      </c>
      <c r="H11" s="96">
        <f>SUMIFS(TbRegistroEntradas[Valor],TbRegistroEntradas[Data do Caixa Realizado],"",TbRegistroEntradas[Ano Previsto],$C$4,TbRegistroEntradas[Data do Caixa Previsto],"&lt;="&amp;$C$5,TbRegistroEntradas[Mês Previsto],F11)</f>
        <v>5627</v>
      </c>
      <c r="I11" s="84"/>
      <c r="J11" s="96">
        <f>SUMIFS(TbRegistroEntradas[Valor],TbRegistroEntradas[Conta Nível 2],$J$4,TbRegistroEntradas[Ano Caixa],$L$3,TbRegistroEntradas[Data do Caixa Realizado],"&lt;="&amp;$C$5,TbRegistroEntradas[Mês Caixa],F11)</f>
        <v>0</v>
      </c>
      <c r="K11" s="96" t="e">
        <f t="shared" si="0"/>
        <v>#N/A</v>
      </c>
      <c r="L11" s="87" t="s">
        <v>582</v>
      </c>
    </row>
    <row r="12" spans="1:12" x14ac:dyDescent="0.25">
      <c r="A12" s="84"/>
      <c r="B12" s="84"/>
      <c r="C12" s="84"/>
      <c r="D12" s="84"/>
      <c r="E12" s="84"/>
      <c r="F12" s="84">
        <v>8</v>
      </c>
      <c r="G12" s="96">
        <f>SUMIFS(TbRegistroSaídas[Valor],TbRegistroSaídas[Data do Caixa Realizado],"",TbRegistroSaídas[Ano Previsto],$C$4,TbRegistroSaídas[Data do Caixa Previsto],"&lt;="&amp;$C$5,TbRegistroSaídas[Mês Previsto],F12)</f>
        <v>0</v>
      </c>
      <c r="H12" s="96">
        <f>SUMIFS(TbRegistroEntradas[Valor],TbRegistroEntradas[Data do Caixa Realizado],"",TbRegistroEntradas[Ano Previsto],$C$4,TbRegistroEntradas[Data do Caixa Previsto],"&lt;="&amp;$C$5,TbRegistroEntradas[Mês Previsto],F12)</f>
        <v>0</v>
      </c>
      <c r="I12" s="84"/>
      <c r="J12" s="96">
        <f>SUMIFS(TbRegistroEntradas[Valor],TbRegistroEntradas[Conta Nível 2],$J$4,TbRegistroEntradas[Ano Caixa],$L$3,TbRegistroEntradas[Data do Caixa Realizado],"&lt;="&amp;$C$5,TbRegistroEntradas[Mês Caixa],F12)</f>
        <v>5559</v>
      </c>
      <c r="K12" s="96">
        <f t="shared" si="0"/>
        <v>5559</v>
      </c>
      <c r="L12" s="87" t="s">
        <v>583</v>
      </c>
    </row>
    <row r="13" spans="1:12" x14ac:dyDescent="0.25">
      <c r="A13" s="84"/>
      <c r="B13" s="101" t="s">
        <v>584</v>
      </c>
      <c r="C13" s="101"/>
      <c r="D13" s="97">
        <f>SUMIFS(TbRegistroSaídas[Valor],TbRegistroSaídas[Data do Caixa Realizado],"",TbRegistroSaídas[Ano Previsto],$C$4,TbRegistroSaídas[Data do Caixa Previsto],"&lt;="&amp;$C$5)</f>
        <v>46816</v>
      </c>
      <c r="E13" s="84"/>
      <c r="F13" s="84">
        <v>9</v>
      </c>
      <c r="G13" s="96">
        <f>SUMIFS(TbRegistroSaídas[Valor],TbRegistroSaídas[Data do Caixa Realizado],"",TbRegistroSaídas[Ano Previsto],$C$4,TbRegistroSaídas[Data do Caixa Previsto],"&lt;="&amp;$C$5,TbRegistroSaídas[Mês Previsto],F13)</f>
        <v>3092</v>
      </c>
      <c r="H13" s="96">
        <f>SUMIFS(TbRegistroEntradas[Valor],TbRegistroEntradas[Data do Caixa Realizado],"",TbRegistroEntradas[Ano Previsto],$C$4,TbRegistroEntradas[Data do Caixa Previsto],"&lt;="&amp;$C$5,TbRegistroEntradas[Mês Previsto],F13)</f>
        <v>2071</v>
      </c>
      <c r="I13" s="84"/>
      <c r="J13" s="96">
        <f>SUMIFS(TbRegistroEntradas[Valor],TbRegistroEntradas[Conta Nível 2],$J$4,TbRegistroEntradas[Ano Caixa],$L$3,TbRegistroEntradas[Data do Caixa Realizado],"&lt;="&amp;$C$5,TbRegistroEntradas[Mês Caixa],F13)</f>
        <v>7605</v>
      </c>
      <c r="K13" s="96">
        <f t="shared" si="0"/>
        <v>7605</v>
      </c>
      <c r="L13" s="87" t="s">
        <v>585</v>
      </c>
    </row>
    <row r="14" spans="1:12" x14ac:dyDescent="0.25">
      <c r="A14" s="84"/>
      <c r="B14" s="102" t="s">
        <v>586</v>
      </c>
      <c r="C14" s="102"/>
      <c r="D14" s="103">
        <f>SUMIFS(TbRegistroEntradas[Valor],TbRegistroEntradas[Data do Caixa Realizado],"",TbRegistroEntradas[Ano Previsto],$C$4,TbRegistroEntradas[Data do Caixa Previsto],"&lt;="&amp;$C$5)</f>
        <v>27421</v>
      </c>
      <c r="E14" s="84"/>
      <c r="F14" s="84">
        <v>10</v>
      </c>
      <c r="G14" s="96">
        <f>SUMIFS(TbRegistroSaídas[Valor],TbRegistroSaídas[Data do Caixa Realizado],"",TbRegistroSaídas[Ano Previsto],$C$4,TbRegistroSaídas[Data do Caixa Previsto],"&lt;="&amp;$C$5,TbRegistroSaídas[Mês Previsto],F14)</f>
        <v>0</v>
      </c>
      <c r="H14" s="96">
        <f>SUMIFS(TbRegistroEntradas[Valor],TbRegistroEntradas[Data do Caixa Realizado],"",TbRegistroEntradas[Ano Previsto],$C$4,TbRegistroEntradas[Data do Caixa Previsto],"&lt;="&amp;$C$5,TbRegistroEntradas[Mês Previsto],F14)</f>
        <v>3787</v>
      </c>
      <c r="I14" s="84"/>
      <c r="J14" s="96">
        <f>SUMIFS(TbRegistroEntradas[Valor],TbRegistroEntradas[Conta Nível 2],$J$4,TbRegistroEntradas[Ano Caixa],$L$3,TbRegistroEntradas[Data do Caixa Realizado],"&lt;="&amp;$C$5,TbRegistroEntradas[Mês Caixa],F14)</f>
        <v>2713</v>
      </c>
      <c r="K14" s="96">
        <f t="shared" si="0"/>
        <v>2713</v>
      </c>
      <c r="L14" s="87" t="s">
        <v>587</v>
      </c>
    </row>
    <row r="15" spans="1:12" x14ac:dyDescent="0.25">
      <c r="A15" s="84"/>
      <c r="B15" s="84"/>
      <c r="C15" s="84"/>
      <c r="D15" s="84"/>
      <c r="E15" s="84"/>
      <c r="F15" s="84">
        <v>11</v>
      </c>
      <c r="G15" s="96">
        <f>SUMIFS(TbRegistroSaídas[Valor],TbRegistroSaídas[Data do Caixa Realizado],"",TbRegistroSaídas[Ano Previsto],$C$4,TbRegistroSaídas[Data do Caixa Previsto],"&lt;="&amp;$C$5,TbRegistroSaídas[Mês Previsto],F15)</f>
        <v>4672</v>
      </c>
      <c r="H15" s="96">
        <f>SUMIFS(TbRegistroEntradas[Valor],TbRegistroEntradas[Data do Caixa Realizado],"",TbRegistroEntradas[Ano Previsto],$C$4,TbRegistroEntradas[Data do Caixa Previsto],"&lt;="&amp;$C$5,TbRegistroEntradas[Mês Previsto],F15)</f>
        <v>0</v>
      </c>
      <c r="I15" s="84"/>
      <c r="J15" s="96">
        <f>SUMIFS(TbRegistroEntradas[Valor],TbRegistroEntradas[Conta Nível 2],$J$4,TbRegistroEntradas[Ano Caixa],$L$3,TbRegistroEntradas[Data do Caixa Realizado],"&lt;="&amp;$C$5,TbRegistroEntradas[Mês Caixa],F15)</f>
        <v>5006</v>
      </c>
      <c r="K15" s="96">
        <f t="shared" si="0"/>
        <v>5006</v>
      </c>
      <c r="L15" s="87" t="s">
        <v>588</v>
      </c>
    </row>
    <row r="16" spans="1:12" x14ac:dyDescent="0.25">
      <c r="A16" s="84"/>
      <c r="B16" s="84"/>
      <c r="C16" s="84"/>
      <c r="D16" s="84"/>
      <c r="E16" s="84"/>
      <c r="F16" s="99">
        <v>12</v>
      </c>
      <c r="G16" s="104">
        <f>SUMIFS(TbRegistroSaídas[Valor],TbRegistroSaídas[Data do Caixa Realizado],"",TbRegistroSaídas[Ano Previsto],$C$4,TbRegistroSaídas[Data do Caixa Previsto],"&lt;="&amp;$C$5,TbRegistroSaídas[Mês Previsto],F16)</f>
        <v>0</v>
      </c>
      <c r="H16" s="104">
        <f>SUMIFS(TbRegistroEntradas[Valor],TbRegistroEntradas[Data do Caixa Realizado],"",TbRegistroEntradas[Ano Previsto],$C$4,TbRegistroEntradas[Data do Caixa Previsto],"&lt;="&amp;$C$5,TbRegistroEntradas[Mês Previsto],F16)</f>
        <v>0</v>
      </c>
      <c r="I16" s="84"/>
      <c r="J16" s="104">
        <f>SUMIFS(TbRegistroEntradas[Valor],TbRegistroEntradas[Conta Nível 2],$J$4,TbRegistroEntradas[Ano Caixa],$L$3,TbRegistroEntradas[Data do Caixa Realizado],"&lt;="&amp;$C$5,TbRegistroEntradas[Mês Caixa],F16)</f>
        <v>4404</v>
      </c>
      <c r="K16" s="104">
        <f t="shared" si="0"/>
        <v>4404</v>
      </c>
      <c r="L16" s="105" t="s">
        <v>589</v>
      </c>
    </row>
    <row r="17" spans="1:12" x14ac:dyDescent="0.25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</row>
    <row r="18" spans="1:12" x14ac:dyDescent="0.25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</row>
    <row r="19" spans="1:12" x14ac:dyDescent="0.25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</row>
    <row r="20" spans="1:12" x14ac:dyDescent="0.25">
      <c r="A20" s="84"/>
      <c r="B20" s="86" t="s">
        <v>590</v>
      </c>
      <c r="C20" s="84"/>
      <c r="D20" s="84"/>
      <c r="E20" s="106"/>
      <c r="F20" s="84"/>
      <c r="G20" s="84"/>
      <c r="H20" s="84"/>
      <c r="I20" s="84"/>
      <c r="J20" s="84"/>
      <c r="K20" s="84"/>
      <c r="L20" s="84"/>
    </row>
    <row r="21" spans="1:12" x14ac:dyDescent="0.25">
      <c r="A21" s="84"/>
      <c r="B21" s="90" t="s">
        <v>591</v>
      </c>
      <c r="C21" s="91" t="s">
        <v>592</v>
      </c>
      <c r="D21" s="91" t="s">
        <v>593</v>
      </c>
      <c r="E21" s="91" t="s">
        <v>552</v>
      </c>
      <c r="F21" s="84"/>
      <c r="G21" s="84"/>
      <c r="H21" s="84"/>
      <c r="I21" s="84"/>
      <c r="J21" s="84"/>
      <c r="K21" s="84"/>
      <c r="L21" s="84"/>
    </row>
    <row r="22" spans="1:12" x14ac:dyDescent="0.25">
      <c r="A22" s="84"/>
      <c r="B22" s="107">
        <f>$C$4</f>
        <v>2018</v>
      </c>
      <c r="C22" s="108">
        <f>SUMIFS(TbRegistroEntradas[Valor],TbRegistroEntradas[Venda à Vista],"Vista",TbRegistroEntradas[Ano Caixa],$B$22,TbRegistroEntradas[Data do Caixa Realizado],"&lt;="&amp;$C$5)</f>
        <v>97625</v>
      </c>
      <c r="D22" s="108">
        <f>SUMIFS(TbRegistroEntradas[Valor],TbRegistroEntradas[Venda à Vista],"Prazo",TbRegistroEntradas[Ano Caixa],$B$22,TbRegistroEntradas[Data do Caixa Realizado],"&lt;="&amp;$C$5)</f>
        <v>205419</v>
      </c>
      <c r="E22" s="108">
        <f>C22+D22</f>
        <v>303044</v>
      </c>
      <c r="F22" s="84"/>
      <c r="G22" s="84"/>
      <c r="H22" s="84"/>
      <c r="I22" s="84"/>
      <c r="J22" s="84"/>
      <c r="K22" s="84"/>
      <c r="L22" s="84"/>
    </row>
    <row r="23" spans="1:12" x14ac:dyDescent="0.25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</row>
    <row r="24" spans="1:12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</row>
    <row r="25" spans="1:12" x14ac:dyDescent="0.25">
      <c r="A25" s="84"/>
      <c r="B25" s="86" t="s">
        <v>594</v>
      </c>
      <c r="C25" s="84"/>
      <c r="D25" s="84"/>
      <c r="E25" s="84"/>
      <c r="F25" s="84"/>
      <c r="G25" s="86" t="s">
        <v>595</v>
      </c>
      <c r="H25" s="84"/>
      <c r="I25" s="84"/>
      <c r="J25" s="84"/>
      <c r="K25" s="84"/>
      <c r="L25" s="84"/>
    </row>
    <row r="26" spans="1:12" x14ac:dyDescent="0.25">
      <c r="A26" s="84"/>
      <c r="B26" s="90" t="s">
        <v>591</v>
      </c>
      <c r="C26" s="91" t="s">
        <v>596</v>
      </c>
      <c r="D26" s="91" t="s">
        <v>560</v>
      </c>
      <c r="E26" s="91" t="s">
        <v>597</v>
      </c>
      <c r="F26" s="84"/>
      <c r="G26" s="90" t="s">
        <v>591</v>
      </c>
      <c r="H26" s="91" t="s">
        <v>596</v>
      </c>
      <c r="I26" s="91" t="s">
        <v>560</v>
      </c>
      <c r="J26" s="91" t="s">
        <v>597</v>
      </c>
      <c r="K26" s="84"/>
      <c r="L26" s="84"/>
    </row>
    <row r="27" spans="1:12" x14ac:dyDescent="0.25">
      <c r="A27" s="84"/>
      <c r="B27" s="107">
        <f>$C$4</f>
        <v>2018</v>
      </c>
      <c r="C27" s="109">
        <f ca="1">COUNTIFS(TbRegistroEntradas[Dias de Atraso],"&gt;0",TbRegistroEntradas[Ano Previsto],$B$27,TbRegistroEntradas[Data do Caixa Previsto],"&lt;="&amp;$C$5)</f>
        <v>32</v>
      </c>
      <c r="D27" s="109">
        <f ca="1">SUMIFS(TbRegistroEntradas[Dias de Atraso],TbRegistroEntradas[Dias de Atraso],"&gt;0",TbRegistroEntradas[Ano Previsto],$B$27,TbRegistroEntradas[Data do Caixa Previsto],"&lt;="&amp;$C$5)</f>
        <v>8068</v>
      </c>
      <c r="E27" s="109">
        <f ca="1">D27/C27</f>
        <v>252.125</v>
      </c>
      <c r="F27" s="84"/>
      <c r="G27" s="107">
        <f>$C$4</f>
        <v>2018</v>
      </c>
      <c r="H27" s="109">
        <f ca="1">COUNTIFS(TbRegistroSaídas[Dias de Atraso],"&gt;0",TbRegistroSaídas[Ano Previsto],$G$27,TbRegistroSaídas[Data do Caixa Previsto],"&lt;="&amp;$C$5)</f>
        <v>28</v>
      </c>
      <c r="I27" s="109">
        <f ca="1">SUMIFS(TbRegistroSaídas[Dias de Atraso],TbRegistroSaídas[Dias de Atraso],"&gt;0",TbRegistroSaídas[Ano Previsto],$G$27,TbRegistroSaídas[Data do Caixa Previsto],"&lt;="&amp;$C$5)</f>
        <v>13058</v>
      </c>
      <c r="J27" s="109">
        <f ca="1">I27/H27</f>
        <v>466.35714285714283</v>
      </c>
      <c r="K27" s="84"/>
      <c r="L27" s="84"/>
    </row>
    <row r="28" spans="1:12" x14ac:dyDescent="0.25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</row>
    <row r="29" spans="1:12" x14ac:dyDescent="0.25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</row>
    <row r="30" spans="1:12" x14ac:dyDescent="0.25">
      <c r="A30" s="84"/>
      <c r="B30" s="86" t="s">
        <v>598</v>
      </c>
      <c r="C30" s="84"/>
      <c r="D30" s="84"/>
      <c r="E30" s="84"/>
      <c r="F30" s="84"/>
      <c r="G30" s="86" t="s">
        <v>599</v>
      </c>
      <c r="H30" s="110">
        <f>$C$4</f>
        <v>2018</v>
      </c>
      <c r="I30" s="84"/>
      <c r="J30" s="84"/>
      <c r="K30" s="84"/>
      <c r="L30" s="84"/>
    </row>
    <row r="31" spans="1:12" x14ac:dyDescent="0.25">
      <c r="A31" s="84"/>
      <c r="B31" s="111" t="s">
        <v>591</v>
      </c>
      <c r="C31" s="95" t="s">
        <v>577</v>
      </c>
      <c r="D31" s="95" t="s">
        <v>579</v>
      </c>
      <c r="E31" s="95" t="s">
        <v>600</v>
      </c>
      <c r="F31" s="84"/>
      <c r="G31" s="90" t="s">
        <v>567</v>
      </c>
      <c r="H31" s="112" t="str">
        <f>DashBoardFinanceiroAtual!$K$14</f>
        <v>Som e imagem</v>
      </c>
      <c r="I31" s="84"/>
      <c r="J31" s="84"/>
      <c r="K31" s="84"/>
      <c r="L31" s="84"/>
    </row>
    <row r="32" spans="1:12" x14ac:dyDescent="0.25">
      <c r="A32" s="84"/>
      <c r="B32" s="113">
        <f>$C$4</f>
        <v>2018</v>
      </c>
      <c r="C32" s="114">
        <f>SUMIFS(TbRegistroEntradas[Valor],TbRegistroEntradas[Ano Caixa],$B$32,TbRegistroEntradas[Data do Caixa Realizado],"&lt;="&amp;$C$5)</f>
        <v>303044</v>
      </c>
      <c r="D32" s="114">
        <f>SUMIFS(TbRegistroSaídas[Valor],TbRegistroSaídas[Ano Caixa],$B$32,TbRegistroSaídas[Data do Caixa Realizado],"&lt;="&amp;$C$5)</f>
        <v>239143</v>
      </c>
      <c r="E32" s="115">
        <f>C32-D32</f>
        <v>63901</v>
      </c>
      <c r="F32" s="84"/>
      <c r="G32" s="84">
        <v>1</v>
      </c>
      <c r="H32" s="96">
        <f>SUMIFS(TbRegistroSaídas[Valor],TbRegistroSaídas[Conta Nível 2],$H$31,TbRegistroSaídas[Ano Caixa],$H$30,TbRegistroSaídas[Data do Caixa Realizado],"&lt;="&amp;$C$5,TbRegistroSaídas[Mês Caixa],G32)</f>
        <v>9875</v>
      </c>
      <c r="I32" s="84" t="s">
        <v>606</v>
      </c>
      <c r="J32" s="84"/>
      <c r="K32" s="84"/>
      <c r="L32" s="84"/>
    </row>
    <row r="33" spans="1:12" x14ac:dyDescent="0.25">
      <c r="A33" s="84"/>
      <c r="B33" s="84"/>
      <c r="C33" s="84"/>
      <c r="D33" s="84"/>
      <c r="E33" s="84"/>
      <c r="F33" s="84"/>
      <c r="G33" s="84">
        <v>2</v>
      </c>
      <c r="H33" s="96">
        <f>SUMIFS(TbRegistroSaídas[Valor],TbRegistroSaídas[Conta Nível 2],$H$31,TbRegistroSaídas[Ano Caixa],$H$30,TbRegistroSaídas[Data do Caixa Realizado],"&lt;="&amp;$C$5,TbRegistroSaídas[Mês Caixa],G33)</f>
        <v>5685</v>
      </c>
      <c r="I33" s="84" t="s">
        <v>607</v>
      </c>
      <c r="J33" s="84"/>
      <c r="K33" s="84"/>
      <c r="L33" s="84"/>
    </row>
    <row r="34" spans="1:12" x14ac:dyDescent="0.25">
      <c r="A34" s="84"/>
      <c r="B34" s="84"/>
      <c r="C34" s="84"/>
      <c r="D34" s="84"/>
      <c r="E34" s="84"/>
      <c r="F34" s="84"/>
      <c r="G34" s="84">
        <v>3</v>
      </c>
      <c r="H34" s="96">
        <f>SUMIFS(TbRegistroSaídas[Valor],TbRegistroSaídas[Conta Nível 2],$H$31,TbRegistroSaídas[Ano Caixa],$H$30,TbRegistroSaídas[Data do Caixa Realizado],"&lt;="&amp;$C$5,TbRegistroSaídas[Mês Caixa],G34)</f>
        <v>0</v>
      </c>
      <c r="I34" s="84" t="s">
        <v>608</v>
      </c>
      <c r="J34" s="84"/>
      <c r="K34" s="84"/>
      <c r="L34" s="84"/>
    </row>
    <row r="35" spans="1:12" x14ac:dyDescent="0.25">
      <c r="A35" s="84"/>
      <c r="B35" s="84"/>
      <c r="C35" s="84"/>
      <c r="D35" s="84"/>
      <c r="E35" s="84"/>
      <c r="F35" s="84"/>
      <c r="G35" s="84">
        <v>4</v>
      </c>
      <c r="H35" s="96">
        <f>SUMIFS(TbRegistroSaídas[Valor],TbRegistroSaídas[Conta Nível 2],$H$31,TbRegistroSaídas[Ano Caixa],$H$30,TbRegistroSaídas[Data do Caixa Realizado],"&lt;="&amp;$C$5,TbRegistroSaídas[Mês Caixa],G35)</f>
        <v>0</v>
      </c>
      <c r="I35" s="84" t="s">
        <v>609</v>
      </c>
      <c r="J35" s="84"/>
      <c r="K35" s="84"/>
      <c r="L35" s="84"/>
    </row>
    <row r="36" spans="1:12" x14ac:dyDescent="0.25">
      <c r="A36" s="84"/>
      <c r="B36" s="84"/>
      <c r="C36" s="84"/>
      <c r="D36" s="84"/>
      <c r="E36" s="84"/>
      <c r="F36" s="84"/>
      <c r="G36" s="84">
        <v>5</v>
      </c>
      <c r="H36" s="96">
        <f>SUMIFS(TbRegistroSaídas[Valor],TbRegistroSaídas[Conta Nível 2],$H$31,TbRegistroSaídas[Ano Caixa],$H$30,TbRegistroSaídas[Data do Caixa Realizado],"&lt;="&amp;$C$5,TbRegistroSaídas[Mês Caixa],G36)</f>
        <v>0</v>
      </c>
      <c r="I36" s="84" t="s">
        <v>608</v>
      </c>
      <c r="J36" s="84"/>
      <c r="K36" s="84"/>
      <c r="L36" s="84"/>
    </row>
    <row r="37" spans="1:12" x14ac:dyDescent="0.25">
      <c r="A37" s="84"/>
      <c r="B37" s="84"/>
      <c r="C37" s="84"/>
      <c r="D37" s="84"/>
      <c r="E37" s="84"/>
      <c r="F37" s="84"/>
      <c r="G37" s="84">
        <v>6</v>
      </c>
      <c r="H37" s="96">
        <f>SUMIFS(TbRegistroSaídas[Valor],TbRegistroSaídas[Conta Nível 2],$H$31,TbRegistroSaídas[Ano Caixa],$H$30,TbRegistroSaídas[Data do Caixa Realizado],"&lt;="&amp;$C$5,TbRegistroSaídas[Mês Caixa],G37)</f>
        <v>3932</v>
      </c>
      <c r="I37" s="84" t="s">
        <v>606</v>
      </c>
      <c r="J37" s="84"/>
      <c r="K37" s="84"/>
      <c r="L37" s="84"/>
    </row>
    <row r="38" spans="1:12" x14ac:dyDescent="0.25">
      <c r="A38" s="84"/>
      <c r="B38" s="84"/>
      <c r="C38" s="84"/>
      <c r="D38" s="84"/>
      <c r="E38" s="84"/>
      <c r="F38" s="84"/>
      <c r="G38" s="84">
        <v>7</v>
      </c>
      <c r="H38" s="96">
        <f>SUMIFS(TbRegistroSaídas[Valor],TbRegistroSaídas[Conta Nível 2],$H$31,TbRegistroSaídas[Ano Caixa],$H$30,TbRegistroSaídas[Data do Caixa Realizado],"&lt;="&amp;$C$5,TbRegistroSaídas[Mês Caixa],G38)</f>
        <v>6553</v>
      </c>
      <c r="I38" s="84" t="s">
        <v>606</v>
      </c>
      <c r="J38" s="84"/>
      <c r="K38" s="84"/>
      <c r="L38" s="84"/>
    </row>
    <row r="39" spans="1:12" x14ac:dyDescent="0.25">
      <c r="A39" s="84"/>
      <c r="B39" s="84"/>
      <c r="C39" s="84"/>
      <c r="D39" s="84"/>
      <c r="E39" s="84"/>
      <c r="F39" s="84"/>
      <c r="G39" s="84">
        <v>8</v>
      </c>
      <c r="H39" s="96">
        <f>SUMIFS(TbRegistroSaídas[Valor],TbRegistroSaídas[Conta Nível 2],$H$31,TbRegistroSaídas[Ano Caixa],$H$30,TbRegistroSaídas[Data do Caixa Realizado],"&lt;="&amp;$C$5,TbRegistroSaídas[Mês Caixa],G39)</f>
        <v>2947</v>
      </c>
      <c r="I39" s="84" t="s">
        <v>609</v>
      </c>
      <c r="J39" s="84"/>
      <c r="K39" s="84"/>
      <c r="L39" s="84"/>
    </row>
    <row r="40" spans="1:12" x14ac:dyDescent="0.25">
      <c r="A40" s="84"/>
      <c r="B40" s="84"/>
      <c r="C40" s="84"/>
      <c r="D40" s="84"/>
      <c r="E40" s="84"/>
      <c r="F40" s="84"/>
      <c r="G40" s="84">
        <v>9</v>
      </c>
      <c r="H40" s="96">
        <f>SUMIFS(TbRegistroSaídas[Valor],TbRegistroSaídas[Conta Nível 2],$H$31,TbRegistroSaídas[Ano Caixa],$H$30,TbRegistroSaídas[Data do Caixa Realizado],"&lt;="&amp;$C$5,TbRegistroSaídas[Mês Caixa],G40)</f>
        <v>4695</v>
      </c>
      <c r="I40" s="84" t="s">
        <v>610</v>
      </c>
      <c r="J40" s="84"/>
      <c r="K40" s="84"/>
      <c r="L40" s="84"/>
    </row>
    <row r="41" spans="1:12" x14ac:dyDescent="0.25">
      <c r="A41" s="84"/>
      <c r="B41" s="84"/>
      <c r="C41" s="84"/>
      <c r="D41" s="84"/>
      <c r="E41" s="84"/>
      <c r="F41" s="84"/>
      <c r="G41" s="84">
        <v>10</v>
      </c>
      <c r="H41" s="96">
        <f>SUMIFS(TbRegistroSaídas[Valor],TbRegistroSaídas[Conta Nível 2],$H$31,TbRegistroSaídas[Ano Caixa],$H$30,TbRegistroSaídas[Data do Caixa Realizado],"&lt;="&amp;$C$5,TbRegistroSaídas[Mês Caixa],G41)</f>
        <v>5433</v>
      </c>
      <c r="I41" s="84" t="s">
        <v>611</v>
      </c>
      <c r="J41" s="84"/>
      <c r="K41" s="84"/>
      <c r="L41" s="84"/>
    </row>
    <row r="42" spans="1:12" x14ac:dyDescent="0.25">
      <c r="A42" s="84"/>
      <c r="B42" s="84"/>
      <c r="C42" s="84"/>
      <c r="D42" s="84"/>
      <c r="E42" s="84"/>
      <c r="F42" s="84"/>
      <c r="G42" s="84">
        <v>11</v>
      </c>
      <c r="H42" s="96">
        <f>SUMIFS(TbRegistroSaídas[Valor],TbRegistroSaídas[Conta Nível 2],$H$31,TbRegistroSaídas[Ano Caixa],$H$30,TbRegistroSaídas[Data do Caixa Realizado],"&lt;="&amp;$C$5,TbRegistroSaídas[Mês Caixa],G42)</f>
        <v>0</v>
      </c>
      <c r="I42" s="84" t="s">
        <v>612</v>
      </c>
      <c r="J42" s="84"/>
      <c r="K42" s="84"/>
      <c r="L42" s="84"/>
    </row>
    <row r="43" spans="1:12" x14ac:dyDescent="0.25">
      <c r="A43" s="84"/>
      <c r="B43" s="84"/>
      <c r="C43" s="84"/>
      <c r="D43" s="84"/>
      <c r="E43" s="84"/>
      <c r="F43" s="84"/>
      <c r="G43" s="99">
        <v>12</v>
      </c>
      <c r="H43" s="96">
        <f>SUMIFS(TbRegistroSaídas[Valor],TbRegistroSaídas[Conta Nível 2],$H$31,TbRegistroSaídas[Ano Caixa],$H$30,TbRegistroSaídas[Data do Caixa Realizado],"&lt;="&amp;$C$5,TbRegistroSaídas[Mês Caixa],G43)</f>
        <v>0</v>
      </c>
      <c r="I43" s="84" t="s">
        <v>613</v>
      </c>
      <c r="J43" s="84"/>
      <c r="K43" s="84"/>
      <c r="L43" s="84"/>
    </row>
    <row r="44" spans="1:12" x14ac:dyDescent="0.25">
      <c r="A44" s="84"/>
      <c r="B44" s="84"/>
      <c r="C44" s="84"/>
      <c r="D44" s="84"/>
      <c r="E44" s="84"/>
      <c r="F44" s="84"/>
      <c r="G44" s="90" t="s">
        <v>552</v>
      </c>
      <c r="H44" s="116">
        <f>SUM(H32:H43)</f>
        <v>39120</v>
      </c>
      <c r="I44" s="84"/>
      <c r="J44" s="84"/>
      <c r="K44" s="84"/>
      <c r="L44" s="84"/>
    </row>
    <row r="45" spans="1:12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</row>
    <row r="46" spans="1:12" x14ac:dyDescent="0.25">
      <c r="G46" s="84"/>
      <c r="H46" s="84"/>
      <c r="I46" s="84"/>
      <c r="J46" s="84"/>
    </row>
  </sheetData>
  <conditionalFormatting sqref="C11">
    <cfRule type="cellIs" dxfId="24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showRowColHeaders="0" zoomScaleNormal="100" workbookViewId="0">
      <selection activeCell="K4" sqref="K4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3" t="s">
        <v>561</v>
      </c>
    </row>
    <row r="2" spans="2:11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159">
        <v>2018</v>
      </c>
    </row>
    <row r="3" spans="2:11" ht="20.100000000000001" customHeight="1" x14ac:dyDescent="0.25"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2:11" ht="20.100000000000001" customHeight="1" x14ac:dyDescent="0.25">
      <c r="B4" s="71" t="s">
        <v>548</v>
      </c>
      <c r="C4" s="36"/>
      <c r="D4" s="72" t="s">
        <v>549</v>
      </c>
      <c r="E4" s="36"/>
      <c r="F4" s="37"/>
      <c r="G4" s="38"/>
      <c r="H4" s="38"/>
      <c r="I4" s="78" t="s">
        <v>550</v>
      </c>
      <c r="J4" s="38"/>
      <c r="K4" s="82" t="s">
        <v>30</v>
      </c>
    </row>
    <row r="5" spans="2:11" ht="20.100000000000001" customHeight="1" x14ac:dyDescent="0.25">
      <c r="B5" s="125">
        <f>DashBoardFinanceiroAnualD!$C$11</f>
        <v>55108</v>
      </c>
      <c r="C5" s="36"/>
      <c r="D5" s="39" t="s">
        <v>603</v>
      </c>
      <c r="E5" s="36"/>
      <c r="F5" s="40"/>
      <c r="G5" s="41"/>
      <c r="H5" s="41"/>
      <c r="I5" s="42"/>
      <c r="J5" s="43"/>
      <c r="K5" s="44"/>
    </row>
    <row r="6" spans="2:11" ht="4.5" customHeight="1" x14ac:dyDescent="0.25">
      <c r="B6" s="36"/>
      <c r="C6" s="36"/>
      <c r="D6" s="36"/>
      <c r="E6" s="36"/>
      <c r="F6" s="40"/>
      <c r="G6" s="41"/>
      <c r="H6" s="41"/>
      <c r="I6" s="42"/>
      <c r="J6" s="42"/>
      <c r="K6" s="44"/>
    </row>
    <row r="7" spans="2:11" ht="20.100000000000001" customHeight="1" x14ac:dyDescent="0.25">
      <c r="B7" s="71" t="s">
        <v>551</v>
      </c>
      <c r="C7" s="36"/>
      <c r="D7" s="134"/>
      <c r="E7" s="36"/>
      <c r="F7" s="40"/>
      <c r="G7" s="41"/>
      <c r="H7" s="41"/>
      <c r="I7" s="42"/>
      <c r="J7" s="42"/>
      <c r="K7" s="77" t="s">
        <v>552</v>
      </c>
    </row>
    <row r="8" spans="2:11" ht="20.100000000000001" customHeight="1" x14ac:dyDescent="0.25">
      <c r="B8" s="126">
        <f>DashBoardFinanceiroAnualD!$D$13</f>
        <v>46816</v>
      </c>
      <c r="C8" s="36"/>
      <c r="D8" s="135"/>
      <c r="E8" s="36"/>
      <c r="F8" s="40"/>
      <c r="G8" s="41"/>
      <c r="H8" s="41"/>
      <c r="I8" s="42"/>
      <c r="J8" s="42"/>
      <c r="K8" s="120">
        <f>SUM(DashBoardFinanceiroAnualD!J5:J16)</f>
        <v>34309</v>
      </c>
    </row>
    <row r="9" spans="2:11" ht="4.5" customHeight="1" x14ac:dyDescent="0.25">
      <c r="B9" s="36"/>
      <c r="C9" s="36"/>
      <c r="D9" s="36"/>
      <c r="E9" s="36"/>
      <c r="F9" s="40"/>
      <c r="G9" s="41"/>
      <c r="H9" s="41"/>
      <c r="I9" s="42"/>
      <c r="J9" s="42"/>
      <c r="K9" s="45"/>
    </row>
    <row r="10" spans="2:11" ht="20.100000000000001" customHeight="1" x14ac:dyDescent="0.25">
      <c r="B10" s="71" t="s">
        <v>553</v>
      </c>
      <c r="C10" s="36"/>
      <c r="D10" s="134"/>
      <c r="E10" s="36"/>
      <c r="F10" s="40"/>
      <c r="G10" s="41"/>
      <c r="H10" s="41"/>
      <c r="I10" s="42"/>
      <c r="J10" s="42"/>
      <c r="K10" s="45"/>
    </row>
    <row r="11" spans="2:11" ht="20.100000000000001" customHeight="1" x14ac:dyDescent="0.25">
      <c r="B11" s="127">
        <f>DashBoardFinanceiroAnualD!$D$14</f>
        <v>31482</v>
      </c>
      <c r="C11" s="36"/>
      <c r="D11" s="135"/>
      <c r="E11" s="36"/>
      <c r="F11" s="46"/>
      <c r="G11" s="47"/>
      <c r="H11" s="47"/>
      <c r="I11" s="48"/>
      <c r="J11" s="48"/>
      <c r="K11" s="49"/>
    </row>
    <row r="12" spans="2:11" ht="20.100000000000001" customHeight="1" x14ac:dyDescent="0.25">
      <c r="B12" s="36"/>
      <c r="C12" s="36"/>
      <c r="D12" s="36"/>
      <c r="E12" s="36"/>
      <c r="F12" s="50"/>
      <c r="G12" s="50"/>
      <c r="H12" s="50"/>
      <c r="I12" s="36"/>
      <c r="J12" s="36"/>
      <c r="K12" s="36"/>
    </row>
    <row r="13" spans="2:11" ht="20.100000000000001" customHeight="1" x14ac:dyDescent="0.25">
      <c r="B13" s="136" t="s">
        <v>554</v>
      </c>
      <c r="C13" s="137"/>
      <c r="D13" s="138"/>
      <c r="E13" s="36"/>
      <c r="F13" s="136" t="s">
        <v>555</v>
      </c>
      <c r="G13" s="138"/>
      <c r="H13" s="50"/>
      <c r="I13" s="75" t="s">
        <v>556</v>
      </c>
      <c r="J13" s="36"/>
      <c r="K13" s="76" t="s">
        <v>557</v>
      </c>
    </row>
    <row r="14" spans="2:11" ht="20.100000000000001" customHeight="1" x14ac:dyDescent="0.25">
      <c r="B14" s="51"/>
      <c r="C14" s="52"/>
      <c r="D14" s="53"/>
      <c r="E14" s="36"/>
      <c r="F14" s="73" t="s">
        <v>558</v>
      </c>
      <c r="G14" s="74" t="s">
        <v>559</v>
      </c>
      <c r="H14" s="50"/>
      <c r="I14" s="54">
        <f>DashBoardFinanceiroAnualD!E32</f>
        <v>56149</v>
      </c>
      <c r="J14" s="36"/>
      <c r="K14" s="81" t="s">
        <v>34</v>
      </c>
    </row>
    <row r="15" spans="2:11" ht="20.100000000000001" customHeight="1" x14ac:dyDescent="0.25">
      <c r="B15" s="51"/>
      <c r="C15" s="42"/>
      <c r="D15" s="53"/>
      <c r="E15" s="36"/>
      <c r="F15" s="55"/>
      <c r="G15" s="56"/>
      <c r="H15" s="50"/>
      <c r="I15" s="57"/>
      <c r="J15" s="36"/>
      <c r="K15" s="80">
        <f>DashBoardFinanceiroAnualD!H44</f>
        <v>39120</v>
      </c>
    </row>
    <row r="16" spans="2:11" ht="20.100000000000001" customHeight="1" x14ac:dyDescent="0.25">
      <c r="B16" s="58">
        <f>DashBoardFinanceiroAnualD!E22</f>
        <v>313714</v>
      </c>
      <c r="C16" s="42"/>
      <c r="D16" s="53"/>
      <c r="E16" s="36"/>
      <c r="F16" s="59">
        <f ca="1">DashBoardFinanceiroAnualD!E27</f>
        <v>247.4</v>
      </c>
      <c r="G16" s="79">
        <f ca="1">DashBoardFinanceiroAnualD!J27</f>
        <v>466.35714285714283</v>
      </c>
      <c r="H16" s="50"/>
      <c r="I16" s="57"/>
      <c r="J16" s="36"/>
      <c r="K16" s="60"/>
    </row>
    <row r="17" spans="2:11" ht="20.100000000000001" customHeight="1" x14ac:dyDescent="0.25">
      <c r="B17" s="58"/>
      <c r="C17" s="42"/>
      <c r="D17" s="53"/>
      <c r="E17" s="36"/>
      <c r="F17" s="61"/>
      <c r="G17" s="56"/>
      <c r="H17" s="50"/>
      <c r="I17" s="57"/>
      <c r="J17" s="36"/>
      <c r="K17" s="60"/>
    </row>
    <row r="18" spans="2:11" ht="18.75" x14ac:dyDescent="0.25">
      <c r="B18" s="51"/>
      <c r="C18" s="42"/>
      <c r="D18" s="53"/>
      <c r="E18" s="36"/>
      <c r="F18" s="62" t="s">
        <v>560</v>
      </c>
      <c r="G18" s="63" t="s">
        <v>560</v>
      </c>
      <c r="H18" s="50"/>
      <c r="I18" s="57"/>
      <c r="J18" s="36"/>
      <c r="K18" s="60"/>
    </row>
    <row r="19" spans="2:11" ht="26.25" x14ac:dyDescent="0.25">
      <c r="B19" s="64"/>
      <c r="C19" s="65"/>
      <c r="D19" s="66"/>
      <c r="E19" s="36"/>
      <c r="F19" s="67"/>
      <c r="G19" s="68"/>
      <c r="H19" s="50"/>
      <c r="I19" s="69"/>
      <c r="J19" s="36"/>
      <c r="K19" s="70"/>
    </row>
    <row r="20" spans="2:11" x14ac:dyDescent="0.25">
      <c r="B20" s="36"/>
      <c r="C20" s="36"/>
      <c r="D20" s="36"/>
      <c r="E20" s="36"/>
      <c r="F20" s="50"/>
      <c r="G20" s="50"/>
      <c r="H20" s="50"/>
      <c r="I20" s="36"/>
      <c r="J20" s="36"/>
      <c r="K20" s="36"/>
    </row>
    <row r="21" spans="2:11" x14ac:dyDescent="0.25">
      <c r="B21" s="83"/>
      <c r="C21" s="83"/>
      <c r="D21" s="83"/>
      <c r="E21" s="83"/>
      <c r="F21" s="83"/>
      <c r="G21" s="83"/>
      <c r="H21" s="83"/>
      <c r="I21" s="83"/>
      <c r="J21" s="83"/>
      <c r="K21" s="83"/>
    </row>
  </sheetData>
  <sheetProtection sheet="1" objects="1" scenarios="1" selectLockedCells="1"/>
  <mergeCells count="4">
    <mergeCell ref="D7:D8"/>
    <mergeCell ref="D10:D11"/>
    <mergeCell ref="B13:D13"/>
    <mergeCell ref="F13:G13"/>
  </mergeCells>
  <conditionalFormatting sqref="I14">
    <cfRule type="cellIs" dxfId="23" priority="2" operator="lessThan">
      <formula>0</formula>
    </cfRule>
  </conditionalFormatting>
  <conditionalFormatting sqref="B5">
    <cfRule type="cellIs" dxfId="22" priority="1" operator="lessThan">
      <formula>0</formula>
    </cfRule>
  </conditionalFormatting>
  <dataValidations count="2">
    <dataValidation type="list" allowBlank="1" showInputMessage="1" showErrorMessage="1" errorTitle="Conta Inexistente!" error="Selecione uma conta da lista." sqref="K14">
      <formula1>PCSaídasN2_Nível_2</formula1>
    </dataValidation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10" workbookViewId="0">
      <selection activeCell="E32" sqref="E32"/>
    </sheetView>
  </sheetViews>
  <sheetFormatPr defaultRowHeight="15" x14ac:dyDescent="0.25"/>
  <cols>
    <col min="1" max="1" width="3.28515625" customWidth="1"/>
    <col min="2" max="2" width="12" customWidth="1"/>
    <col min="3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84"/>
      <c r="B1" s="85" t="s">
        <v>562</v>
      </c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x14ac:dyDescent="0.25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x14ac:dyDescent="0.25">
      <c r="A3" s="84"/>
      <c r="B3" s="84"/>
      <c r="C3" s="84"/>
      <c r="D3" s="84"/>
      <c r="E3" s="84"/>
      <c r="F3" s="86" t="s">
        <v>563</v>
      </c>
      <c r="G3" s="84"/>
      <c r="H3" s="84"/>
      <c r="I3" s="84"/>
      <c r="J3" s="86" t="s">
        <v>564</v>
      </c>
      <c r="K3" s="87" t="s">
        <v>565</v>
      </c>
      <c r="L3" s="119">
        <f>$C$4</f>
        <v>2018</v>
      </c>
    </row>
    <row r="4" spans="1:12" x14ac:dyDescent="0.25">
      <c r="A4" s="84"/>
      <c r="B4" s="87" t="s">
        <v>566</v>
      </c>
      <c r="C4" s="118">
        <f>DashBoardFinanceiroAnual!$K$2</f>
        <v>2018</v>
      </c>
      <c r="D4" s="84"/>
      <c r="E4" s="84"/>
      <c r="F4" s="90" t="s">
        <v>567</v>
      </c>
      <c r="G4" s="91" t="s">
        <v>568</v>
      </c>
      <c r="H4" s="90" t="s">
        <v>569</v>
      </c>
      <c r="I4" s="84"/>
      <c r="J4" s="92" t="str">
        <f>DashBoardFinanceiroAnual!$K$4</f>
        <v>Eletrodomésticos</v>
      </c>
      <c r="K4" s="90" t="s">
        <v>570</v>
      </c>
      <c r="L4" s="90" t="s">
        <v>567</v>
      </c>
    </row>
    <row r="5" spans="1:12" x14ac:dyDescent="0.25">
      <c r="A5" s="84"/>
      <c r="B5" s="84"/>
      <c r="C5" s="84"/>
      <c r="D5" s="84"/>
      <c r="E5" s="84"/>
      <c r="F5" s="93">
        <v>1</v>
      </c>
      <c r="G5" s="94">
        <f>SUMIFS(TbRegistroSaídas[Valor],TbRegistroSaídas[Mês Previsto],F5,TbRegistroSaídas[Ano Previsto],$C$4,TbRegistroSaídas[Data do Caixa Realizado],"")</f>
        <v>6816</v>
      </c>
      <c r="H5" s="94">
        <f>SUMIFS(TbRegistroEntradas[Valor],TbRegistroEntradas[Mês Previsto],F5,TbRegistroEntradas[Ano Previsto],$C$4,TbRegistroEntradas[Data do Caixa Realizado],"")</f>
        <v>4843</v>
      </c>
      <c r="I5" s="84"/>
      <c r="J5" s="94">
        <f>SUMIFS(TbRegistroEntradas[Valor],TbRegistroEntradas[Conta Nível 2],$J$4,TbRegistroEntradas[Ano Caixa],$L$3,TbRegistroEntradas[Mês Caixa],F5)</f>
        <v>2835</v>
      </c>
      <c r="K5" s="94">
        <f>IF(J5=0,NA(),J5)</f>
        <v>2835</v>
      </c>
      <c r="L5" s="95" t="s">
        <v>571</v>
      </c>
    </row>
    <row r="6" spans="1:12" x14ac:dyDescent="0.25">
      <c r="A6" s="84"/>
      <c r="B6" s="84"/>
      <c r="C6" s="84"/>
      <c r="D6" s="84"/>
      <c r="E6" s="84"/>
      <c r="F6" s="84">
        <v>2</v>
      </c>
      <c r="G6" s="96">
        <f>SUMIFS(TbRegistroSaídas[Valor],TbRegistroSaídas[Mês Previsto],F6,TbRegistroSaídas[Ano Previsto],$C$4,TbRegistroSaídas[Data do Caixa Realizado],"")</f>
        <v>9291</v>
      </c>
      <c r="H6" s="96">
        <f>SUMIFS(TbRegistroEntradas[Valor],TbRegistroEntradas[Mês Previsto],F6,TbRegistroEntradas[Ano Previsto],$C$4,TbRegistroEntradas[Data do Caixa Realizado],"")</f>
        <v>1561</v>
      </c>
      <c r="I6" s="84"/>
      <c r="J6" s="96">
        <f>SUMIFS(TbRegistroEntradas[Valor],TbRegistroEntradas[Conta Nível 2],$J$4,TbRegistroEntradas[Ano Caixa],$L$3,TbRegistroEntradas[Mês Caixa],F6)</f>
        <v>0</v>
      </c>
      <c r="K6" s="96" t="e">
        <f t="shared" ref="K6:K16" si="0">IF(J6=0,NA(),J6)</f>
        <v>#N/A</v>
      </c>
      <c r="L6" s="87" t="s">
        <v>572</v>
      </c>
    </row>
    <row r="7" spans="1:12" x14ac:dyDescent="0.25">
      <c r="A7" s="84"/>
      <c r="B7" s="86" t="s">
        <v>573</v>
      </c>
      <c r="C7" s="84"/>
      <c r="D7" s="84"/>
      <c r="E7" s="84"/>
      <c r="F7" s="84">
        <v>3</v>
      </c>
      <c r="G7" s="96">
        <f>SUMIFS(TbRegistroSaídas[Valor],TbRegistroSaídas[Mês Previsto],F7,TbRegistroSaídas[Ano Previsto],$C$4,TbRegistroSaídas[Data do Caixa Realizado],"")</f>
        <v>0</v>
      </c>
      <c r="H7" s="96">
        <f>SUMIFS(TbRegistroEntradas[Valor],TbRegistroEntradas[Mês Previsto],F7,TbRegistroEntradas[Ano Previsto],$C$4,TbRegistroEntradas[Data do Caixa Realizado],"")</f>
        <v>964</v>
      </c>
      <c r="I7" s="84"/>
      <c r="J7" s="96">
        <f>SUMIFS(TbRegistroEntradas[Valor],TbRegistroEntradas[Conta Nível 2],$J$4,TbRegistroEntradas[Ano Caixa],$L$3,TbRegistroEntradas[Mês Caixa],F7)</f>
        <v>3140</v>
      </c>
      <c r="K7" s="96">
        <f t="shared" si="0"/>
        <v>3140</v>
      </c>
      <c r="L7" s="87" t="s">
        <v>574</v>
      </c>
    </row>
    <row r="8" spans="1:12" x14ac:dyDescent="0.25">
      <c r="A8" s="84"/>
      <c r="B8" s="93" t="s">
        <v>575</v>
      </c>
      <c r="C8" s="97">
        <f>SUMIFS(TbRegistroEntradas[Valor],TbRegistroEntradas[Ano Caixa],"&lt;"&amp;$C$4,TbRegistroEntradas[Ano Caixa],"&lt;&gt;0")-SUMIFS(TbRegistroSaídas[Valor],TbRegistroSaídas[Ano Caixa],"&lt;"&amp;$C$4,TbRegistroSaídas[Ano Caixa],"&lt;&gt;0")</f>
        <v>-1041</v>
      </c>
      <c r="D8" s="84"/>
      <c r="E8" s="84"/>
      <c r="F8" s="84">
        <v>4</v>
      </c>
      <c r="G8" s="96">
        <f>SUMIFS(TbRegistroSaídas[Valor],TbRegistroSaídas[Mês Previsto],F8,TbRegistroSaídas[Ano Previsto],$C$4,TbRegistroSaídas[Data do Caixa Realizado],"")</f>
        <v>0</v>
      </c>
      <c r="H8" s="96">
        <f>SUMIFS(TbRegistroEntradas[Valor],TbRegistroEntradas[Mês Previsto],F8,TbRegistroEntradas[Ano Previsto],$C$4,TbRegistroEntradas[Data do Caixa Realizado],"")</f>
        <v>5975</v>
      </c>
      <c r="I8" s="84"/>
      <c r="J8" s="96">
        <f>SUMIFS(TbRegistroEntradas[Valor],TbRegistroEntradas[Conta Nível 2],$J$4,TbRegistroEntradas[Ano Caixa],$L$3,TbRegistroEntradas[Mês Caixa],F8)</f>
        <v>3524</v>
      </c>
      <c r="K8" s="96">
        <f t="shared" si="0"/>
        <v>3524</v>
      </c>
      <c r="L8" s="87" t="s">
        <v>576</v>
      </c>
    </row>
    <row r="9" spans="1:12" x14ac:dyDescent="0.25">
      <c r="A9" s="84"/>
      <c r="B9" s="84" t="s">
        <v>577</v>
      </c>
      <c r="C9" s="98">
        <f>SUMIFS(TbRegistroEntradas[Valor],TbRegistroEntradas[Ano Caixa],"="&amp;$C$4)</f>
        <v>313714</v>
      </c>
      <c r="D9" s="84"/>
      <c r="E9" s="84"/>
      <c r="F9" s="84">
        <v>5</v>
      </c>
      <c r="G9" s="96">
        <f>SUMIFS(TbRegistroSaídas[Valor],TbRegistroSaídas[Mês Previsto],F9,TbRegistroSaídas[Ano Previsto],$C$4,TbRegistroSaídas[Data do Caixa Realizado],"")</f>
        <v>9778</v>
      </c>
      <c r="H9" s="96">
        <f>SUMIFS(TbRegistroEntradas[Valor],TbRegistroEntradas[Mês Previsto],F9,TbRegistroEntradas[Ano Previsto],$C$4,TbRegistroEntradas[Data do Caixa Realizado],"")</f>
        <v>0</v>
      </c>
      <c r="I9" s="84"/>
      <c r="J9" s="96">
        <f>SUMIFS(TbRegistroEntradas[Valor],TbRegistroEntradas[Conta Nível 2],$J$4,TbRegistroEntradas[Ano Caixa],$L$3,TbRegistroEntradas[Mês Caixa],F9)</f>
        <v>1486</v>
      </c>
      <c r="K9" s="96">
        <f t="shared" si="0"/>
        <v>1486</v>
      </c>
      <c r="L9" s="87" t="s">
        <v>578</v>
      </c>
    </row>
    <row r="10" spans="1:12" x14ac:dyDescent="0.25">
      <c r="A10" s="84"/>
      <c r="B10" s="84" t="s">
        <v>579</v>
      </c>
      <c r="C10" s="98">
        <f>SUMIFS(TbRegistroSaídas[Valor],TbRegistroSaídas[Ano Caixa],"="&amp;$C$4)</f>
        <v>257565</v>
      </c>
      <c r="D10" s="84"/>
      <c r="E10" s="84"/>
      <c r="F10" s="84">
        <v>6</v>
      </c>
      <c r="G10" s="96">
        <f>SUMIFS(TbRegistroSaídas[Valor],TbRegistroSaídas[Mês Previsto],F10,TbRegistroSaídas[Ano Previsto],$C$4,TbRegistroSaídas[Data do Caixa Realizado],"")</f>
        <v>6321</v>
      </c>
      <c r="H10" s="96">
        <f>SUMIFS(TbRegistroEntradas[Valor],TbRegistroEntradas[Mês Previsto],F10,TbRegistroEntradas[Ano Previsto],$C$4,TbRegistroEntradas[Data do Caixa Realizado],"")</f>
        <v>2593</v>
      </c>
      <c r="I10" s="84"/>
      <c r="J10" s="96">
        <f>SUMIFS(TbRegistroEntradas[Valor],TbRegistroEntradas[Conta Nível 2],$J$4,TbRegistroEntradas[Ano Caixa],$L$3,TbRegistroEntradas[Mês Caixa],F10)</f>
        <v>6729</v>
      </c>
      <c r="K10" s="96">
        <f t="shared" si="0"/>
        <v>6729</v>
      </c>
      <c r="L10" s="87" t="s">
        <v>580</v>
      </c>
    </row>
    <row r="11" spans="1:12" x14ac:dyDescent="0.25">
      <c r="A11" s="84"/>
      <c r="B11" s="99" t="s">
        <v>581</v>
      </c>
      <c r="C11" s="100">
        <f>C8+(C9-C10)</f>
        <v>55108</v>
      </c>
      <c r="D11" s="84"/>
      <c r="E11" s="84"/>
      <c r="F11" s="84">
        <v>7</v>
      </c>
      <c r="G11" s="96">
        <f>SUMIFS(TbRegistroSaídas[Valor],TbRegistroSaídas[Mês Previsto],F11,TbRegistroSaídas[Ano Previsto],$C$4,TbRegistroSaídas[Data do Caixa Realizado],"")</f>
        <v>6846</v>
      </c>
      <c r="H11" s="96">
        <f>SUMIFS(TbRegistroEntradas[Valor],TbRegistroEntradas[Mês Previsto],F11,TbRegistroEntradas[Ano Previsto],$C$4,TbRegistroEntradas[Data do Caixa Realizado],"")</f>
        <v>5627</v>
      </c>
      <c r="I11" s="84"/>
      <c r="J11" s="96">
        <f>SUMIFS(TbRegistroEntradas[Valor],TbRegistroEntradas[Conta Nível 2],$J$4,TbRegistroEntradas[Ano Caixa],$L$3,TbRegistroEntradas[Mês Caixa],F11)</f>
        <v>2713</v>
      </c>
      <c r="K11" s="96">
        <f t="shared" si="0"/>
        <v>2713</v>
      </c>
      <c r="L11" s="87" t="s">
        <v>582</v>
      </c>
    </row>
    <row r="12" spans="1:12" x14ac:dyDescent="0.25">
      <c r="A12" s="84"/>
      <c r="B12" s="84"/>
      <c r="C12" s="84"/>
      <c r="D12" s="84"/>
      <c r="E12" s="84"/>
      <c r="F12" s="84">
        <v>8</v>
      </c>
      <c r="G12" s="96">
        <f>SUMIFS(TbRegistroSaídas[Valor],TbRegistroSaídas[Mês Previsto],F12,TbRegistroSaídas[Ano Previsto],$C$4,TbRegistroSaídas[Data do Caixa Realizado],"")</f>
        <v>0</v>
      </c>
      <c r="H12" s="96">
        <f>SUMIFS(TbRegistroEntradas[Valor],TbRegistroEntradas[Mês Previsto],F12,TbRegistroEntradas[Ano Previsto],$C$4,TbRegistroEntradas[Data do Caixa Realizado],"")</f>
        <v>0</v>
      </c>
      <c r="I12" s="84"/>
      <c r="J12" s="96">
        <f>SUMIFS(TbRegistroEntradas[Valor],TbRegistroEntradas[Conta Nível 2],$J$4,TbRegistroEntradas[Ano Caixa],$L$3,TbRegistroEntradas[Mês Caixa],F12)</f>
        <v>4961</v>
      </c>
      <c r="K12" s="96">
        <f t="shared" si="0"/>
        <v>4961</v>
      </c>
      <c r="L12" s="87" t="s">
        <v>583</v>
      </c>
    </row>
    <row r="13" spans="1:12" x14ac:dyDescent="0.25">
      <c r="A13" s="84"/>
      <c r="B13" s="101" t="s">
        <v>584</v>
      </c>
      <c r="C13" s="101"/>
      <c r="D13" s="97">
        <f>SUMIFS(TbRegistroSaídas[Valor],TbRegistroSaídas[Data do Caixa Realizado],"",TbRegistroSaídas[Ano Previsto],"="&amp;$C$4)</f>
        <v>46816</v>
      </c>
      <c r="E13" s="84"/>
      <c r="F13" s="84">
        <v>9</v>
      </c>
      <c r="G13" s="96">
        <f>SUMIFS(TbRegistroSaídas[Valor],TbRegistroSaídas[Mês Previsto],F13,TbRegistroSaídas[Ano Previsto],$C$4,TbRegistroSaídas[Data do Caixa Realizado],"")</f>
        <v>3092</v>
      </c>
      <c r="H13" s="96">
        <f>SUMIFS(TbRegistroEntradas[Valor],TbRegistroEntradas[Mês Previsto],F13,TbRegistroEntradas[Ano Previsto],$C$4,TbRegistroEntradas[Data do Caixa Realizado],"")</f>
        <v>2071</v>
      </c>
      <c r="I13" s="84"/>
      <c r="J13" s="96">
        <f>SUMIFS(TbRegistroEntradas[Valor],TbRegistroEntradas[Conta Nível 2],$J$4,TbRegistroEntradas[Ano Caixa],$L$3,TbRegistroEntradas[Mês Caixa],F13)</f>
        <v>3080</v>
      </c>
      <c r="K13" s="96">
        <f t="shared" si="0"/>
        <v>3080</v>
      </c>
      <c r="L13" s="87" t="s">
        <v>585</v>
      </c>
    </row>
    <row r="14" spans="1:12" x14ac:dyDescent="0.25">
      <c r="A14" s="84"/>
      <c r="B14" s="102" t="s">
        <v>586</v>
      </c>
      <c r="C14" s="102"/>
      <c r="D14" s="103">
        <f>SUMIFS(TbRegistroEntradas[Valor],TbRegistroEntradas[Data do Caixa Realizado],"",TbRegistroEntradas[Ano Previsto],$C$4)</f>
        <v>31482</v>
      </c>
      <c r="E14" s="84"/>
      <c r="F14" s="84">
        <v>10</v>
      </c>
      <c r="G14" s="96">
        <f>SUMIFS(TbRegistroSaídas[Valor],TbRegistroSaídas[Mês Previsto],F14,TbRegistroSaídas[Ano Previsto],$C$4,TbRegistroSaídas[Data do Caixa Realizado],"")</f>
        <v>0</v>
      </c>
      <c r="H14" s="96">
        <f>SUMIFS(TbRegistroEntradas[Valor],TbRegistroEntradas[Mês Previsto],F14,TbRegistroEntradas[Ano Previsto],$C$4,TbRegistroEntradas[Data do Caixa Realizado],"")</f>
        <v>3787</v>
      </c>
      <c r="I14" s="84"/>
      <c r="J14" s="96">
        <f>SUMIFS(TbRegistroEntradas[Valor],TbRegistroEntradas[Conta Nível 2],$J$4,TbRegistroEntradas[Ano Caixa],$L$3,TbRegistroEntradas[Mês Caixa],F14)</f>
        <v>4922</v>
      </c>
      <c r="K14" s="96">
        <f t="shared" si="0"/>
        <v>4922</v>
      </c>
      <c r="L14" s="87" t="s">
        <v>587</v>
      </c>
    </row>
    <row r="15" spans="1:12" x14ac:dyDescent="0.25">
      <c r="A15" s="84"/>
      <c r="B15" s="84"/>
      <c r="C15" s="84"/>
      <c r="D15" s="84"/>
      <c r="E15" s="84"/>
      <c r="F15" s="84">
        <v>11</v>
      </c>
      <c r="G15" s="96">
        <f>SUMIFS(TbRegistroSaídas[Valor],TbRegistroSaídas[Mês Previsto],F15,TbRegistroSaídas[Ano Previsto],$C$4,TbRegistroSaídas[Data do Caixa Realizado],"")</f>
        <v>4672</v>
      </c>
      <c r="H15" s="96">
        <f>SUMIFS(TbRegistroEntradas[Valor],TbRegistroEntradas[Mês Previsto],F15,TbRegistroEntradas[Ano Previsto],$C$4,TbRegistroEntradas[Data do Caixa Realizado],"")</f>
        <v>0</v>
      </c>
      <c r="I15" s="84"/>
      <c r="J15" s="96">
        <f>SUMIFS(TbRegistroEntradas[Valor],TbRegistroEntradas[Conta Nível 2],$J$4,TbRegistroEntradas[Ano Caixa],$L$3,TbRegistroEntradas[Mês Caixa],F15)</f>
        <v>0</v>
      </c>
      <c r="K15" s="96" t="e">
        <f t="shared" si="0"/>
        <v>#N/A</v>
      </c>
      <c r="L15" s="87" t="s">
        <v>588</v>
      </c>
    </row>
    <row r="16" spans="1:12" x14ac:dyDescent="0.25">
      <c r="A16" s="84"/>
      <c r="B16" s="84"/>
      <c r="C16" s="84"/>
      <c r="D16" s="84"/>
      <c r="E16" s="84"/>
      <c r="F16" s="99">
        <v>12</v>
      </c>
      <c r="G16" s="104">
        <f>SUMIFS(TbRegistroSaídas[Valor],TbRegistroSaídas[Mês Previsto],F16,TbRegistroSaídas[Ano Previsto],$C$4,TbRegistroSaídas[Data do Caixa Realizado],"")</f>
        <v>0</v>
      </c>
      <c r="H16" s="104">
        <f>SUMIFS(TbRegistroEntradas[Valor],TbRegistroEntradas[Mês Previsto],F16,TbRegistroEntradas[Ano Previsto],$C$4,TbRegistroEntradas[Data do Caixa Realizado],"")</f>
        <v>4061</v>
      </c>
      <c r="I16" s="84"/>
      <c r="J16" s="104">
        <f>SUMIFS(TbRegistroEntradas[Valor],TbRegistroEntradas[Conta Nível 2],$J$4,TbRegistroEntradas[Ano Caixa],$L$3,TbRegistroEntradas[Mês Caixa],F16)</f>
        <v>919</v>
      </c>
      <c r="K16" s="104">
        <f t="shared" si="0"/>
        <v>919</v>
      </c>
      <c r="L16" s="105" t="s">
        <v>589</v>
      </c>
    </row>
    <row r="17" spans="1:12" x14ac:dyDescent="0.25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</row>
    <row r="18" spans="1:12" x14ac:dyDescent="0.25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</row>
    <row r="19" spans="1:12" x14ac:dyDescent="0.25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</row>
    <row r="20" spans="1:12" x14ac:dyDescent="0.25">
      <c r="A20" s="84"/>
      <c r="B20" s="86" t="s">
        <v>590</v>
      </c>
      <c r="C20" s="84"/>
      <c r="D20" s="84"/>
      <c r="E20" s="106"/>
      <c r="F20" s="84"/>
      <c r="G20" s="84"/>
      <c r="H20" s="84"/>
      <c r="I20" s="84"/>
      <c r="J20" s="84"/>
      <c r="K20" s="84"/>
      <c r="L20" s="84"/>
    </row>
    <row r="21" spans="1:12" x14ac:dyDescent="0.25">
      <c r="A21" s="84"/>
      <c r="B21" s="90" t="s">
        <v>591</v>
      </c>
      <c r="C21" s="91" t="s">
        <v>592</v>
      </c>
      <c r="D21" s="91" t="s">
        <v>593</v>
      </c>
      <c r="E21" s="91" t="s">
        <v>552</v>
      </c>
      <c r="F21" s="84"/>
      <c r="G21" s="84"/>
      <c r="H21" s="84"/>
      <c r="I21" s="84"/>
      <c r="J21" s="84"/>
      <c r="K21" s="84"/>
      <c r="L21" s="84"/>
    </row>
    <row r="22" spans="1:12" x14ac:dyDescent="0.25">
      <c r="A22" s="84"/>
      <c r="B22" s="121">
        <f>C4</f>
        <v>2018</v>
      </c>
      <c r="C22" s="108">
        <f>SUMIFS(TbRegistroEntradas[Valor],TbRegistroEntradas[Venda à Vista],"Vista",TbRegistroEntradas[Ano Caixa],$B$22)</f>
        <v>102054</v>
      </c>
      <c r="D22" s="108">
        <f>SUMIFS(TbRegistroEntradas[Valor],TbRegistroEntradas[Venda à Vista],"Prazo",TbRegistroEntradas[Ano Caixa],$B$22)</f>
        <v>211660</v>
      </c>
      <c r="E22" s="108">
        <f>C22+D22</f>
        <v>313714</v>
      </c>
      <c r="F22" s="84"/>
      <c r="G22" s="84"/>
      <c r="H22" s="84"/>
      <c r="I22" s="84"/>
      <c r="J22" s="84"/>
      <c r="K22" s="84"/>
      <c r="L22" s="84"/>
    </row>
    <row r="23" spans="1:12" x14ac:dyDescent="0.25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</row>
    <row r="24" spans="1:12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</row>
    <row r="25" spans="1:12" x14ac:dyDescent="0.25">
      <c r="A25" s="84"/>
      <c r="B25" s="86" t="s">
        <v>594</v>
      </c>
      <c r="C25" s="84"/>
      <c r="D25" s="84"/>
      <c r="E25" s="84"/>
      <c r="F25" s="84"/>
      <c r="G25" s="86" t="s">
        <v>595</v>
      </c>
      <c r="H25" s="84"/>
      <c r="I25" s="84"/>
      <c r="J25" s="84"/>
      <c r="K25" s="84"/>
      <c r="L25" s="84"/>
    </row>
    <row r="26" spans="1:12" x14ac:dyDescent="0.25">
      <c r="A26" s="84"/>
      <c r="B26" s="90" t="s">
        <v>591</v>
      </c>
      <c r="C26" s="91" t="s">
        <v>596</v>
      </c>
      <c r="D26" s="91" t="s">
        <v>560</v>
      </c>
      <c r="E26" s="91" t="s">
        <v>597</v>
      </c>
      <c r="F26" s="84"/>
      <c r="G26" s="90" t="s">
        <v>591</v>
      </c>
      <c r="H26" s="91" t="s">
        <v>596</v>
      </c>
      <c r="I26" s="91" t="s">
        <v>560</v>
      </c>
      <c r="J26" s="91" t="s">
        <v>597</v>
      </c>
      <c r="K26" s="84"/>
      <c r="L26" s="84"/>
    </row>
    <row r="27" spans="1:12" x14ac:dyDescent="0.25">
      <c r="A27" s="84"/>
      <c r="B27" s="121">
        <f>$C$4</f>
        <v>2018</v>
      </c>
      <c r="C27" s="109">
        <f ca="1">COUNTIFS(TbRegistroEntradas[Ano Previsto],$B$27,TbRegistroEntradas[Dias de Atraso],"&gt;0")</f>
        <v>35</v>
      </c>
      <c r="D27" s="109">
        <f ca="1">SUMIFS(TbRegistroEntradas[Dias de Atraso],TbRegistroEntradas[Ano Previsto],$B$27,TbRegistroEntradas[Dias de Atraso],"&gt;0")</f>
        <v>8659</v>
      </c>
      <c r="E27" s="109">
        <f ca="1">D27/C27</f>
        <v>247.4</v>
      </c>
      <c r="F27" s="84"/>
      <c r="G27" s="121">
        <f>$C$4</f>
        <v>2018</v>
      </c>
      <c r="H27" s="109">
        <f ca="1">COUNTIFS(TbRegistroSaídas[Ano Previsto],$G$27,TbRegistroSaídas[Dias de Atraso],"&gt;0")</f>
        <v>28</v>
      </c>
      <c r="I27" s="109">
        <f ca="1">SUMIFS(TbRegistroSaídas[Dias de Atraso],TbRegistroSaídas[Ano Previsto],$G$27,TbRegistroSaídas[Dias de Atraso],"&gt;0")</f>
        <v>13058</v>
      </c>
      <c r="J27" s="109">
        <f ca="1">I27/H27</f>
        <v>466.35714285714283</v>
      </c>
      <c r="K27" s="84"/>
      <c r="L27" s="84"/>
    </row>
    <row r="28" spans="1:12" x14ac:dyDescent="0.25">
      <c r="A28" s="84"/>
      <c r="B28" s="84"/>
      <c r="C28" s="84"/>
      <c r="D28" s="122"/>
      <c r="E28" s="84"/>
      <c r="F28" s="84"/>
      <c r="G28" s="84"/>
      <c r="H28" s="84"/>
      <c r="I28" s="84"/>
      <c r="J28" s="84"/>
      <c r="K28" s="84"/>
      <c r="L28" s="84"/>
    </row>
    <row r="29" spans="1:12" x14ac:dyDescent="0.25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</row>
    <row r="30" spans="1:12" x14ac:dyDescent="0.25">
      <c r="A30" s="84"/>
      <c r="B30" s="86" t="s">
        <v>598</v>
      </c>
      <c r="C30" s="84"/>
      <c r="D30" s="84"/>
      <c r="E30" s="84"/>
      <c r="F30" s="84"/>
      <c r="G30" s="86" t="s">
        <v>599</v>
      </c>
      <c r="H30" s="110">
        <f>$C$4</f>
        <v>2018</v>
      </c>
      <c r="I30" s="84"/>
      <c r="J30" s="84"/>
      <c r="K30" s="84"/>
      <c r="L30" s="84"/>
    </row>
    <row r="31" spans="1:12" x14ac:dyDescent="0.25">
      <c r="A31" s="84"/>
      <c r="B31" s="111" t="s">
        <v>591</v>
      </c>
      <c r="C31" s="95" t="s">
        <v>577</v>
      </c>
      <c r="D31" s="95" t="s">
        <v>579</v>
      </c>
      <c r="E31" s="95" t="s">
        <v>600</v>
      </c>
      <c r="F31" s="84"/>
      <c r="G31" s="90" t="s">
        <v>567</v>
      </c>
      <c r="H31" s="124" t="str">
        <f>DashBoardFinanceiroAnual!$K$14</f>
        <v>Som e imagem</v>
      </c>
      <c r="I31" s="84"/>
      <c r="J31" s="84"/>
      <c r="K31" s="84"/>
      <c r="L31" s="84"/>
    </row>
    <row r="32" spans="1:12" x14ac:dyDescent="0.25">
      <c r="A32" s="84"/>
      <c r="B32" s="123">
        <f>$C$4</f>
        <v>2018</v>
      </c>
      <c r="C32" s="114">
        <f>SUMIFS(TbRegistroEntradas[Valor],TbRegistroEntradas[Ano Caixa],$B$32)</f>
        <v>313714</v>
      </c>
      <c r="D32" s="114">
        <f>SUMIFS(TbRegistroSaídas[Valor],TbRegistroSaídas[Ano Caixa],$B$32)</f>
        <v>257565</v>
      </c>
      <c r="E32" s="115">
        <f>C32-D32</f>
        <v>56149</v>
      </c>
      <c r="G32" s="84">
        <v>1</v>
      </c>
      <c r="H32" s="96">
        <f>SUMIFS(TbRegistroSaídas[Valor],TbRegistroSaídas[Ano Caixa],$H$30,TbRegistroSaídas[Conta Nível 2],$H$31,TbRegistroSaídas[Mês Caixa],G32)</f>
        <v>9875</v>
      </c>
      <c r="I32" s="84" t="s">
        <v>606</v>
      </c>
      <c r="J32" s="84"/>
      <c r="K32" s="84"/>
      <c r="L32" s="84"/>
    </row>
    <row r="33" spans="1:12" x14ac:dyDescent="0.25">
      <c r="A33" s="84"/>
      <c r="B33" s="84"/>
      <c r="C33" s="84"/>
      <c r="D33" s="84"/>
      <c r="E33" s="84"/>
      <c r="G33" s="84">
        <v>2</v>
      </c>
      <c r="H33" s="96">
        <f>SUMIFS(TbRegistroSaídas[Valor],TbRegistroSaídas[Ano Caixa],$H$30,TbRegistroSaídas[Conta Nível 2],$H$31,TbRegistroSaídas[Mês Caixa],G33)</f>
        <v>5685</v>
      </c>
      <c r="I33" s="84" t="s">
        <v>607</v>
      </c>
      <c r="J33" s="84"/>
      <c r="K33" s="84"/>
      <c r="L33" s="84"/>
    </row>
    <row r="34" spans="1:12" x14ac:dyDescent="0.25">
      <c r="A34" s="84"/>
      <c r="B34" s="84"/>
      <c r="C34" s="84"/>
      <c r="D34" s="84"/>
      <c r="E34" s="84"/>
      <c r="G34" s="84">
        <v>3</v>
      </c>
      <c r="H34" s="96">
        <f>SUMIFS(TbRegistroSaídas[Valor],TbRegistroSaídas[Ano Caixa],$H$30,TbRegistroSaídas[Conta Nível 2],$H$31,TbRegistroSaídas[Mês Caixa],G34)</f>
        <v>0</v>
      </c>
      <c r="I34" s="84" t="s">
        <v>608</v>
      </c>
      <c r="J34" s="84"/>
      <c r="K34" s="84"/>
      <c r="L34" s="84"/>
    </row>
    <row r="35" spans="1:12" x14ac:dyDescent="0.25">
      <c r="A35" s="84"/>
      <c r="B35" s="84"/>
      <c r="C35" s="84"/>
      <c r="D35" s="84"/>
      <c r="E35" s="84"/>
      <c r="G35" s="84">
        <v>4</v>
      </c>
      <c r="H35" s="96">
        <f>SUMIFS(TbRegistroSaídas[Valor],TbRegistroSaídas[Ano Caixa],$H$30,TbRegistroSaídas[Conta Nível 2],$H$31,TbRegistroSaídas[Mês Caixa],G35)</f>
        <v>0</v>
      </c>
      <c r="I35" s="84" t="s">
        <v>609</v>
      </c>
      <c r="J35" s="84"/>
      <c r="K35" s="84"/>
      <c r="L35" s="84"/>
    </row>
    <row r="36" spans="1:12" x14ac:dyDescent="0.25">
      <c r="A36" s="84"/>
      <c r="B36" s="84"/>
      <c r="C36" s="84"/>
      <c r="D36" s="84"/>
      <c r="E36" s="84"/>
      <c r="G36" s="84">
        <v>5</v>
      </c>
      <c r="H36" s="96">
        <f>SUMIFS(TbRegistroSaídas[Valor],TbRegistroSaídas[Ano Caixa],$H$30,TbRegistroSaídas[Conta Nível 2],$H$31,TbRegistroSaídas[Mês Caixa],G36)</f>
        <v>0</v>
      </c>
      <c r="I36" s="84" t="s">
        <v>608</v>
      </c>
      <c r="J36" s="84"/>
      <c r="K36" s="84"/>
      <c r="L36" s="84"/>
    </row>
    <row r="37" spans="1:12" x14ac:dyDescent="0.25">
      <c r="A37" s="84"/>
      <c r="B37" s="84"/>
      <c r="C37" s="84"/>
      <c r="D37" s="84"/>
      <c r="E37" s="84"/>
      <c r="G37" s="84">
        <v>6</v>
      </c>
      <c r="H37" s="96">
        <f>SUMIFS(TbRegistroSaídas[Valor],TbRegistroSaídas[Ano Caixa],$H$30,TbRegistroSaídas[Conta Nível 2],$H$31,TbRegistroSaídas[Mês Caixa],G37)</f>
        <v>3932</v>
      </c>
      <c r="I37" s="84" t="s">
        <v>606</v>
      </c>
      <c r="J37" s="84"/>
      <c r="K37" s="84"/>
      <c r="L37" s="84"/>
    </row>
    <row r="38" spans="1:12" x14ac:dyDescent="0.25">
      <c r="A38" s="84"/>
      <c r="B38" s="84"/>
      <c r="C38" s="84"/>
      <c r="D38" s="84"/>
      <c r="E38" s="84"/>
      <c r="G38" s="84">
        <v>7</v>
      </c>
      <c r="H38" s="96">
        <f>SUMIFS(TbRegistroSaídas[Valor],TbRegistroSaídas[Ano Caixa],$H$30,TbRegistroSaídas[Conta Nível 2],$H$31,TbRegistroSaídas[Mês Caixa],G38)</f>
        <v>6553</v>
      </c>
      <c r="I38" s="84" t="s">
        <v>606</v>
      </c>
      <c r="J38" s="84"/>
      <c r="K38" s="84"/>
      <c r="L38" s="84"/>
    </row>
    <row r="39" spans="1:12" x14ac:dyDescent="0.25">
      <c r="A39" s="84"/>
      <c r="B39" s="84"/>
      <c r="C39" s="84"/>
      <c r="D39" s="84"/>
      <c r="E39" s="84"/>
      <c r="G39" s="84">
        <v>8</v>
      </c>
      <c r="H39" s="96">
        <f>SUMIFS(TbRegistroSaídas[Valor],TbRegistroSaídas[Ano Caixa],$H$30,TbRegistroSaídas[Conta Nível 2],$H$31,TbRegistroSaídas[Mês Caixa],G39)</f>
        <v>2947</v>
      </c>
      <c r="I39" s="84" t="s">
        <v>609</v>
      </c>
      <c r="J39" s="84"/>
      <c r="K39" s="84"/>
      <c r="L39" s="84"/>
    </row>
    <row r="40" spans="1:12" x14ac:dyDescent="0.25">
      <c r="A40" s="84"/>
      <c r="B40" s="84"/>
      <c r="C40" s="84"/>
      <c r="D40" s="84"/>
      <c r="E40" s="84"/>
      <c r="G40" s="84">
        <v>9</v>
      </c>
      <c r="H40" s="96">
        <f>SUMIFS(TbRegistroSaídas[Valor],TbRegistroSaídas[Ano Caixa],$H$30,TbRegistroSaídas[Conta Nível 2],$H$31,TbRegistroSaídas[Mês Caixa],G40)</f>
        <v>4695</v>
      </c>
      <c r="I40" s="84" t="s">
        <v>610</v>
      </c>
      <c r="J40" s="84"/>
      <c r="K40" s="84"/>
      <c r="L40" s="84"/>
    </row>
    <row r="41" spans="1:12" x14ac:dyDescent="0.25">
      <c r="A41" s="84"/>
      <c r="B41" s="84"/>
      <c r="C41" s="84"/>
      <c r="D41" s="84"/>
      <c r="E41" s="84"/>
      <c r="G41" s="84">
        <v>10</v>
      </c>
      <c r="H41" s="96">
        <f>SUMIFS(TbRegistroSaídas[Valor],TbRegistroSaídas[Ano Caixa],$H$30,TbRegistroSaídas[Conta Nível 2],$H$31,TbRegistroSaídas[Mês Caixa],G41)</f>
        <v>5433</v>
      </c>
      <c r="I41" s="84" t="s">
        <v>611</v>
      </c>
      <c r="J41" s="84"/>
      <c r="K41" s="84"/>
      <c r="L41" s="84"/>
    </row>
    <row r="42" spans="1:12" x14ac:dyDescent="0.25">
      <c r="A42" s="84"/>
      <c r="B42" s="84"/>
      <c r="C42" s="84"/>
      <c r="D42" s="84"/>
      <c r="E42" s="84"/>
      <c r="G42" s="84">
        <v>11</v>
      </c>
      <c r="H42" s="96">
        <f>SUMIFS(TbRegistroSaídas[Valor],TbRegistroSaídas[Ano Caixa],$H$30,TbRegistroSaídas[Conta Nível 2],$H$31,TbRegistroSaídas[Mês Caixa],G42)</f>
        <v>0</v>
      </c>
      <c r="I42" s="84" t="s">
        <v>612</v>
      </c>
      <c r="J42" s="84"/>
      <c r="K42" s="84"/>
      <c r="L42" s="84"/>
    </row>
    <row r="43" spans="1:12" x14ac:dyDescent="0.25">
      <c r="A43" s="84"/>
      <c r="B43" s="84"/>
      <c r="C43" s="84"/>
      <c r="D43" s="84"/>
      <c r="E43" s="84"/>
      <c r="G43" s="99">
        <v>12</v>
      </c>
      <c r="H43" s="96">
        <f>SUMIFS(TbRegistroSaídas[Valor],TbRegistroSaídas[Ano Caixa],$H$30,TbRegistroSaídas[Conta Nível 2],$H$31,TbRegistroSaídas[Mês Caixa],G43)</f>
        <v>0</v>
      </c>
      <c r="I43" s="84" t="s">
        <v>613</v>
      </c>
      <c r="J43" s="84"/>
      <c r="K43" s="84"/>
      <c r="L43" s="84"/>
    </row>
    <row r="44" spans="1:12" x14ac:dyDescent="0.25">
      <c r="A44" s="84"/>
      <c r="B44" s="84"/>
      <c r="C44" s="84"/>
      <c r="D44" s="84"/>
      <c r="E44" s="84"/>
      <c r="F44" s="84"/>
      <c r="G44" s="90" t="s">
        <v>552</v>
      </c>
      <c r="H44" s="116">
        <f>SUM(H32:H43)</f>
        <v>39120</v>
      </c>
      <c r="I44" s="84"/>
      <c r="J44" s="84"/>
      <c r="K44" s="84"/>
      <c r="L44" s="84"/>
    </row>
    <row r="45" spans="1:12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</row>
    <row r="46" spans="1:12" x14ac:dyDescent="0.25">
      <c r="G46" s="84"/>
      <c r="H46" s="84"/>
      <c r="I46" s="84"/>
      <c r="J46" s="84"/>
    </row>
  </sheetData>
  <conditionalFormatting sqref="C11">
    <cfRule type="cellIs" dxfId="21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DashBoardFinanceiroAtual!PCEntradasN1_Nível_1</vt:lpstr>
      <vt:lpstr>PCEntradasN1_Nível_1</vt:lpstr>
      <vt:lpstr>DashBoardFinanceiroAtual!PCEntradasN2_Nível_1</vt:lpstr>
      <vt:lpstr>PCEntradasN2_Nível_1</vt:lpstr>
      <vt:lpstr>DashBoardFinanceiroAtual!PCEntradasN2_Nível_2</vt:lpstr>
      <vt:lpstr>PCEntradasN2_Nível_2</vt:lpstr>
      <vt:lpstr>DashBoardFinanceiroAtual!PCSaídasN1_Nível_1</vt:lpstr>
      <vt:lpstr>PCSaídasN1_Nível_1</vt:lpstr>
      <vt:lpstr>DashBoardFinanceiroAtual!PCSaídasN2_Nível_1</vt:lpstr>
      <vt:lpstr>PCSaídasN2_Nível_1</vt:lpstr>
      <vt:lpstr>DashBoardFinanceiroAtual!PCSaídasN2_Nível_2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2020-04-25T15:28:20Z</dcterms:modified>
</cp:coreProperties>
</file>