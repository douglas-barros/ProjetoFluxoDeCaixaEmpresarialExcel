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14.xml" ContentType="application/vnd.openxmlformats-officedocument.drawing+xml"/>
  <Override PartName="/xl/slicers/slicer5.xml" ContentType="application/vnd.ms-excel.slicer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hidePivotFieldList="1" defaultThemeVersion="124226"/>
  <bookViews>
    <workbookView xWindow="240" yWindow="105" windowWidth="14805" windowHeight="8010" tabRatio="879" firstSheet="11" activeTab="15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Anual" sheetId="18" r:id="rId16"/>
    <sheet name="DashBoardFinanceiroAnualD" sheetId="19" r:id="rId17"/>
    <sheet name="DashBoardFinanceiroAtualD" sheetId="20" r:id="rId18"/>
  </sheets>
  <externalReferences>
    <externalReference r:id="rId19"/>
  </externalReferences>
  <definedNames>
    <definedName name="PCEntradasN1_Nível_1" localSheetId="15">TbPCEntradasN1[Nível 1]</definedName>
    <definedName name="PCEntradasN1_Nível_1">TbPCEntradasN1[Nível 1]</definedName>
    <definedName name="PCEntradasN2_Nível_1" localSheetId="15">TbPCEntradasN2[Nível 1]</definedName>
    <definedName name="PCEntradasN2_Nível_1">TbPCEntradasN2[Nível 1]</definedName>
    <definedName name="PCEntradasN2_Nível_2" localSheetId="15">TbPCEntradasN2[Nível 2]</definedName>
    <definedName name="PCEntradasN2_Nível_2">TbPCEntradasN2[Nível 2]</definedName>
    <definedName name="PCSaídasN1_Nível_1" localSheetId="15">TbPCSaídasN1[Nível 1]</definedName>
    <definedName name="PCSaídasN1_Nível_1">TbPCSaídasN1[Nível 1]</definedName>
    <definedName name="PCSaídasN2_Nível_1" localSheetId="15">TbPCSaídasN2[Nível 1]</definedName>
    <definedName name="PCSaídasN2_Nível_1">TbPCSaídasN2[Nível 1]</definedName>
    <definedName name="PCSaídasN2_Nível_2" localSheetId="15">TbPCSaídasN2[Nível 2]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Ano_Previsto2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76" r:id="rId20"/>
    <pivotCache cacheId="75" r:id="rId21"/>
  </pivotCaches>
  <extLst>
    <ext xmlns:x14="http://schemas.microsoft.com/office/spreadsheetml/2009/9/main" uri="{BBE1A952-AA13-448e-AADC-164F8A28A991}">
      <x14:slicerCaches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H31" i="20" l="1"/>
  <c r="J4" i="20"/>
  <c r="H31" i="19"/>
  <c r="J4" i="19"/>
  <c r="H30" i="20" l="1"/>
  <c r="B16" i="18" l="1"/>
  <c r="B16" i="16" l="1"/>
  <c r="O4" i="8" l="1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" i="15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G16" i="10" l="1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N24" i="10" l="1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<sst xmlns="http://schemas.openxmlformats.org/spreadsheetml/2006/main" count="1806" uniqueCount="605">
  <si>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</si>
  <si>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</si>
  <si>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</si>
  <si>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</si>
  <si>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</si>
  <si>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</si>
  <si>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</si>
  <si>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</si>
  <si>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</si>
  <si>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</si>
  <si>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</si>
  <si>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</si>
  <si>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</si>
  <si>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</si>
  <si>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</si>
  <si>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</si>
  <si>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</si>
  <si>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</si>
  <si>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</si>
  <si>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</si>
  <si>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</si>
  <si>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</si>
  <si>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</si>
  <si>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</si>
  <si>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</si>
  <si>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</si>
  <si>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</si>
  <si>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</si>
  <si>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</si>
  <si>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</si>
  <si>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</si>
  <si>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</si>
  <si>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</si>
  <si>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</si>
  <si>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</si>
  <si>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</si>
  <si>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</si>
  <si>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</si>
  <si>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</si>
  <si>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</si>
  <si>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</si>
  <si>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</si>
  <si>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</si>
  <si>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</si>
  <si>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</si>
  <si>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</si>
  <si>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</si>
  <si>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</si>
  <si>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</si>
  <si>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</si>
  <si>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</si>
  <si>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</si>
  <si>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</si>
  <si>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</si>
  <si>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</si>
  <si>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</si>
  <si>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</si>
  <si>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</si>
  <si>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</si>
  <si>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</si>
  <si>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</si>
  <si>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</si>
  <si>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</si>
  <si>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</si>
  <si>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</si>
  <si>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</si>
  <si>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</si>
  <si>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</si>
  <si>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</si>
  <si>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</si>
  <si>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</si>
  <si>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</si>
  <si>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</si>
  <si>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</si>
  <si>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</si>
  <si>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</si>
  <si>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</si>
  <si>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</si>
  <si>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</si>
  <si>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</si>
  <si>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</si>
  <si>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</si>
  <si>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</si>
  <si>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</si>
  <si>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</si>
  <si>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</si>
  <si>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</si>
  <si>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</si>
  <si>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</si>
  <si>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</si>
  <si>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</si>
  <si>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</si>
  <si>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</si>
  <si>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</si>
  <si>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</si>
  <si>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</si>
  <si>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</si>
  <si>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</si>
  <si>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</si>
  <si>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</si>
  <si>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</si>
  <si>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</si>
  <si>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</si>
  <si>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</si>
  <si>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</si>
  <si>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</si>
  <si>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</si>
  <si>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</si>
  <si>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</si>
  <si>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</si>
  <si>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</si>
  <si>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</si>
  <si>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</si>
  <si>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</si>
  <si>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</si>
  <si>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</si>
  <si>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</si>
  <si>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</si>
  <si>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</si>
  <si>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</si>
  <si>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</si>
  <si>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</si>
  <si>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</si>
  <si>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</si>
  <si>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</si>
  <si>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</si>
  <si>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</si>
  <si>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</si>
  <si>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</si>
  <si>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</si>
  <si>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</si>
  <si>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</si>
  <si>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</si>
  <si>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</si>
  <si>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</si>
  <si>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</si>
  <si>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</si>
  <si>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</si>
  <si>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</si>
  <si>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</si>
  <si>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</si>
  <si>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</si>
  <si>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</si>
  <si>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</si>
  <si>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</si>
  <si>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</si>
  <si>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</si>
  <si>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</si>
  <si>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</si>
  <si>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</si>
  <si>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</si>
  <si>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</si>
  <si>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</si>
  <si>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</si>
  <si>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</si>
  <si>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</si>
  <si>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</si>
  <si>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</si>
  <si>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</si>
  <si>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</si>
  <si>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</si>
  <si>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</si>
  <si>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</si>
  <si>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</si>
  <si>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</si>
  <si>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</si>
  <si>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</si>
  <si>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</si>
  <si>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</si>
  <si>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</si>
  <si>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</si>
  <si>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</si>
  <si>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</si>
  <si>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</si>
  <si>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</si>
  <si>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</si>
  <si>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</si>
  <si>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</si>
  <si>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</si>
  <si>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</si>
  <si>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</si>
  <si>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</si>
  <si>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</si>
  <si>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</si>
  <si>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</si>
  <si>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</si>
  <si>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</si>
  <si>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</si>
  <si>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</si>
  <si>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</si>
  <si>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</si>
  <si>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</si>
  <si>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</si>
  <si>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</si>
  <si>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</si>
  <si>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</si>
  <si>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</si>
  <si>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</si>
  <si>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</si>
  <si>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</si>
  <si>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</si>
  <si>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</si>
  <si>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</si>
  <si>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</si>
  <si>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</si>
  <si>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</si>
  <si>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</si>
  <si>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</si>
  <si>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</si>
  <si>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</si>
  <si>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</si>
  <si>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</si>
  <si>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</si>
  <si>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</si>
  <si>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</si>
  <si>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</si>
  <si>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</si>
  <si>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</si>
  <si>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</si>
  <si>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</si>
  <si>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</si>
  <si>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</si>
  <si>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</si>
  <si>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</si>
  <si>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</si>
  <si>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</si>
  <si>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</si>
  <si>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</si>
  <si>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</si>
  <si>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</si>
  <si>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</si>
  <si>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</si>
  <si>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</si>
  <si>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</si>
  <si>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</si>
  <si>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</si>
  <si>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</si>
  <si>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</si>
  <si>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</si>
  <si>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</si>
  <si>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</si>
  <si>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</si>
  <si>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</si>
  <si>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</si>
  <si>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</si>
  <si>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</si>
  <si>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</si>
  <si>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</si>
  <si>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</si>
  <si>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</si>
  <si>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</si>
  <si>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</si>
  <si>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</si>
  <si>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</si>
  <si>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</si>
  <si>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</si>
  <si>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</si>
  <si>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</si>
  <si>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</si>
  <si>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</si>
  <si>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</si>
  <si>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</si>
  <si>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</si>
  <si>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</si>
  <si>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</si>
  <si>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</si>
  <si>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</si>
  <si>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</si>
  <si>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</si>
  <si>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</si>
  <si>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</si>
  <si>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</si>
  <si>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</si>
  <si>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</si>
  <si>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</si>
  <si>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</si>
  <si>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</si>
  <si>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</si>
  <si>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</si>
  <si>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</si>
  <si>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</si>
  <si>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</si>
  <si>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</si>
  <si>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</si>
  <si>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</si>
  <si>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</si>
  <si>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</si>
  <si>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</si>
  <si>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</si>
  <si>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</si>
  <si>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</si>
  <si>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</si>
  <si>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</si>
  <si>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</si>
  <si>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</si>
  <si>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</si>
  <si>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</si>
  <si>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</si>
  <si>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</si>
  <si>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</si>
  <si>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</si>
  <si>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</si>
  <si>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</si>
  <si>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</si>
  <si>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</si>
  <si>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</si>
  <si>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</si>
  <si>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</si>
  <si>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</si>
  <si>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</si>
  <si>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</si>
  <si>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</si>
  <si>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</si>
  <si>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</si>
  <si>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</si>
  <si>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</si>
  <si>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</si>
  <si>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</si>
  <si>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</si>
  <si>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</si>
  <si>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</si>
  <si>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</si>
  <si>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</si>
  <si>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</si>
  <si>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</si>
  <si>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</si>
  <si>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</si>
  <si>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</si>
  <si>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</si>
  <si>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</si>
  <si>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</si>
  <si>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</si>
  <si>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</si>
  <si>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</si>
  <si>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</si>
  <si>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</si>
  <si>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</si>
  <si>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</si>
  <si>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</si>
  <si>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</si>
  <si>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</si>
  <si>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</si>
  <si>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</si>
  <si>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</si>
  <si>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</si>
  <si>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</si>
  <si>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</si>
  <si>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</si>
  <si>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</si>
  <si>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</si>
  <si>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</si>
  <si>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</si>
  <si>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</si>
  <si>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</si>
  <si>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</si>
  <si>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</si>
  <si>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</si>
  <si>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</si>
  <si>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</si>
  <si>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</si>
  <si>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</si>
  <si>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</si>
  <si>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</si>
  <si>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</si>
  <si>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</si>
  <si>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</si>
  <si>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</si>
  <si>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</si>
  <si>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</si>
  <si>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</si>
  <si>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</si>
  <si>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</si>
  <si>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</si>
  <si>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</si>
  <si>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</si>
  <si>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</si>
  <si>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</si>
  <si>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</si>
  <si>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</si>
  <si>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</si>
  <si>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</si>
  <si>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</si>
  <si>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</si>
  <si>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</si>
  <si>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</si>
  <si>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</si>
  <si>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</si>
  <si>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</si>
  <si>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</si>
  <si>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</si>
  <si>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</si>
  <si>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</si>
  <si>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</si>
  <si>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</si>
  <si>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</si>
  <si>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</si>
  <si>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</si>
  <si>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</si>
  <si>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</si>
  <si>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</si>
  <si>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</si>
  <si>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</si>
  <si>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</si>
  <si>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</si>
  <si>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</si>
  <si>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</si>
  <si>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</si>
  <si>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</si>
  <si>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</si>
  <si>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</si>
  <si>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</si>
  <si>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</si>
  <si>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</si>
  <si>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</si>
  <si>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</si>
  <si>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</si>
  <si>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</si>
  <si>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</si>
  <si>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</si>
  <si>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</si>
  <si>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</si>
  <si>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</si>
  <si>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</si>
  <si>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</si>
  <si>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</si>
  <si>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</si>
  <si>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</si>
  <si>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</si>
  <si>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</si>
  <si>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</si>
  <si>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</si>
  <si>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</si>
  <si>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</si>
  <si>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</si>
  <si>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</si>
  <si>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</si>
  <si>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</si>
  <si>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</si>
  <si>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</si>
  <si>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</si>
  <si>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</si>
  <si>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</si>
  <si>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</si>
  <si>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</si>
  <si>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</si>
  <si>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</si>
  <si>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</si>
  <si>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</si>
  <si>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</si>
  <si>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</si>
  <si>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</si>
  <si>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</si>
  <si>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</si>
  <si>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</si>
  <si>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</si>
  <si>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</si>
  <si>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</si>
  <si>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</si>
  <si>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</si>
  <si>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</si>
  <si>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</si>
  <si>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</si>
  <si>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</si>
  <si>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</si>
  <si>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</si>
  <si>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</si>
  <si>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</si>
  <si>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</si>
  <si>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</si>
  <si>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</si>
  <si>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</si>
  <si>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</si>
  <si>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</si>
  <si>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</si>
  <si>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</si>
  <si>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</si>
  <si>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</si>
  <si>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</si>
  <si>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</si>
  <si>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</si>
  <si>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</si>
  <si>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</si>
  <si>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</si>
  <si>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</si>
  <si>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</si>
  <si>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</si>
  <si>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</si>
  <si>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</si>
  <si>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</si>
  <si>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</si>
  <si>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</si>
  <si>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</si>
  <si>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</si>
  <si>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</si>
  <si>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</si>
  <si>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</si>
  <si>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</si>
  <si>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</si>
  <si>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</si>
  <si>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</si>
  <si>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</si>
  <si>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</si>
  <si>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</si>
  <si>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</si>
  <si>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</si>
  <si>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</si>
  <si>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</si>
  <si>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</si>
  <si>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</si>
  <si>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</si>
  <si>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</si>
  <si>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</si>
  <si>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</si>
  <si>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</si>
  <si>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</si>
  <si>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</si>
  <si>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</si>
  <si>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</si>
  <si>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</si>
  <si>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</si>
  <si>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</si>
  <si>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</si>
  <si>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</si>
  <si>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</si>
  <si>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</si>
  <si>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</si>
  <si>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</si>
  <si>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</si>
  <si>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</si>
  <si>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</si>
  <si>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</si>
  <si>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</si>
  <si>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</si>
  <si>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</si>
  <si>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</si>
  <si>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</si>
  <si>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</si>
  <si>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</si>
  <si>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</si>
  <si>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</si>
  <si>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</si>
  <si>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</si>
  <si>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</si>
  <si>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</si>
  <si>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</si>
  <si>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</si>
  <si>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</si>
  <si>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</si>
  <si>
    <t>Conta Vencida</t>
  </si>
  <si>
    <t>Vencida</t>
  </si>
  <si>
    <t>Saldo de Caixa</t>
  </si>
  <si>
    <t>Contas a Pagar e a Receber Mensal</t>
  </si>
  <si>
    <t>Evolução de Vendas - Conta Nível 2</t>
  </si>
  <si>
    <t>Contas a Pagar</t>
  </si>
  <si>
    <t>Total</t>
  </si>
  <si>
    <t>Contas a Receber</t>
  </si>
  <si>
    <t>Perfil das Vendas</t>
  </si>
  <si>
    <t>Atraso médio das contas</t>
  </si>
  <si>
    <t>Resultado Acumulado</t>
  </si>
  <si>
    <t>Despesa Mensal - Conta Nível 2</t>
  </si>
  <si>
    <t>A Receber</t>
  </si>
  <si>
    <t>A Pagar</t>
  </si>
  <si>
    <t>Dias</t>
  </si>
  <si>
    <t>DASHBOARD FINANCEIRO - POSIÇÃO ANUAL</t>
  </si>
  <si>
    <t>DASHBOARD ANUAL</t>
  </si>
  <si>
    <t>Minigráficos de contas a Pagar e a Receber</t>
  </si>
  <si>
    <t>Evolução das vendas</t>
  </si>
  <si>
    <t>Ano:</t>
  </si>
  <si>
    <t>ANO:</t>
  </si>
  <si>
    <t>Mês</t>
  </si>
  <si>
    <t>Pagar Mensal</t>
  </si>
  <si>
    <t>Receber Mensal</t>
  </si>
  <si>
    <t>Gráfico</t>
  </si>
  <si>
    <t>Jan</t>
  </si>
  <si>
    <t>Fev</t>
  </si>
  <si>
    <t>Saldo do Caixa</t>
  </si>
  <si>
    <t>Mar</t>
  </si>
  <si>
    <t>Saldo Inicial</t>
  </si>
  <si>
    <t>Abr</t>
  </si>
  <si>
    <t>Entradas</t>
  </si>
  <si>
    <t>Mai</t>
  </si>
  <si>
    <t>Saídas</t>
  </si>
  <si>
    <t>Jun</t>
  </si>
  <si>
    <t>Saldo</t>
  </si>
  <si>
    <t>Jul</t>
  </si>
  <si>
    <t>Ago</t>
  </si>
  <si>
    <t>Contas a pagar total</t>
  </si>
  <si>
    <t>Set</t>
  </si>
  <si>
    <t>Contas a receber total</t>
  </si>
  <si>
    <t>Out</t>
  </si>
  <si>
    <t>Nov</t>
  </si>
  <si>
    <t>Dez</t>
  </si>
  <si>
    <t xml:space="preserve">Perfil das Vendas </t>
  </si>
  <si>
    <t>Ano</t>
  </si>
  <si>
    <t>À Vista</t>
  </si>
  <si>
    <t>A Prazo</t>
  </si>
  <si>
    <t>Atraso médio nas contas a receber</t>
  </si>
  <si>
    <t>Atraso médio nas contas a pagar</t>
  </si>
  <si>
    <t>Qtde.</t>
  </si>
  <si>
    <t>Média</t>
  </si>
  <si>
    <t>Resultado no Período</t>
  </si>
  <si>
    <t>Despesa Mensal</t>
  </si>
  <si>
    <t>Resultado</t>
  </si>
  <si>
    <t>DASHBOARD ATUAL (NO ANO DADO ATÉ "HOJE")</t>
  </si>
  <si>
    <t>HOJE: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</si>
</sst>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6" formatCode="&quot;R$&quot;\ #,##0;[Red]\-&quot;R$&quot;\ #,##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_ ;[Red]\-#,##0\ "/>
    <numFmt numFmtId="169" formatCode="&quot;R$&quot;\ #,##0"/>
    <numFmt numFmtId="170" formatCode="&quot;R$&quot;\ #,##0.00"/>
  </numFmts>
  <fonts count="32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4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rgb="FF00B05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8"/>
      <color theme="9" tint="-0.249977111117893"/>
      <name val="Calibri"/>
      <family val="2"/>
      <scheme val="minor"/>
    </font>
    <font>
      <b/>
      <sz val="20"/>
      <color theme="8" tint="-0.499984740745262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0.5"/>
      <color theme="2" tint="-0.749992370372631"/>
      <name val="Calibri"/>
      <family val="2"/>
      <scheme val="minor"/>
    </font>
    <font>
      <b/>
      <sz val="14"/>
      <color theme="2" tint="-0.749992370372631"/>
      <name val="Calibri"/>
      <family val="2"/>
      <scheme val="minor"/>
    </font>
    <font>
      <b/>
      <sz val="14"/>
      <color rgb="FF996600"/>
      <name val="Calibri"/>
      <family val="2"/>
      <scheme val="minor"/>
    </font>
    <font>
      <b/>
      <sz val="24"/>
      <color rgb="FF4D4D4D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4472C4"/>
      <name val="Calibri"/>
      <family val="2"/>
    </font>
    <font>
      <sz val="11"/>
      <color rgb="FF548235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7" tint="0.39997558519241921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 style="thin">
        <color theme="3" tint="0.399945066682943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1454817346722"/>
      </left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/>
      <right/>
      <top style="thin">
        <color theme="3" tint="0.39994506668294322"/>
      </top>
      <bottom/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1454817346722"/>
      </left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1454817346722"/>
      </left>
      <right style="thin">
        <color theme="3" tint="0.399914548173467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/>
      <bottom/>
      <diagonal/>
    </border>
    <border>
      <left style="thin">
        <color theme="3" tint="0.39991454817346722"/>
      </left>
      <right style="thin">
        <color theme="3" tint="0.39988402966399123"/>
      </right>
      <top/>
      <bottom/>
      <diagonal/>
    </border>
    <border>
      <left style="thin">
        <color theme="3" tint="0.39991454817346722"/>
      </left>
      <right style="thin">
        <color theme="3" tint="0.39991454817346722"/>
      </right>
      <top/>
      <bottom/>
      <diagonal/>
    </border>
    <border>
      <left style="thin">
        <color theme="3" tint="0.39994506668294322"/>
      </left>
      <right/>
      <top/>
      <bottom style="thin">
        <color theme="3" tint="0.39994506668294322"/>
      </bottom>
      <diagonal/>
    </border>
    <border>
      <left/>
      <right/>
      <top/>
      <bottom style="thin">
        <color theme="3" tint="0.39994506668294322"/>
      </bottom>
      <diagonal/>
    </border>
    <border>
      <left style="thin">
        <color theme="3" tint="0.39991454817346722"/>
      </left>
      <right style="thin">
        <color theme="3" tint="0.39988402966399123"/>
      </right>
      <top/>
      <bottom style="thin">
        <color theme="3" tint="0.39991454817346722"/>
      </bottom>
      <diagonal/>
    </border>
    <border>
      <left style="thin">
        <color theme="3" tint="0.39991454817346722"/>
      </left>
      <right style="thin">
        <color theme="3" tint="0.39991454817346722"/>
      </right>
      <top/>
      <bottom style="thin">
        <color theme="3" tint="0.39994506668294322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46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  <xf numFmtId="14" fontId="0" fillId="4" borderId="0" xfId="0" applyNumberFormat="1" applyFill="1" applyAlignment="1">
      <alignment vertical="center"/>
    </xf>
    <xf numFmtId="0" fontId="0" fillId="0" borderId="0" xfId="0" applyAlignment="1" applyProtection="1">
      <alignment vertical="center"/>
    </xf>
    <xf numFmtId="0" fontId="10" fillId="0" borderId="18" xfId="0" applyFont="1" applyBorder="1" applyAlignment="1" applyProtection="1">
      <alignment horizontal="center" vertical="center"/>
    </xf>
    <xf numFmtId="0" fontId="11" fillId="0" borderId="19" xfId="0" applyFont="1" applyFill="1" applyBorder="1" applyAlignment="1" applyProtection="1">
      <alignment vertical="center"/>
    </xf>
    <xf numFmtId="6" fontId="12" fillId="0" borderId="21" xfId="2" applyNumberFormat="1" applyFont="1" applyBorder="1" applyAlignment="1" applyProtection="1">
      <alignment horizontal="center" vertical="center"/>
    </xf>
    <xf numFmtId="0" fontId="13" fillId="0" borderId="21" xfId="0" quotePrefix="1" applyFont="1" applyBorder="1" applyAlignment="1" applyProtection="1"/>
    <xf numFmtId="0" fontId="0" fillId="0" borderId="22" xfId="0" applyBorder="1" applyProtection="1"/>
    <xf numFmtId="0" fontId="0" fillId="0" borderId="0" xfId="0" applyBorder="1" applyProtection="1"/>
    <xf numFmtId="0" fontId="0" fillId="0" borderId="0" xfId="0" applyBorder="1" applyAlignment="1" applyProtection="1">
      <alignment vertical="center"/>
    </xf>
    <xf numFmtId="0" fontId="10" fillId="0" borderId="0" xfId="0" applyFont="1" applyBorder="1" applyAlignment="1" applyProtection="1">
      <alignment vertical="center"/>
    </xf>
    <xf numFmtId="0" fontId="14" fillId="0" borderId="23" xfId="0" applyFont="1" applyBorder="1" applyAlignment="1" applyProtection="1">
      <alignment vertical="center" wrapText="1"/>
    </xf>
    <xf numFmtId="0" fontId="0" fillId="0" borderId="17" xfId="0" applyBorder="1" applyAlignment="1" applyProtection="1">
      <alignment horizontal="center" vertical="center"/>
    </xf>
    <xf numFmtId="6" fontId="15" fillId="0" borderId="21" xfId="2" applyNumberFormat="1" applyFont="1" applyBorder="1" applyAlignment="1" applyProtection="1">
      <alignment horizontal="center" vertical="center"/>
    </xf>
    <xf numFmtId="0" fontId="0" fillId="0" borderId="21" xfId="0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vertical="center"/>
    </xf>
    <xf numFmtId="6" fontId="17" fillId="0" borderId="21" xfId="2" applyNumberFormat="1" applyFont="1" applyBorder="1" applyAlignment="1" applyProtection="1">
      <alignment horizontal="center" vertical="center"/>
    </xf>
    <xf numFmtId="0" fontId="0" fillId="0" borderId="24" xfId="0" applyBorder="1" applyProtection="1"/>
    <xf numFmtId="0" fontId="0" fillId="0" borderId="25" xfId="0" applyBorder="1" applyProtection="1"/>
    <xf numFmtId="0" fontId="0" fillId="0" borderId="25" xfId="0" applyBorder="1" applyAlignment="1" applyProtection="1">
      <alignment vertical="center"/>
    </xf>
    <xf numFmtId="6" fontId="16" fillId="0" borderId="26" xfId="0" applyNumberFormat="1" applyFont="1" applyBorder="1" applyAlignment="1" applyProtection="1">
      <alignment vertical="center"/>
    </xf>
    <xf numFmtId="0" fontId="0" fillId="0" borderId="0" xfId="0" applyProtection="1"/>
    <xf numFmtId="0" fontId="10" fillId="0" borderId="31" xfId="0" applyFont="1" applyBorder="1" applyAlignment="1" applyProtection="1">
      <alignment horizontal="center" vertical="center"/>
    </xf>
    <xf numFmtId="0" fontId="10" fillId="0" borderId="0" xfId="0" applyFont="1" applyBorder="1" applyAlignment="1" applyProtection="1">
      <alignment horizontal="center" vertical="center"/>
    </xf>
    <xf numFmtId="0" fontId="0" fillId="0" borderId="23" xfId="0" applyBorder="1" applyAlignment="1" applyProtection="1">
      <alignment vertical="center"/>
    </xf>
    <xf numFmtId="6" fontId="18" fillId="0" borderId="32" xfId="0" applyNumberFormat="1" applyFont="1" applyBorder="1" applyAlignment="1" applyProtection="1">
      <alignment horizontal="center" vertical="center"/>
    </xf>
    <xf numFmtId="3" fontId="19" fillId="0" borderId="31" xfId="0" applyNumberFormat="1" applyFont="1" applyBorder="1" applyAlignment="1" applyProtection="1">
      <alignment vertical="center"/>
    </xf>
    <xf numFmtId="3" fontId="20" fillId="0" borderId="23" xfId="0" applyNumberFormat="1" applyFont="1" applyBorder="1" applyAlignment="1" applyProtection="1">
      <alignment vertical="center"/>
    </xf>
    <xf numFmtId="0" fontId="0" fillId="0" borderId="32" xfId="0" applyBorder="1" applyAlignment="1" applyProtection="1">
      <alignment vertical="center"/>
    </xf>
    <xf numFmtId="170" fontId="21" fillId="0" borderId="31" xfId="0" applyNumberFormat="1" applyFont="1" applyBorder="1" applyAlignment="1" applyProtection="1">
      <alignment vertical="center"/>
    </xf>
    <xf numFmtId="3" fontId="15" fillId="0" borderId="31" xfId="0" applyNumberFormat="1" applyFont="1" applyBorder="1" applyAlignment="1" applyProtection="1">
      <alignment horizontal="center" vertical="center"/>
    </xf>
    <xf numFmtId="0" fontId="0" fillId="0" borderId="33" xfId="0" applyBorder="1" applyAlignment="1" applyProtection="1">
      <alignment vertical="center"/>
    </xf>
    <xf numFmtId="0" fontId="19" fillId="0" borderId="31" xfId="0" applyFont="1" applyBorder="1" applyAlignment="1" applyProtection="1">
      <alignment vertical="center"/>
    </xf>
    <xf numFmtId="0" fontId="22" fillId="0" borderId="31" xfId="0" applyFont="1" applyBorder="1" applyAlignment="1" applyProtection="1">
      <alignment horizontal="center" vertical="center"/>
    </xf>
    <xf numFmtId="0" fontId="22" fillId="0" borderId="23" xfId="0" applyFont="1" applyBorder="1" applyAlignment="1" applyProtection="1">
      <alignment horizontal="center" vertical="center"/>
    </xf>
    <xf numFmtId="170" fontId="21" fillId="0" borderId="34" xfId="0" applyNumberFormat="1" applyFont="1" applyBorder="1" applyAlignment="1" applyProtection="1">
      <alignment vertical="center"/>
    </xf>
    <xf numFmtId="0" fontId="0" fillId="0" borderId="35" xfId="0" applyBorder="1" applyAlignment="1" applyProtection="1">
      <alignment vertical="center"/>
    </xf>
    <xf numFmtId="0" fontId="0" fillId="0" borderId="26" xfId="0" applyBorder="1" applyAlignment="1" applyProtection="1">
      <alignment vertical="center"/>
    </xf>
    <xf numFmtId="0" fontId="22" fillId="0" borderId="34" xfId="0" applyFont="1" applyBorder="1" applyAlignment="1" applyProtection="1">
      <alignment vertical="center"/>
    </xf>
    <xf numFmtId="0" fontId="22" fillId="0" borderId="26" xfId="0" applyFont="1" applyBorder="1" applyAlignment="1" applyProtection="1">
      <alignment vertical="center"/>
    </xf>
    <xf numFmtId="0" fontId="0" fillId="0" borderId="36" xfId="0" applyBorder="1" applyAlignment="1" applyProtection="1">
      <alignment vertical="center"/>
    </xf>
    <xf numFmtId="0" fontId="0" fillId="0" borderId="37" xfId="0" applyBorder="1" applyAlignment="1" applyProtection="1">
      <alignment vertical="center"/>
    </xf>
    <xf numFmtId="0" fontId="23" fillId="0" borderId="17" xfId="0" applyFont="1" applyBorder="1" applyAlignment="1" applyProtection="1">
      <alignment horizontal="center" vertical="center"/>
    </xf>
    <xf numFmtId="0" fontId="24" fillId="0" borderId="17" xfId="0" applyFont="1" applyBorder="1" applyAlignment="1" applyProtection="1">
      <alignment horizontal="center" vertical="center"/>
    </xf>
    <xf numFmtId="0" fontId="23" fillId="0" borderId="18" xfId="0" applyFont="1" applyBorder="1" applyAlignment="1" applyProtection="1">
      <alignment horizontal="center" vertical="center"/>
    </xf>
    <xf numFmtId="0" fontId="23" fillId="0" borderId="27" xfId="0" applyFont="1" applyBorder="1" applyAlignment="1" applyProtection="1">
      <alignment horizontal="center" vertical="center"/>
    </xf>
    <xf numFmtId="0" fontId="23" fillId="0" borderId="28" xfId="0" applyFont="1" applyBorder="1" applyAlignment="1" applyProtection="1">
      <alignment horizontal="center" vertical="center"/>
    </xf>
    <xf numFmtId="0" fontId="23" fillId="0" borderId="31" xfId="0" applyFont="1" applyBorder="1" applyAlignment="1" applyProtection="1">
      <alignment horizontal="center" vertical="center"/>
    </xf>
    <xf numFmtId="0" fontId="23" fillId="0" borderId="23" xfId="0" applyFont="1" applyBorder="1" applyAlignment="1" applyProtection="1">
      <alignment horizontal="center" vertical="center"/>
    </xf>
    <xf numFmtId="0" fontId="23" fillId="0" borderId="29" xfId="0" applyFont="1" applyBorder="1" applyAlignment="1" applyProtection="1">
      <alignment horizontal="center" vertical="center"/>
    </xf>
    <xf numFmtId="0" fontId="23" fillId="0" borderId="30" xfId="0" applyFont="1" applyBorder="1" applyAlignment="1" applyProtection="1">
      <alignment horizontal="center" vertical="center"/>
    </xf>
    <xf numFmtId="6" fontId="25" fillId="0" borderId="23" xfId="0" applyNumberFormat="1" applyFont="1" applyBorder="1" applyAlignment="1" applyProtection="1">
      <alignment horizontal="center" vertical="center"/>
    </xf>
    <xf numFmtId="0" fontId="23" fillId="0" borderId="19" xfId="0" applyFont="1" applyBorder="1" applyAlignment="1" applyProtection="1">
      <alignment horizontal="left" vertical="center"/>
    </xf>
    <xf numFmtId="3" fontId="17" fillId="0" borderId="23" xfId="0" applyNumberFormat="1" applyFont="1" applyBorder="1" applyAlignment="1" applyProtection="1">
      <alignment horizontal="center" vertical="center"/>
    </xf>
    <xf numFmtId="169" fontId="26" fillId="0" borderId="33" xfId="0" applyNumberFormat="1" applyFont="1" applyBorder="1" applyAlignment="1" applyProtection="1">
      <alignment horizontal="center" vertical="center"/>
    </xf>
    <xf numFmtId="14" fontId="27" fillId="4" borderId="0" xfId="0" applyNumberFormat="1" applyFont="1" applyFill="1" applyAlignment="1">
      <alignment vertical="center"/>
    </xf>
    <xf numFmtId="0" fontId="11" fillId="4" borderId="33" xfId="0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vertical="center"/>
    </xf>
    <xf numFmtId="1" fontId="27" fillId="4" borderId="0" xfId="0" applyNumberFormat="1" applyFont="1" applyFill="1" applyAlignment="1">
      <alignment vertical="center"/>
    </xf>
    <xf numFmtId="0" fontId="28" fillId="0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29" fillId="0" borderId="0" xfId="0" applyFont="1" applyFill="1" applyBorder="1" applyAlignment="1">
      <alignment vertical="center"/>
    </xf>
    <xf numFmtId="0" fontId="28" fillId="0" borderId="0" xfId="0" applyFont="1" applyFill="1" applyBorder="1" applyAlignment="1">
      <alignment horizontal="right" vertical="center"/>
    </xf>
    <xf numFmtId="0" fontId="29" fillId="7" borderId="0" xfId="0" applyFont="1" applyFill="1" applyBorder="1" applyAlignment="1">
      <alignment vertical="center"/>
    </xf>
    <xf numFmtId="0" fontId="28" fillId="9" borderId="0" xfId="0" applyFont="1" applyFill="1" applyBorder="1" applyAlignment="1">
      <alignment vertical="center"/>
    </xf>
    <xf numFmtId="0" fontId="28" fillId="0" borderId="38" xfId="0" applyFont="1" applyFill="1" applyBorder="1" applyAlignment="1">
      <alignment horizontal="right" vertical="center"/>
    </xf>
    <xf numFmtId="0" fontId="28" fillId="0" borderId="38" xfId="0" applyFont="1" applyFill="1" applyBorder="1" applyAlignment="1">
      <alignment horizontal="right" vertical="center" wrapText="1"/>
    </xf>
    <xf numFmtId="0" fontId="28" fillId="9" borderId="38" xfId="0" applyFont="1" applyFill="1" applyBorder="1" applyAlignment="1">
      <alignment horizontal="left" vertical="center"/>
    </xf>
    <xf numFmtId="0" fontId="28" fillId="0" borderId="39" xfId="0" applyFont="1" applyFill="1" applyBorder="1" applyAlignment="1">
      <alignment vertical="center"/>
    </xf>
    <xf numFmtId="43" fontId="28" fillId="7" borderId="39" xfId="1" applyFont="1" applyFill="1" applyBorder="1" applyAlignment="1">
      <alignment horizontal="right" vertical="center"/>
    </xf>
    <xf numFmtId="0" fontId="28" fillId="0" borderId="39" xfId="0" applyFont="1" applyFill="1" applyBorder="1" applyAlignment="1">
      <alignment horizontal="right" vertical="center"/>
    </xf>
    <xf numFmtId="43" fontId="28" fillId="7" borderId="0" xfId="1" applyFont="1" applyFill="1" applyBorder="1" applyAlignment="1">
      <alignment horizontal="right" vertical="center"/>
    </xf>
    <xf numFmtId="43" fontId="28" fillId="7" borderId="39" xfId="1" applyFont="1" applyFill="1" applyBorder="1" applyAlignment="1">
      <alignment vertical="center"/>
    </xf>
    <xf numFmtId="43" fontId="28" fillId="7" borderId="0" xfId="1" applyFont="1" applyFill="1" applyBorder="1" applyAlignment="1">
      <alignment vertical="center"/>
    </xf>
    <xf numFmtId="0" fontId="28" fillId="0" borderId="40" xfId="0" applyFont="1" applyFill="1" applyBorder="1" applyAlignment="1">
      <alignment vertical="center"/>
    </xf>
    <xf numFmtId="43" fontId="30" fillId="7" borderId="40" xfId="1" applyFont="1" applyFill="1" applyBorder="1" applyAlignment="1">
      <alignment vertical="center"/>
    </xf>
    <xf numFmtId="0" fontId="29" fillId="0" borderId="39" xfId="0" applyFont="1" applyFill="1" applyBorder="1" applyAlignment="1">
      <alignment vertical="center"/>
    </xf>
    <xf numFmtId="0" fontId="29" fillId="0" borderId="40" xfId="0" applyFont="1" applyFill="1" applyBorder="1" applyAlignment="1">
      <alignment vertical="center"/>
    </xf>
    <xf numFmtId="43" fontId="28" fillId="7" borderId="40" xfId="1" applyFont="1" applyFill="1" applyBorder="1" applyAlignment="1">
      <alignment vertical="center"/>
    </xf>
    <xf numFmtId="43" fontId="28" fillId="7" borderId="40" xfId="1" applyFont="1" applyFill="1" applyBorder="1" applyAlignment="1">
      <alignment horizontal="right" vertical="center"/>
    </xf>
    <xf numFmtId="0" fontId="28" fillId="0" borderId="40" xfId="0" applyFont="1" applyFill="1" applyBorder="1" applyAlignment="1">
      <alignment horizontal="right" vertical="center"/>
    </xf>
    <xf numFmtId="14" fontId="28" fillId="0" borderId="0" xfId="0" applyNumberFormat="1" applyFont="1" applyFill="1" applyBorder="1" applyAlignment="1">
      <alignment vertical="center"/>
    </xf>
    <xf numFmtId="0" fontId="28" fillId="7" borderId="38" xfId="0" applyFont="1" applyFill="1" applyBorder="1" applyAlignment="1">
      <alignment vertical="center"/>
    </xf>
    <xf numFmtId="43" fontId="28" fillId="7" borderId="38" xfId="1" applyFont="1" applyFill="1" applyBorder="1" applyAlignment="1">
      <alignment horizontal="right" vertical="center"/>
    </xf>
    <xf numFmtId="3" fontId="28" fillId="7" borderId="38" xfId="0" applyNumberFormat="1" applyFont="1" applyFill="1" applyBorder="1" applyAlignment="1">
      <alignment vertical="center"/>
    </xf>
    <xf numFmtId="1" fontId="28" fillId="0" borderId="0" xfId="0" applyNumberFormat="1" applyFont="1" applyFill="1" applyBorder="1" applyAlignment="1">
      <alignment vertical="center"/>
    </xf>
    <xf numFmtId="14" fontId="28" fillId="0" borderId="39" xfId="0" applyNumberFormat="1" applyFont="1" applyFill="1" applyBorder="1" applyAlignment="1">
      <alignment horizontal="right" vertical="center"/>
    </xf>
    <xf numFmtId="0" fontId="28" fillId="9" borderId="38" xfId="0" applyFont="1" applyFill="1" applyBorder="1" applyAlignment="1">
      <alignment horizontal="right" vertical="center" wrapText="1"/>
    </xf>
    <xf numFmtId="0" fontId="28" fillId="7" borderId="41" xfId="0" applyNumberFormat="1" applyFont="1" applyFill="1" applyBorder="1" applyAlignment="1">
      <alignment horizontal="right" vertical="center"/>
    </xf>
    <xf numFmtId="169" fontId="28" fillId="7" borderId="41" xfId="0" applyNumberFormat="1" applyFont="1" applyFill="1" applyBorder="1" applyAlignment="1">
      <alignment horizontal="right" vertical="center"/>
    </xf>
    <xf numFmtId="6" fontId="31" fillId="7" borderId="41" xfId="0" applyNumberFormat="1" applyFont="1" applyFill="1" applyBorder="1" applyAlignment="1">
      <alignment horizontal="right" vertical="center"/>
    </xf>
    <xf numFmtId="169" fontId="28" fillId="7" borderId="38" xfId="0" applyNumberFormat="1" applyFont="1" applyFill="1" applyBorder="1" applyAlignment="1">
      <alignment vertical="center"/>
    </xf>
    <xf numFmtId="14" fontId="28" fillId="9" borderId="0" xfId="0" applyNumberFormat="1" applyFont="1" applyFill="1" applyBorder="1" applyAlignment="1">
      <alignment vertical="center"/>
    </xf>
  </cellXfs>
  <cellStyles count="3">
    <cellStyle name="Moeda" xfId="2" builtinId="4"/>
    <cellStyle name="Normal" xfId="0" builtinId="0"/>
    <cellStyle name="Vírgula" xfId="1" builtinId="3"/>
  </cellStyles>
  <dxfs count="35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4D4D4D"/>
      <color rgb="FF996600"/>
      <color rgb="FFCC9900"/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5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4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microsoft.com/office/2007/relationships/slicerCache" Target="slicerCaches/slicerCache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3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2.xml"/><Relationship Id="rId28" Type="http://schemas.microsoft.com/office/2007/relationships/slicerCache" Target="slicerCaches/slicerCache7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1.xml"/><Relationship Id="rId27" Type="http://schemas.microsoft.com/office/2007/relationships/slicerCache" Target="slicerCaches/slicerCache6.xml"/><Relationship Id="rId30" Type="http://schemas.microsoft.com/office/2007/relationships/slicerCache" Target="slicerCaches/slicerCache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Anu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Anual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1362074</xdr:colOff>
      <xdr:row>1</xdr:row>
      <xdr:rowOff>47625</xdr:rowOff>
    </xdr:from>
    <xdr:to>
      <xdr:col>3</xdr:col>
      <xdr:colOff>762000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85724</xdr:colOff>
      <xdr:row>1</xdr:row>
      <xdr:rowOff>47625</xdr:rowOff>
    </xdr:from>
    <xdr:to>
      <xdr:col>6</xdr:col>
      <xdr:colOff>752475</xdr:colOff>
      <xdr:row>1</xdr:row>
      <xdr:rowOff>981075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1314448</xdr:colOff>
      <xdr:row>1</xdr:row>
      <xdr:rowOff>47625</xdr:rowOff>
    </xdr:from>
    <xdr:to>
      <xdr:col>3</xdr:col>
      <xdr:colOff>257174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7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380998</xdr:colOff>
      <xdr:row>1</xdr:row>
      <xdr:rowOff>47625</xdr:rowOff>
    </xdr:from>
    <xdr:to>
      <xdr:col>6</xdr:col>
      <xdr:colOff>476249</xdr:colOff>
      <xdr:row>1</xdr:row>
      <xdr:rowOff>1000124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1002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1466850</xdr:colOff>
      <xdr:row>1</xdr:row>
      <xdr:rowOff>47625</xdr:rowOff>
    </xdr:from>
    <xdr:to>
      <xdr:col>3</xdr:col>
      <xdr:colOff>466725</xdr:colOff>
      <xdr:row>1</xdr:row>
      <xdr:rowOff>685800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Ano Previst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0200" y="552450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esktop/Curso%20Excel/Secao-14/projeto-fluxo-de-caixa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ício"/>
      <sheetName val="Matriz"/>
      <sheetName val="PCEntradasN1"/>
      <sheetName val="PCEntradasN2"/>
      <sheetName val="PCSaídasN1"/>
      <sheetName val="PCSaídasN2"/>
      <sheetName val="RegistroEntradas"/>
      <sheetName val="RegistroSaídas"/>
      <sheetName val="FluxoCaixaConsolidado"/>
      <sheetName val="DetalhaReceita"/>
      <sheetName val="DetalhaDespesa"/>
      <sheetName val="ContasPagar"/>
      <sheetName val="ContasReceber"/>
      <sheetName val="ContasReceberVencidas"/>
      <sheetName val="DashBoardFinanceiroAnual"/>
      <sheetName val="DashBoardFinanceiroAtual"/>
      <sheetName val="DashBoardFinanceiroAnualD"/>
      <sheetName val="DashBoardFinanceiroAtua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4">
          <cell r="K4" t="str">
            <v>Som e imagem</v>
          </cell>
        </row>
        <row r="14">
          <cell r="K14" t="str">
            <v>Vestuário</v>
          </cell>
        </row>
      </sheetData>
      <sheetData sheetId="15">
        <row r="4">
          <cell r="K4" t="str">
            <v>Livros</v>
          </cell>
        </row>
        <row r="14">
          <cell r="K14" t="str">
            <v>Vestuário</v>
          </cell>
        </row>
      </sheetData>
      <sheetData sheetId="16" refreshError="1"/>
      <sheetData sheetId="17">
        <row r="5">
          <cell r="K5" t="e">
            <v>#N/A</v>
          </cell>
          <cell r="L5" t="str">
            <v>Jan</v>
          </cell>
        </row>
        <row r="6">
          <cell r="K6">
            <v>5718</v>
          </cell>
          <cell r="L6" t="str">
            <v>Fev</v>
          </cell>
        </row>
        <row r="7">
          <cell r="K7">
            <v>4918</v>
          </cell>
          <cell r="L7" t="str">
            <v>Mar</v>
          </cell>
        </row>
        <row r="8">
          <cell r="K8">
            <v>3446</v>
          </cell>
          <cell r="L8" t="str">
            <v>Abr</v>
          </cell>
        </row>
        <row r="9">
          <cell r="K9">
            <v>611</v>
          </cell>
          <cell r="L9" t="str">
            <v>Mai</v>
          </cell>
        </row>
        <row r="10">
          <cell r="K10">
            <v>3224</v>
          </cell>
          <cell r="L10" t="str">
            <v>Jun</v>
          </cell>
        </row>
        <row r="11">
          <cell r="K11">
            <v>1306</v>
          </cell>
          <cell r="L11" t="str">
            <v>Jul</v>
          </cell>
        </row>
        <row r="12">
          <cell r="K12" t="e">
            <v>#N/A</v>
          </cell>
          <cell r="L12" t="str">
            <v>Ago</v>
          </cell>
        </row>
        <row r="13">
          <cell r="K13">
            <v>6637</v>
          </cell>
          <cell r="L13" t="str">
            <v>Set</v>
          </cell>
        </row>
        <row r="14">
          <cell r="K14" t="e">
            <v>#N/A</v>
          </cell>
          <cell r="L14" t="str">
            <v>Out</v>
          </cell>
        </row>
        <row r="15">
          <cell r="K15" t="e">
            <v>#N/A</v>
          </cell>
          <cell r="L15" t="str">
            <v>Nov</v>
          </cell>
        </row>
        <row r="16">
          <cell r="K16" t="e">
            <v>#N/A</v>
          </cell>
          <cell r="L16" t="str">
            <v>Dez</v>
          </cell>
        </row>
        <row r="21">
          <cell r="C21" t="str">
            <v>À Vista</v>
          </cell>
          <cell r="D21" t="str">
            <v>A Prazo</v>
          </cell>
        </row>
        <row r="22">
          <cell r="C22">
            <v>82959</v>
          </cell>
          <cell r="D22">
            <v>188812</v>
          </cell>
          <cell r="E22">
            <v>271771</v>
          </cell>
        </row>
        <row r="31">
          <cell r="C31" t="str">
            <v>Entradas</v>
          </cell>
          <cell r="D31" t="str">
            <v>Saídas</v>
          </cell>
        </row>
        <row r="32">
          <cell r="C32">
            <v>271771</v>
          </cell>
          <cell r="D32">
            <v>260299</v>
          </cell>
          <cell r="G32">
            <v>1</v>
          </cell>
          <cell r="H32">
            <v>17594</v>
          </cell>
        </row>
        <row r="33">
          <cell r="G33">
            <v>2</v>
          </cell>
          <cell r="H33">
            <v>10118</v>
          </cell>
        </row>
        <row r="34">
          <cell r="G34">
            <v>3</v>
          </cell>
          <cell r="H34">
            <v>13923</v>
          </cell>
        </row>
        <row r="35">
          <cell r="G35">
            <v>4</v>
          </cell>
          <cell r="H35">
            <v>4589</v>
          </cell>
        </row>
        <row r="36">
          <cell r="G36">
            <v>5</v>
          </cell>
          <cell r="H36">
            <v>11951</v>
          </cell>
        </row>
        <row r="37">
          <cell r="G37">
            <v>6</v>
          </cell>
          <cell r="H37">
            <v>9315</v>
          </cell>
        </row>
        <row r="38">
          <cell r="G38">
            <v>7</v>
          </cell>
          <cell r="H38">
            <v>10808</v>
          </cell>
        </row>
        <row r="39">
          <cell r="G39">
            <v>8</v>
          </cell>
          <cell r="H39">
            <v>1054</v>
          </cell>
        </row>
        <row r="40">
          <cell r="G40">
            <v>9</v>
          </cell>
          <cell r="H40">
            <v>10094</v>
          </cell>
        </row>
        <row r="41">
          <cell r="G41">
            <v>10</v>
          </cell>
          <cell r="H41">
            <v>7029</v>
          </cell>
        </row>
        <row r="42">
          <cell r="G42">
            <v>11</v>
          </cell>
          <cell r="H42">
            <v>0</v>
          </cell>
        </row>
        <row r="43">
          <cell r="G43">
            <v>12</v>
          </cell>
          <cell r="H43">
            <v>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785856828705" createdVersion="4" refreshedVersion="4" minRefreshableVersion="3" recordCount="231">
  <cacheSource type="worksheet">
    <worksheetSource name="TbRegistroEntradas"/>
  </cacheSource>
  <cacheFields count="14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Conta Vencida" numFmtId="0">
      <sharedItems count="2">
        <s v="Não Vencida"/>
        <s v="Vencid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78585787036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  <x v="0"/>
  </r>
  <r>
    <s v=""/>
    <d v="2017-09-10T00:00:00"/>
    <d v="2017-10-05T00:00:00"/>
    <x v="0"/>
    <x v="1"/>
    <s v="NF2421"/>
    <n v="4983"/>
    <x v="4"/>
    <n v="0"/>
    <x v="1"/>
    <x v="0"/>
    <x v="2"/>
    <x v="0"/>
    <x v="1"/>
  </r>
  <r>
    <d v="2017-09-19T00:00:00"/>
    <d v="2017-09-12T00:00:00"/>
    <d v="2017-09-19T00:00:00"/>
    <x v="0"/>
    <x v="3"/>
    <s v="NF9787"/>
    <n v="2502"/>
    <x v="0"/>
    <n v="2017"/>
    <x v="1"/>
    <x v="0"/>
    <x v="1"/>
    <x v="0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  <x v="0"/>
  </r>
  <r>
    <s v=""/>
    <d v="2017-10-15T00:00:00"/>
    <d v="2017-11-06T00:00:00"/>
    <x v="0"/>
    <x v="1"/>
    <s v="NF7663"/>
    <n v="3425"/>
    <x v="4"/>
    <n v="0"/>
    <x v="2"/>
    <x v="0"/>
    <x v="3"/>
    <x v="0"/>
    <x v="1"/>
  </r>
  <r>
    <d v="2018-01-13T00:00:00"/>
    <d v="2017-10-18T00:00:00"/>
    <d v="2017-10-18T00:00:00"/>
    <x v="0"/>
    <x v="2"/>
    <s v="NF4063"/>
    <n v="4454"/>
    <x v="5"/>
    <n v="2018"/>
    <x v="2"/>
    <x v="0"/>
    <x v="2"/>
    <x v="0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  <x v="0"/>
  </r>
  <r>
    <s v=""/>
    <d v="2017-11-01T00:00:00"/>
    <d v="2017-11-18T00:00:00"/>
    <x v="0"/>
    <x v="4"/>
    <s v="NF8690"/>
    <n v="1445"/>
    <x v="4"/>
    <n v="0"/>
    <x v="3"/>
    <x v="0"/>
    <x v="3"/>
    <x v="0"/>
    <x v="1"/>
  </r>
  <r>
    <d v="2018-01-17T00:00:00"/>
    <d v="2017-11-04T00:00:00"/>
    <d v="2017-11-29T00:00:00"/>
    <x v="0"/>
    <x v="0"/>
    <s v="NF3424"/>
    <n v="3559"/>
    <x v="5"/>
    <n v="2018"/>
    <x v="3"/>
    <x v="0"/>
    <x v="3"/>
    <x v="0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  <x v="0"/>
  </r>
  <r>
    <d v="2017-11-16T00:00:00"/>
    <d v="2017-11-16T00:00:00"/>
    <d v="2017-11-16T00:00:00"/>
    <x v="0"/>
    <x v="1"/>
    <s v="NF7848"/>
    <n v="3714"/>
    <x v="2"/>
    <n v="2017"/>
    <x v="3"/>
    <x v="0"/>
    <x v="3"/>
    <x v="0"/>
    <x v="0"/>
  </r>
  <r>
    <s v=""/>
    <d v="2017-11-18T00:00:00"/>
    <d v="2018-01-01T00:00:00"/>
    <x v="0"/>
    <x v="3"/>
    <s v="NF4449"/>
    <n v="4843"/>
    <x v="4"/>
    <n v="0"/>
    <x v="3"/>
    <x v="0"/>
    <x v="4"/>
    <x v="1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  <x v="0"/>
  </r>
  <r>
    <d v="2018-01-14T00:00:00"/>
    <d v="2017-11-29T00:00:00"/>
    <d v="2017-11-29T00:00:00"/>
    <x v="0"/>
    <x v="3"/>
    <s v="NF4129"/>
    <n v="1284"/>
    <x v="5"/>
    <n v="2018"/>
    <x v="3"/>
    <x v="0"/>
    <x v="3"/>
    <x v="0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  <x v="0"/>
  </r>
  <r>
    <d v="2017-12-17T00:00:00"/>
    <d v="2017-12-14T00:00:00"/>
    <d v="2017-12-17T00:00:00"/>
    <x v="0"/>
    <x v="1"/>
    <s v="NF2432"/>
    <n v="2046"/>
    <x v="3"/>
    <n v="2017"/>
    <x v="4"/>
    <x v="0"/>
    <x v="5"/>
    <x v="0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  <x v="0"/>
  </r>
  <r>
    <d v="2018-01-23T00:00:00"/>
    <d v="2017-12-17T00:00:00"/>
    <d v="2018-01-23T00:00:00"/>
    <x v="0"/>
    <x v="0"/>
    <s v="NF8944"/>
    <n v="3149"/>
    <x v="5"/>
    <n v="2018"/>
    <x v="4"/>
    <x v="0"/>
    <x v="4"/>
    <x v="1"/>
    <x v="0"/>
  </r>
  <r>
    <d v="2018-01-25T00:00:00"/>
    <d v="2017-12-19T00:00:00"/>
    <d v="2018-01-25T00:00:00"/>
    <x v="0"/>
    <x v="1"/>
    <s v="NF2816"/>
    <n v="668"/>
    <x v="5"/>
    <n v="2018"/>
    <x v="4"/>
    <x v="0"/>
    <x v="4"/>
    <x v="1"/>
    <x v="0"/>
  </r>
  <r>
    <d v="2017-12-20T00:00:00"/>
    <d v="2017-12-20T00:00:00"/>
    <d v="2017-12-20T00:00:00"/>
    <x v="0"/>
    <x v="2"/>
    <s v="NF6358"/>
    <n v="3721"/>
    <x v="3"/>
    <n v="2017"/>
    <x v="4"/>
    <x v="0"/>
    <x v="5"/>
    <x v="0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  <x v="0"/>
  </r>
  <r>
    <d v="2018-03-23T00:00:00"/>
    <d v="2017-12-26T00:00:00"/>
    <d v="2017-12-26T00:00:00"/>
    <x v="0"/>
    <x v="1"/>
    <s v="NF5737"/>
    <n v="1436"/>
    <x v="7"/>
    <n v="2018"/>
    <x v="4"/>
    <x v="0"/>
    <x v="5"/>
    <x v="0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  <x v="0"/>
  </r>
  <r>
    <d v="2018-02-13T00:00:00"/>
    <d v="2017-12-31T00:00:00"/>
    <d v="2018-02-13T00:00:00"/>
    <x v="0"/>
    <x v="2"/>
    <s v="NF2196"/>
    <n v="2687"/>
    <x v="6"/>
    <n v="2018"/>
    <x v="4"/>
    <x v="0"/>
    <x v="6"/>
    <x v="1"/>
    <x v="0"/>
  </r>
  <r>
    <s v=""/>
    <d v="2018-01-03T00:00:00"/>
    <d v="2018-02-28T00:00:00"/>
    <x v="0"/>
    <x v="1"/>
    <s v="NF1631"/>
    <n v="1561"/>
    <x v="4"/>
    <n v="0"/>
    <x v="5"/>
    <x v="1"/>
    <x v="6"/>
    <x v="1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  <x v="0"/>
  </r>
  <r>
    <d v="2018-01-17T00:00:00"/>
    <d v="2018-01-17T00:00:00"/>
    <d v="2018-01-17T00:00:00"/>
    <x v="0"/>
    <x v="1"/>
    <s v="NF6851"/>
    <n v="1364"/>
    <x v="5"/>
    <n v="2018"/>
    <x v="5"/>
    <x v="1"/>
    <x v="4"/>
    <x v="1"/>
    <x v="0"/>
  </r>
  <r>
    <d v="2018-03-07T00:00:00"/>
    <d v="2018-01-21T00:00:00"/>
    <d v="2018-03-07T00:00:00"/>
    <x v="0"/>
    <x v="2"/>
    <s v="NF3336"/>
    <n v="783"/>
    <x v="7"/>
    <n v="2018"/>
    <x v="5"/>
    <x v="1"/>
    <x v="7"/>
    <x v="1"/>
    <x v="0"/>
  </r>
  <r>
    <d v="2018-02-14T00:00:00"/>
    <d v="2018-01-22T00:00:00"/>
    <d v="2018-02-14T00:00:00"/>
    <x v="0"/>
    <x v="2"/>
    <s v="NF7526"/>
    <n v="3928"/>
    <x v="6"/>
    <n v="2018"/>
    <x v="5"/>
    <x v="1"/>
    <x v="6"/>
    <x v="1"/>
    <x v="0"/>
  </r>
  <r>
    <d v="2018-02-11T00:00:00"/>
    <d v="2018-01-24T00:00:00"/>
    <d v="2018-02-11T00:00:00"/>
    <x v="0"/>
    <x v="0"/>
    <s v="NF3023"/>
    <n v="3843"/>
    <x v="6"/>
    <n v="2018"/>
    <x v="5"/>
    <x v="1"/>
    <x v="6"/>
    <x v="1"/>
    <x v="0"/>
  </r>
  <r>
    <d v="2018-04-16T00:00:00"/>
    <d v="2018-01-25T00:00:00"/>
    <d v="2018-01-29T00:00:00"/>
    <x v="0"/>
    <x v="3"/>
    <s v="NF7934"/>
    <n v="1864"/>
    <x v="8"/>
    <n v="2018"/>
    <x v="5"/>
    <x v="1"/>
    <x v="4"/>
    <x v="1"/>
    <x v="0"/>
  </r>
  <r>
    <d v="2018-02-06T00:00:00"/>
    <d v="2018-01-28T00:00:00"/>
    <d v="2018-01-28T00:00:00"/>
    <x v="0"/>
    <x v="1"/>
    <s v="NF7720"/>
    <n v="1184"/>
    <x v="6"/>
    <n v="2018"/>
    <x v="5"/>
    <x v="1"/>
    <x v="4"/>
    <x v="1"/>
    <x v="0"/>
  </r>
  <r>
    <d v="2018-03-02T00:00:00"/>
    <d v="2018-01-29T00:00:00"/>
    <d v="2018-03-02T00:00:00"/>
    <x v="0"/>
    <x v="1"/>
    <s v="NF2719"/>
    <n v="4055"/>
    <x v="7"/>
    <n v="2018"/>
    <x v="5"/>
    <x v="1"/>
    <x v="7"/>
    <x v="1"/>
    <x v="0"/>
  </r>
  <r>
    <d v="2018-03-19T00:00:00"/>
    <d v="2018-01-30T00:00:00"/>
    <d v="2018-03-19T00:00:00"/>
    <x v="0"/>
    <x v="1"/>
    <s v="NF3036"/>
    <n v="427"/>
    <x v="7"/>
    <n v="2018"/>
    <x v="5"/>
    <x v="1"/>
    <x v="7"/>
    <x v="1"/>
    <x v="0"/>
  </r>
  <r>
    <d v="2018-02-07T00:00:00"/>
    <d v="2018-02-02T00:00:00"/>
    <d v="2018-02-07T00:00:00"/>
    <x v="0"/>
    <x v="4"/>
    <s v="NF4604"/>
    <n v="460"/>
    <x v="6"/>
    <n v="2018"/>
    <x v="6"/>
    <x v="1"/>
    <x v="6"/>
    <x v="1"/>
    <x v="0"/>
  </r>
  <r>
    <s v=""/>
    <d v="2018-02-05T00:00:00"/>
    <d v="2018-03-31T00:00:00"/>
    <x v="0"/>
    <x v="2"/>
    <s v="NF2493"/>
    <n v="964"/>
    <x v="4"/>
    <n v="0"/>
    <x v="6"/>
    <x v="1"/>
    <x v="7"/>
    <x v="1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  <x v="0"/>
  </r>
  <r>
    <d v="2018-02-15T00:00:00"/>
    <d v="2018-02-11T00:00:00"/>
    <d v="2018-02-15T00:00:00"/>
    <x v="0"/>
    <x v="0"/>
    <s v="NF9580"/>
    <n v="3095"/>
    <x v="6"/>
    <n v="2018"/>
    <x v="6"/>
    <x v="1"/>
    <x v="6"/>
    <x v="1"/>
    <x v="0"/>
  </r>
  <r>
    <d v="2018-04-03T00:00:00"/>
    <d v="2018-02-17T00:00:00"/>
    <d v="2018-04-03T00:00:00"/>
    <x v="0"/>
    <x v="4"/>
    <s v="NF4061"/>
    <n v="1532"/>
    <x v="8"/>
    <n v="2018"/>
    <x v="6"/>
    <x v="1"/>
    <x v="8"/>
    <x v="1"/>
    <x v="0"/>
  </r>
  <r>
    <d v="2018-04-03T00:00:00"/>
    <d v="2018-02-20T00:00:00"/>
    <d v="2018-04-03T00:00:00"/>
    <x v="0"/>
    <x v="4"/>
    <s v="NF6503"/>
    <n v="3726"/>
    <x v="8"/>
    <n v="2018"/>
    <x v="6"/>
    <x v="1"/>
    <x v="8"/>
    <x v="1"/>
    <x v="0"/>
  </r>
  <r>
    <d v="2018-02-23T00:00:00"/>
    <d v="2018-02-23T00:00:00"/>
    <d v="2018-02-23T00:00:00"/>
    <x v="0"/>
    <x v="1"/>
    <s v="NF6701"/>
    <n v="4322"/>
    <x v="6"/>
    <n v="2018"/>
    <x v="6"/>
    <x v="1"/>
    <x v="6"/>
    <x v="1"/>
    <x v="0"/>
  </r>
  <r>
    <s v=""/>
    <d v="2018-02-25T00:00:00"/>
    <d v="2018-04-15T00:00:00"/>
    <x v="0"/>
    <x v="0"/>
    <s v="NF8891"/>
    <n v="3998"/>
    <x v="4"/>
    <n v="0"/>
    <x v="6"/>
    <x v="1"/>
    <x v="8"/>
    <x v="1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  <x v="0"/>
  </r>
  <r>
    <d v="2018-03-10T00:00:00"/>
    <d v="2018-03-01T00:00:00"/>
    <d v="2018-03-10T00:00:00"/>
    <x v="0"/>
    <x v="4"/>
    <s v="NF8852"/>
    <n v="3701"/>
    <x v="7"/>
    <n v="2018"/>
    <x v="7"/>
    <x v="1"/>
    <x v="7"/>
    <x v="1"/>
    <x v="0"/>
  </r>
  <r>
    <s v=""/>
    <d v="2018-03-03T00:00:00"/>
    <d v="2018-04-12T00:00:00"/>
    <x v="0"/>
    <x v="2"/>
    <s v="NF7869"/>
    <n v="1977"/>
    <x v="4"/>
    <n v="0"/>
    <x v="7"/>
    <x v="1"/>
    <x v="8"/>
    <x v="1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  <x v="0"/>
  </r>
  <r>
    <d v="2018-04-13T00:00:00"/>
    <d v="2018-03-07T00:00:00"/>
    <d v="2018-04-13T00:00:00"/>
    <x v="0"/>
    <x v="3"/>
    <s v="NF5720"/>
    <n v="1660"/>
    <x v="8"/>
    <n v="2018"/>
    <x v="7"/>
    <x v="1"/>
    <x v="8"/>
    <x v="1"/>
    <x v="0"/>
  </r>
  <r>
    <d v="2018-03-10T00:00:00"/>
    <d v="2018-03-10T00:00:00"/>
    <d v="2018-03-10T00:00:00"/>
    <x v="0"/>
    <x v="3"/>
    <s v="NF6393"/>
    <n v="837"/>
    <x v="7"/>
    <n v="2018"/>
    <x v="7"/>
    <x v="1"/>
    <x v="7"/>
    <x v="1"/>
    <x v="0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  <x v="0"/>
  </r>
  <r>
    <d v="2018-03-17T00:00:00"/>
    <d v="2018-03-17T00:00:00"/>
    <d v="2018-03-17T00:00:00"/>
    <x v="0"/>
    <x v="2"/>
    <s v="NF7365"/>
    <n v="4471"/>
    <x v="7"/>
    <n v="2018"/>
    <x v="7"/>
    <x v="1"/>
    <x v="7"/>
    <x v="1"/>
    <x v="0"/>
  </r>
  <r>
    <d v="2018-03-18T00:00:00"/>
    <d v="2018-03-18T00:00:00"/>
    <d v="2018-03-18T00:00:00"/>
    <x v="0"/>
    <x v="1"/>
    <s v="NF4559"/>
    <n v="3540"/>
    <x v="7"/>
    <n v="2018"/>
    <x v="7"/>
    <x v="1"/>
    <x v="7"/>
    <x v="1"/>
    <x v="0"/>
  </r>
  <r>
    <d v="2018-05-05T00:00:00"/>
    <d v="2018-03-21T00:00:00"/>
    <d v="2018-03-21T00:00:00"/>
    <x v="0"/>
    <x v="1"/>
    <s v="NF7119"/>
    <n v="4606"/>
    <x v="9"/>
    <n v="2018"/>
    <x v="7"/>
    <x v="1"/>
    <x v="7"/>
    <x v="1"/>
    <x v="0"/>
  </r>
  <r>
    <d v="2018-04-09T00:00:00"/>
    <d v="2018-03-23T00:00:00"/>
    <d v="2018-04-09T00:00:00"/>
    <x v="0"/>
    <x v="0"/>
    <s v="NF2814"/>
    <n v="2388"/>
    <x v="8"/>
    <n v="2018"/>
    <x v="7"/>
    <x v="1"/>
    <x v="8"/>
    <x v="1"/>
    <x v="0"/>
  </r>
  <r>
    <d v="2018-03-28T00:00:00"/>
    <d v="2018-03-25T00:00:00"/>
    <d v="2018-03-28T00:00:00"/>
    <x v="0"/>
    <x v="3"/>
    <s v="NF5963"/>
    <n v="2303"/>
    <x v="7"/>
    <n v="2018"/>
    <x v="7"/>
    <x v="1"/>
    <x v="7"/>
    <x v="1"/>
    <x v="0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  <x v="0"/>
  </r>
  <r>
    <d v="2018-04-24T00:00:00"/>
    <d v="2018-03-30T00:00:00"/>
    <d v="2018-03-30T00:00:00"/>
    <x v="0"/>
    <x v="0"/>
    <s v="NF8254"/>
    <n v="3241"/>
    <x v="8"/>
    <n v="2018"/>
    <x v="7"/>
    <x v="1"/>
    <x v="7"/>
    <x v="1"/>
    <x v="0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  <x v="0"/>
  </r>
  <r>
    <d v="2018-04-03T00:00:00"/>
    <d v="2018-04-03T00:00:00"/>
    <d v="2018-04-03T00:00:00"/>
    <x v="0"/>
    <x v="1"/>
    <s v="NF2605"/>
    <n v="3586"/>
    <x v="8"/>
    <n v="2018"/>
    <x v="8"/>
    <x v="1"/>
    <x v="8"/>
    <x v="1"/>
    <x v="0"/>
  </r>
  <r>
    <d v="2018-04-06T00:00:00"/>
    <d v="2018-04-06T00:00:00"/>
    <d v="2018-04-06T00:00:00"/>
    <x v="0"/>
    <x v="0"/>
    <s v="NF8043"/>
    <n v="4467"/>
    <x v="8"/>
    <n v="2018"/>
    <x v="8"/>
    <x v="1"/>
    <x v="8"/>
    <x v="1"/>
    <x v="0"/>
  </r>
  <r>
    <d v="2018-05-31T00:00:00"/>
    <d v="2018-04-09T00:00:00"/>
    <d v="2018-05-31T00:00:00"/>
    <x v="0"/>
    <x v="1"/>
    <s v="NF6697"/>
    <n v="4262"/>
    <x v="9"/>
    <n v="2018"/>
    <x v="8"/>
    <x v="1"/>
    <x v="9"/>
    <x v="1"/>
    <x v="0"/>
  </r>
  <r>
    <s v=""/>
    <d v="2018-04-11T00:00:00"/>
    <d v="2018-06-09T00:00:00"/>
    <x v="0"/>
    <x v="1"/>
    <s v="NF5208"/>
    <n v="2593"/>
    <x v="4"/>
    <n v="0"/>
    <x v="8"/>
    <x v="1"/>
    <x v="10"/>
    <x v="1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  <x v="0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  <x v="0"/>
  </r>
  <r>
    <d v="2018-05-14T00:00:00"/>
    <d v="2018-04-23T00:00:00"/>
    <d v="2018-05-14T00:00:00"/>
    <x v="0"/>
    <x v="1"/>
    <s v="NF3247"/>
    <n v="3223"/>
    <x v="9"/>
    <n v="2018"/>
    <x v="8"/>
    <x v="1"/>
    <x v="9"/>
    <x v="1"/>
    <x v="0"/>
  </r>
  <r>
    <d v="2018-04-26T00:00:00"/>
    <d v="2018-04-26T00:00:00"/>
    <d v="2018-04-26T00:00:00"/>
    <x v="0"/>
    <x v="4"/>
    <s v="NF4377"/>
    <n v="3446"/>
    <x v="8"/>
    <n v="2018"/>
    <x v="8"/>
    <x v="1"/>
    <x v="8"/>
    <x v="1"/>
    <x v="0"/>
  </r>
  <r>
    <d v="2018-05-06T00:00:00"/>
    <d v="2018-04-30T00:00:00"/>
    <d v="2018-04-30T00:00:00"/>
    <x v="0"/>
    <x v="1"/>
    <s v="NF2988"/>
    <n v="4540"/>
    <x v="9"/>
    <n v="2018"/>
    <x v="8"/>
    <x v="1"/>
    <x v="8"/>
    <x v="1"/>
    <x v="0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  <x v="0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  <x v="0"/>
  </r>
  <r>
    <d v="2018-05-13T00:00:00"/>
    <d v="2018-05-13T00:00:00"/>
    <d v="2018-05-13T00:00:00"/>
    <x v="0"/>
    <x v="3"/>
    <s v="NF6700"/>
    <n v="1486"/>
    <x v="9"/>
    <n v="2018"/>
    <x v="9"/>
    <x v="1"/>
    <x v="9"/>
    <x v="1"/>
    <x v="0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  <x v="0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  <x v="0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  <x v="0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  <x v="0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  <x v="0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  <x v="0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  <x v="0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  <x v="0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  <x v="0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  <x v="0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  <x v="0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  <x v="0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  <x v="0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  <x v="0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  <x v="0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  <x v="0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  <x v="0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  <x v="0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  <x v="0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  <x v="0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  <x v="0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  <x v="0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  <x v="0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  <x v="0"/>
  </r>
  <r>
    <s v=""/>
    <d v="2018-07-18T00:00:00"/>
    <d v="2018-09-03T00:00:00"/>
    <x v="0"/>
    <x v="1"/>
    <s v="NF3604"/>
    <n v="2071"/>
    <x v="4"/>
    <n v="0"/>
    <x v="11"/>
    <x v="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  <x v="0"/>
  </r>
  <r>
    <s v=""/>
    <d v="2018-07-29T00:00:00"/>
    <d v="2018-07-29T00:00:00"/>
    <x v="0"/>
    <x v="1"/>
    <s v="NF2800"/>
    <n v="1369"/>
    <x v="4"/>
    <n v="0"/>
    <x v="11"/>
    <x v="1"/>
    <x v="11"/>
    <x v="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  <x v="0"/>
  </r>
  <r>
    <d v="2018-09-25T00:00:00"/>
    <d v="2018-08-06T00:00:00"/>
    <d v="2018-08-06T00:00:00"/>
    <x v="0"/>
    <x v="1"/>
    <s v="NF5280"/>
    <n v="3031"/>
    <x v="0"/>
    <n v="2018"/>
    <x v="0"/>
    <x v="1"/>
    <x v="0"/>
    <x v="1"/>
    <x v="0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  <x v="0"/>
  </r>
  <r>
    <d v="2018-08-11T00:00:00"/>
    <d v="2018-08-11T00:00:00"/>
    <d v="2018-08-11T00:00:00"/>
    <x v="0"/>
    <x v="0"/>
    <s v="NF4862"/>
    <n v="405"/>
    <x v="12"/>
    <n v="2018"/>
    <x v="0"/>
    <x v="1"/>
    <x v="0"/>
    <x v="1"/>
    <x v="0"/>
  </r>
  <r>
    <d v="2018-09-17T00:00:00"/>
    <d v="2018-08-14T00:00:00"/>
    <d v="2018-09-17T00:00:00"/>
    <x v="0"/>
    <x v="3"/>
    <s v="NF2988"/>
    <n v="3080"/>
    <x v="0"/>
    <n v="2018"/>
    <x v="0"/>
    <x v="1"/>
    <x v="1"/>
    <x v="1"/>
    <x v="0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  <x v="0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  <x v="0"/>
  </r>
  <r>
    <d v="2019-01-10T00:00:00"/>
    <d v="2018-08-26T00:00:00"/>
    <d v="2018-10-22T00:00:00"/>
    <x v="0"/>
    <x v="2"/>
    <s v="NF3171"/>
    <n v="4857"/>
    <x v="5"/>
    <n v="2019"/>
    <x v="0"/>
    <x v="1"/>
    <x v="2"/>
    <x v="1"/>
    <x v="0"/>
  </r>
  <r>
    <d v="2018-10-20T00:00:00"/>
    <d v="2018-08-30T00:00:00"/>
    <d v="2018-10-20T00:00:00"/>
    <x v="0"/>
    <x v="1"/>
    <s v="NF9089"/>
    <n v="507"/>
    <x v="1"/>
    <n v="2018"/>
    <x v="0"/>
    <x v="1"/>
    <x v="2"/>
    <x v="1"/>
    <x v="0"/>
  </r>
  <r>
    <d v="2018-11-01T00:00:00"/>
    <d v="2018-08-31T00:00:00"/>
    <d v="2018-09-11T00:00:00"/>
    <x v="0"/>
    <x v="0"/>
    <s v="NF9607"/>
    <n v="2467"/>
    <x v="2"/>
    <n v="2018"/>
    <x v="0"/>
    <x v="1"/>
    <x v="1"/>
    <x v="1"/>
    <x v="0"/>
  </r>
  <r>
    <d v="2018-09-27T00:00:00"/>
    <d v="2018-09-01T00:00:00"/>
    <d v="2018-09-27T00:00:00"/>
    <x v="0"/>
    <x v="1"/>
    <s v="NF6643"/>
    <n v="4253"/>
    <x v="0"/>
    <n v="2018"/>
    <x v="1"/>
    <x v="1"/>
    <x v="1"/>
    <x v="1"/>
    <x v="0"/>
  </r>
  <r>
    <d v="2018-09-07T00:00:00"/>
    <d v="2018-09-07T00:00:00"/>
    <d v="2018-09-07T00:00:00"/>
    <x v="0"/>
    <x v="2"/>
    <s v="NF3939"/>
    <n v="2391"/>
    <x v="0"/>
    <n v="2018"/>
    <x v="1"/>
    <x v="1"/>
    <x v="1"/>
    <x v="1"/>
    <x v="0"/>
  </r>
  <r>
    <d v="2018-09-22T00:00:00"/>
    <d v="2018-09-09T00:00:00"/>
    <d v="2018-09-22T00:00:00"/>
    <x v="0"/>
    <x v="1"/>
    <s v="NF3599"/>
    <n v="3669"/>
    <x v="0"/>
    <n v="2018"/>
    <x v="1"/>
    <x v="1"/>
    <x v="1"/>
    <x v="1"/>
    <x v="0"/>
  </r>
  <r>
    <d v="2018-10-10T00:00:00"/>
    <d v="2018-09-12T00:00:00"/>
    <d v="2018-10-10T00:00:00"/>
    <x v="0"/>
    <x v="1"/>
    <s v="NF9914"/>
    <n v="1207"/>
    <x v="1"/>
    <n v="2018"/>
    <x v="1"/>
    <x v="1"/>
    <x v="2"/>
    <x v="1"/>
    <x v="0"/>
  </r>
  <r>
    <d v="2018-11-08T00:00:00"/>
    <d v="2018-09-18T00:00:00"/>
    <d v="2018-11-08T00:00:00"/>
    <x v="0"/>
    <x v="0"/>
    <s v="NF5492"/>
    <n v="2539"/>
    <x v="2"/>
    <n v="2018"/>
    <x v="1"/>
    <x v="1"/>
    <x v="3"/>
    <x v="1"/>
    <x v="0"/>
  </r>
  <r>
    <d v="2018-10-01T00:00:00"/>
    <d v="2018-09-20T00:00:00"/>
    <d v="2018-10-01T00:00:00"/>
    <x v="0"/>
    <x v="4"/>
    <s v="NF7516"/>
    <n v="2895"/>
    <x v="1"/>
    <n v="2018"/>
    <x v="1"/>
    <x v="1"/>
    <x v="2"/>
    <x v="1"/>
    <x v="0"/>
  </r>
  <r>
    <d v="2018-11-18T00:00:00"/>
    <d v="2018-09-21T00:00:00"/>
    <d v="2018-09-21T00:00:00"/>
    <x v="0"/>
    <x v="1"/>
    <s v="NF8652"/>
    <n v="2106"/>
    <x v="2"/>
    <n v="2018"/>
    <x v="1"/>
    <x v="1"/>
    <x v="1"/>
    <x v="1"/>
    <x v="0"/>
  </r>
  <r>
    <d v="2018-11-01T00:00:00"/>
    <d v="2018-09-23T00:00:00"/>
    <d v="2018-11-01T00:00:00"/>
    <x v="0"/>
    <x v="4"/>
    <s v="NF4809"/>
    <n v="3742"/>
    <x v="2"/>
    <n v="2018"/>
    <x v="1"/>
    <x v="1"/>
    <x v="3"/>
    <x v="1"/>
    <x v="0"/>
  </r>
  <r>
    <d v="2018-09-26T00:00:00"/>
    <d v="2018-09-26T00:00:00"/>
    <d v="2018-09-26T00:00:00"/>
    <x v="0"/>
    <x v="0"/>
    <s v="NF5491"/>
    <n v="3222"/>
    <x v="0"/>
    <n v="2018"/>
    <x v="1"/>
    <x v="1"/>
    <x v="1"/>
    <x v="1"/>
    <x v="0"/>
  </r>
  <r>
    <d v="2018-10-19T00:00:00"/>
    <d v="2018-10-01T00:00:00"/>
    <d v="2018-10-19T00:00:00"/>
    <x v="0"/>
    <x v="1"/>
    <s v="NF7862"/>
    <n v="673"/>
    <x v="1"/>
    <n v="2018"/>
    <x v="2"/>
    <x v="1"/>
    <x v="2"/>
    <x v="1"/>
    <x v="0"/>
  </r>
  <r>
    <d v="2018-10-26T00:00:00"/>
    <d v="2018-10-05T00:00:00"/>
    <d v="2018-10-26T00:00:00"/>
    <x v="0"/>
    <x v="3"/>
    <s v="NF3137"/>
    <n v="4922"/>
    <x v="1"/>
    <n v="2018"/>
    <x v="2"/>
    <x v="1"/>
    <x v="2"/>
    <x v="1"/>
    <x v="0"/>
  </r>
  <r>
    <d v="2018-11-28T00:00:00"/>
    <d v="2018-10-09T00:00:00"/>
    <d v="2018-11-28T00:00:00"/>
    <x v="0"/>
    <x v="2"/>
    <s v="NF2705"/>
    <n v="1688"/>
    <x v="2"/>
    <n v="2018"/>
    <x v="2"/>
    <x v="1"/>
    <x v="3"/>
    <x v="1"/>
    <x v="0"/>
  </r>
  <r>
    <d v="2018-10-09T00:00:00"/>
    <d v="2018-10-09T00:00:00"/>
    <d v="2018-10-09T00:00:00"/>
    <x v="0"/>
    <x v="2"/>
    <s v="NF9537"/>
    <n v="979"/>
    <x v="1"/>
    <n v="2018"/>
    <x v="2"/>
    <x v="1"/>
    <x v="2"/>
    <x v="1"/>
    <x v="0"/>
  </r>
  <r>
    <d v="2018-10-27T00:00:00"/>
    <d v="2018-10-14T00:00:00"/>
    <d v="2018-10-27T00:00:00"/>
    <x v="0"/>
    <x v="1"/>
    <s v="NF1700"/>
    <n v="3744"/>
    <x v="1"/>
    <n v="2018"/>
    <x v="2"/>
    <x v="1"/>
    <x v="2"/>
    <x v="1"/>
    <x v="0"/>
  </r>
  <r>
    <s v=""/>
    <d v="2018-10-16T00:00:00"/>
    <d v="2018-12-04T00:00:00"/>
    <x v="0"/>
    <x v="2"/>
    <s v="NF9052"/>
    <n v="4061"/>
    <x v="4"/>
    <n v="0"/>
    <x v="2"/>
    <x v="1"/>
    <x v="5"/>
    <x v="1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  <x v="0"/>
  </r>
  <r>
    <d v="2018-11-20T00:00:00"/>
    <d v="2018-10-25T00:00:00"/>
    <d v="2018-11-15T00:00:00"/>
    <x v="0"/>
    <x v="1"/>
    <s v="NF4056"/>
    <n v="2429"/>
    <x v="2"/>
    <n v="2018"/>
    <x v="2"/>
    <x v="1"/>
    <x v="3"/>
    <x v="1"/>
    <x v="0"/>
  </r>
  <r>
    <d v="2018-10-25T00:00:00"/>
    <d v="2018-10-25T00:00:00"/>
    <d v="2018-10-25T00:00:00"/>
    <x v="0"/>
    <x v="0"/>
    <s v="NF4381"/>
    <n v="2713"/>
    <x v="1"/>
    <n v="2018"/>
    <x v="2"/>
    <x v="1"/>
    <x v="2"/>
    <x v="1"/>
    <x v="0"/>
  </r>
  <r>
    <s v=""/>
    <d v="2018-10-30T00:00:00"/>
    <d v="2018-10-30T00:00:00"/>
    <x v="0"/>
    <x v="1"/>
    <s v="NF5374"/>
    <n v="3787"/>
    <x v="4"/>
    <n v="0"/>
    <x v="2"/>
    <x v="1"/>
    <x v="2"/>
    <x v="1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  <x v="0"/>
  </r>
  <r>
    <d v="2018-11-27T00:00:00"/>
    <d v="2018-11-08T00:00:00"/>
    <d v="2018-11-27T00:00:00"/>
    <x v="0"/>
    <x v="1"/>
    <s v="NF9770"/>
    <n v="4135"/>
    <x v="2"/>
    <n v="2018"/>
    <x v="3"/>
    <x v="1"/>
    <x v="3"/>
    <x v="1"/>
    <x v="0"/>
  </r>
  <r>
    <d v="2018-11-17T00:00:00"/>
    <d v="2018-11-11T00:00:00"/>
    <d v="2018-11-17T00:00:00"/>
    <x v="0"/>
    <x v="1"/>
    <s v="NF3186"/>
    <n v="3902"/>
    <x v="2"/>
    <n v="2018"/>
    <x v="3"/>
    <x v="1"/>
    <x v="3"/>
    <x v="1"/>
    <x v="0"/>
  </r>
  <r>
    <d v="2018-11-14T00:00:00"/>
    <d v="2018-11-14T00:00:00"/>
    <d v="2018-11-14T00:00:00"/>
    <x v="0"/>
    <x v="1"/>
    <s v="NF7423"/>
    <n v="4319"/>
    <x v="2"/>
    <n v="2018"/>
    <x v="3"/>
    <x v="1"/>
    <x v="3"/>
    <x v="1"/>
    <x v="0"/>
  </r>
  <r>
    <d v="2019-03-13T00:00:00"/>
    <d v="2018-11-17T00:00:00"/>
    <d v="2018-12-30T00:00:00"/>
    <x v="0"/>
    <x v="0"/>
    <s v="NF3114"/>
    <n v="3068"/>
    <x v="7"/>
    <n v="2019"/>
    <x v="3"/>
    <x v="1"/>
    <x v="5"/>
    <x v="1"/>
    <x v="0"/>
  </r>
  <r>
    <d v="2018-11-21T00:00:00"/>
    <d v="2018-11-21T00:00:00"/>
    <d v="2018-11-21T00:00:00"/>
    <x v="0"/>
    <x v="1"/>
    <s v="NF1359"/>
    <n v="1880"/>
    <x v="2"/>
    <n v="2018"/>
    <x v="3"/>
    <x v="1"/>
    <x v="3"/>
    <x v="1"/>
    <x v="0"/>
  </r>
  <r>
    <d v="2018-12-31T00:00:00"/>
    <d v="2018-11-23T00:00:00"/>
    <d v="2018-12-31T00:00:00"/>
    <x v="0"/>
    <x v="1"/>
    <s v="NF5107"/>
    <n v="1414"/>
    <x v="3"/>
    <n v="2018"/>
    <x v="3"/>
    <x v="1"/>
    <x v="5"/>
    <x v="1"/>
    <x v="0"/>
  </r>
  <r>
    <d v="2018-12-23T00:00:00"/>
    <d v="2018-11-26T00:00:00"/>
    <d v="2018-12-13T00:00:00"/>
    <x v="0"/>
    <x v="3"/>
    <s v="NF4367"/>
    <n v="919"/>
    <x v="3"/>
    <n v="2018"/>
    <x v="3"/>
    <x v="1"/>
    <x v="5"/>
    <x v="1"/>
    <x v="0"/>
  </r>
  <r>
    <d v="2018-11-27T00:00:00"/>
    <d v="2018-11-27T00:00:00"/>
    <d v="2018-11-27T00:00:00"/>
    <x v="0"/>
    <x v="1"/>
    <s v="NF8386"/>
    <n v="4801"/>
    <x v="2"/>
    <n v="2018"/>
    <x v="3"/>
    <x v="1"/>
    <x v="3"/>
    <x v="1"/>
    <x v="0"/>
  </r>
  <r>
    <d v="2018-11-30T00:00:00"/>
    <d v="2018-11-30T00:00:00"/>
    <d v="2018-11-30T00:00:00"/>
    <x v="0"/>
    <x v="2"/>
    <s v="NF5922"/>
    <n v="4639"/>
    <x v="2"/>
    <n v="2018"/>
    <x v="3"/>
    <x v="1"/>
    <x v="3"/>
    <x v="1"/>
    <x v="0"/>
  </r>
  <r>
    <s v=""/>
    <d v="2018-12-06T00:00:00"/>
    <d v="2019-01-22T00:00:00"/>
    <x v="0"/>
    <x v="1"/>
    <s v="NF9970"/>
    <n v="1209"/>
    <x v="4"/>
    <n v="0"/>
    <x v="4"/>
    <x v="1"/>
    <x v="4"/>
    <x v="2"/>
    <x v="1"/>
  </r>
  <r>
    <d v="2019-04-05T00:00:00"/>
    <d v="2018-12-10T00:00:00"/>
    <d v="2019-01-12T00:00:00"/>
    <x v="0"/>
    <x v="2"/>
    <s v="NF1938"/>
    <n v="483"/>
    <x v="8"/>
    <n v="2019"/>
    <x v="4"/>
    <x v="1"/>
    <x v="4"/>
    <x v="2"/>
    <x v="0"/>
  </r>
  <r>
    <d v="2019-02-07T00:00:00"/>
    <d v="2018-12-17T00:00:00"/>
    <d v="2019-01-04T00:00:00"/>
    <x v="0"/>
    <x v="1"/>
    <s v="NF7772"/>
    <n v="373"/>
    <x v="6"/>
    <n v="2019"/>
    <x v="4"/>
    <x v="1"/>
    <x v="4"/>
    <x v="2"/>
    <x v="0"/>
  </r>
  <r>
    <d v="2018-12-25T00:00:00"/>
    <d v="2018-12-20T00:00:00"/>
    <d v="2018-12-25T00:00:00"/>
    <x v="0"/>
    <x v="0"/>
    <s v="NF9932"/>
    <n v="2088"/>
    <x v="3"/>
    <n v="2018"/>
    <x v="4"/>
    <x v="1"/>
    <x v="5"/>
    <x v="1"/>
    <x v="0"/>
  </r>
  <r>
    <d v="2019-02-01T00:00:00"/>
    <d v="2018-12-21T00:00:00"/>
    <d v="2019-02-01T00:00:00"/>
    <x v="0"/>
    <x v="2"/>
    <s v="NF2970"/>
    <n v="1168"/>
    <x v="6"/>
    <n v="2019"/>
    <x v="4"/>
    <x v="1"/>
    <x v="6"/>
    <x v="2"/>
    <x v="0"/>
  </r>
  <r>
    <d v="2018-12-23T00:00:00"/>
    <d v="2018-12-23T00:00:00"/>
    <d v="2018-12-23T00:00:00"/>
    <x v="0"/>
    <x v="2"/>
    <s v="NF4423"/>
    <n v="4429"/>
    <x v="3"/>
    <n v="2018"/>
    <x v="4"/>
    <x v="1"/>
    <x v="5"/>
    <x v="1"/>
    <x v="0"/>
  </r>
  <r>
    <d v="2019-02-23T00:00:00"/>
    <d v="2018-12-28T00:00:00"/>
    <d v="2019-02-23T00:00:00"/>
    <x v="0"/>
    <x v="1"/>
    <s v="NF9682"/>
    <n v="4955"/>
    <x v="6"/>
    <n v="2019"/>
    <x v="4"/>
    <x v="1"/>
    <x v="6"/>
    <x v="2"/>
    <x v="0"/>
  </r>
  <r>
    <d v="2019-01-18T00:00:00"/>
    <d v="2018-12-31T00:00:00"/>
    <d v="2019-01-18T00:00:00"/>
    <x v="0"/>
    <x v="1"/>
    <s v="NF7840"/>
    <n v="3201"/>
    <x v="5"/>
    <n v="2019"/>
    <x v="4"/>
    <x v="1"/>
    <x v="4"/>
    <x v="2"/>
    <x v="0"/>
  </r>
  <r>
    <d v="2019-02-15T00:00:00"/>
    <d v="2019-01-04T00:00:00"/>
    <d v="2019-02-15T00:00:00"/>
    <x v="0"/>
    <x v="4"/>
    <s v="NF4946"/>
    <n v="3007"/>
    <x v="6"/>
    <n v="2019"/>
    <x v="5"/>
    <x v="2"/>
    <x v="6"/>
    <x v="2"/>
    <x v="0"/>
  </r>
  <r>
    <d v="2019-01-08T00:00:00"/>
    <d v="2019-01-08T00:00:00"/>
    <d v="2019-01-08T00:00:00"/>
    <x v="0"/>
    <x v="2"/>
    <s v="NF6806"/>
    <n v="900"/>
    <x v="5"/>
    <n v="2019"/>
    <x v="5"/>
    <x v="2"/>
    <x v="4"/>
    <x v="2"/>
    <x v="0"/>
  </r>
  <r>
    <d v="2019-01-13T00:00:00"/>
    <d v="2019-01-13T00:00:00"/>
    <d v="2019-01-13T00:00:00"/>
    <x v="0"/>
    <x v="1"/>
    <s v="NF3882"/>
    <n v="2970"/>
    <x v="5"/>
    <n v="2019"/>
    <x v="5"/>
    <x v="2"/>
    <x v="4"/>
    <x v="2"/>
    <x v="0"/>
  </r>
  <r>
    <d v="2019-03-14T00:00:00"/>
    <d v="2019-01-17T00:00:00"/>
    <d v="2019-03-14T00:00:00"/>
    <x v="0"/>
    <x v="3"/>
    <s v="NF1850"/>
    <n v="4993"/>
    <x v="7"/>
    <n v="2019"/>
    <x v="5"/>
    <x v="2"/>
    <x v="7"/>
    <x v="2"/>
    <x v="0"/>
  </r>
  <r>
    <d v="2019-01-20T00:00:00"/>
    <d v="2019-01-20T00:00:00"/>
    <d v="2019-01-20T00:00:00"/>
    <x v="0"/>
    <x v="2"/>
    <s v="NF7979"/>
    <n v="1664"/>
    <x v="5"/>
    <n v="2019"/>
    <x v="5"/>
    <x v="2"/>
    <x v="4"/>
    <x v="2"/>
    <x v="0"/>
  </r>
  <r>
    <s v=""/>
    <d v="2019-01-21T00:00:00"/>
    <d v="2019-02-26T00:00:00"/>
    <x v="0"/>
    <x v="1"/>
    <s v="NF1547"/>
    <n v="1815"/>
    <x v="4"/>
    <n v="0"/>
    <x v="5"/>
    <x v="2"/>
    <x v="6"/>
    <x v="2"/>
    <x v="1"/>
  </r>
  <r>
    <d v="2019-02-09T00:00:00"/>
    <d v="2019-01-23T00:00:00"/>
    <d v="2019-02-09T00:00:00"/>
    <x v="0"/>
    <x v="4"/>
    <s v="NF2309"/>
    <n v="3752"/>
    <x v="6"/>
    <n v="2019"/>
    <x v="5"/>
    <x v="2"/>
    <x v="6"/>
    <x v="2"/>
    <x v="0"/>
  </r>
  <r>
    <s v=""/>
    <d v="2019-01-27T00:00:00"/>
    <d v="2019-02-17T00:00:00"/>
    <x v="0"/>
    <x v="1"/>
    <s v="NF5791"/>
    <n v="177"/>
    <x v="4"/>
    <n v="0"/>
    <x v="5"/>
    <x v="2"/>
    <x v="6"/>
    <x v="2"/>
    <x v="1"/>
  </r>
  <r>
    <d v="2019-01-29T00:00:00"/>
    <d v="2019-01-29T00:00:00"/>
    <d v="2019-01-29T00:00:00"/>
    <x v="0"/>
    <x v="1"/>
    <s v="NF2982"/>
    <n v="3619"/>
    <x v="5"/>
    <n v="2019"/>
    <x v="5"/>
    <x v="2"/>
    <x v="4"/>
    <x v="2"/>
    <x v="0"/>
  </r>
  <r>
    <d v="2019-03-11T00:00:00"/>
    <d v="2019-02-02T00:00:00"/>
    <d v="2019-03-10T00:00:00"/>
    <x v="0"/>
    <x v="4"/>
    <s v="NF1796"/>
    <n v="4030"/>
    <x v="7"/>
    <n v="2019"/>
    <x v="6"/>
    <x v="2"/>
    <x v="7"/>
    <x v="2"/>
    <x v="0"/>
  </r>
  <r>
    <d v="2019-02-16T00:00:00"/>
    <d v="2019-02-05T00:00:00"/>
    <d v="2019-02-16T00:00:00"/>
    <x v="0"/>
    <x v="4"/>
    <s v="NF2396"/>
    <n v="4157"/>
    <x v="6"/>
    <n v="2019"/>
    <x v="6"/>
    <x v="2"/>
    <x v="6"/>
    <x v="2"/>
    <x v="0"/>
  </r>
  <r>
    <d v="2019-03-08T00:00:00"/>
    <d v="2019-02-06T00:00:00"/>
    <d v="2019-03-08T00:00:00"/>
    <x v="0"/>
    <x v="0"/>
    <s v="NF8281"/>
    <n v="1417"/>
    <x v="7"/>
    <n v="2019"/>
    <x v="6"/>
    <x v="2"/>
    <x v="7"/>
    <x v="2"/>
    <x v="0"/>
  </r>
  <r>
    <d v="2019-03-16T00:00:00"/>
    <d v="2019-02-09T00:00:00"/>
    <d v="2019-03-16T00:00:00"/>
    <x v="0"/>
    <x v="2"/>
    <s v="NF3155"/>
    <n v="1117"/>
    <x v="7"/>
    <n v="2019"/>
    <x v="6"/>
    <x v="2"/>
    <x v="7"/>
    <x v="2"/>
    <x v="0"/>
  </r>
  <r>
    <d v="2019-03-17T00:00:00"/>
    <d v="2019-02-10T00:00:00"/>
    <d v="2019-03-17T00:00:00"/>
    <x v="0"/>
    <x v="3"/>
    <s v="NF4849"/>
    <n v="4461"/>
    <x v="7"/>
    <n v="2019"/>
    <x v="6"/>
    <x v="2"/>
    <x v="7"/>
    <x v="2"/>
    <x v="0"/>
  </r>
  <r>
    <d v="2019-03-25T00:00:00"/>
    <d v="2019-02-12T00:00:00"/>
    <d v="2019-02-12T00:00:00"/>
    <x v="0"/>
    <x v="1"/>
    <s v="NF4647"/>
    <n v="3732"/>
    <x v="7"/>
    <n v="2019"/>
    <x v="6"/>
    <x v="2"/>
    <x v="6"/>
    <x v="2"/>
    <x v="0"/>
  </r>
  <r>
    <d v="2019-02-13T00:00:00"/>
    <d v="2019-02-13T00:00:00"/>
    <d v="2019-02-13T00:00:00"/>
    <x v="0"/>
    <x v="2"/>
    <s v="NF9056"/>
    <n v="2024"/>
    <x v="6"/>
    <n v="2019"/>
    <x v="6"/>
    <x v="2"/>
    <x v="6"/>
    <x v="2"/>
    <x v="0"/>
  </r>
  <r>
    <d v="2019-02-16T00:00:00"/>
    <d v="2019-02-16T00:00:00"/>
    <d v="2019-02-16T00:00:00"/>
    <x v="0"/>
    <x v="1"/>
    <s v="NF4097"/>
    <n v="928"/>
    <x v="6"/>
    <n v="2019"/>
    <x v="6"/>
    <x v="2"/>
    <x v="6"/>
    <x v="2"/>
    <x v="0"/>
  </r>
  <r>
    <d v="2019-03-09T00:00:00"/>
    <d v="2019-02-17T00:00:00"/>
    <d v="2019-02-17T00:00:00"/>
    <x v="0"/>
    <x v="1"/>
    <s v="NF9792"/>
    <n v="3557"/>
    <x v="7"/>
    <n v="2019"/>
    <x v="6"/>
    <x v="2"/>
    <x v="6"/>
    <x v="2"/>
    <x v="0"/>
  </r>
  <r>
    <d v="2019-03-16T00:00:00"/>
    <d v="2019-02-18T00:00:00"/>
    <d v="2019-03-16T00:00:00"/>
    <x v="0"/>
    <x v="2"/>
    <s v="NF1943"/>
    <n v="741"/>
    <x v="7"/>
    <n v="2019"/>
    <x v="6"/>
    <x v="2"/>
    <x v="7"/>
    <x v="2"/>
    <x v="0"/>
  </r>
  <r>
    <d v="2019-03-24T00:00:00"/>
    <d v="2019-02-21T00:00:00"/>
    <d v="2019-03-24T00:00:00"/>
    <x v="0"/>
    <x v="2"/>
    <s v="NF5598"/>
    <n v="850"/>
    <x v="7"/>
    <n v="2019"/>
    <x v="6"/>
    <x v="2"/>
    <x v="7"/>
    <x v="2"/>
    <x v="0"/>
  </r>
  <r>
    <d v="2019-02-26T00:00:00"/>
    <d v="2019-02-26T00:00:00"/>
    <d v="2019-02-26T00:00:00"/>
    <x v="0"/>
    <x v="1"/>
    <s v="NF8881"/>
    <n v="4741"/>
    <x v="6"/>
    <n v="2019"/>
    <x v="6"/>
    <x v="2"/>
    <x v="6"/>
    <x v="2"/>
    <x v="0"/>
  </r>
  <r>
    <d v="2019-03-01T00:00:00"/>
    <d v="2019-03-01T00:00:00"/>
    <d v="2019-03-01T00:00:00"/>
    <x v="0"/>
    <x v="0"/>
    <s v="NF3500"/>
    <n v="471"/>
    <x v="7"/>
    <n v="2019"/>
    <x v="7"/>
    <x v="2"/>
    <x v="7"/>
    <x v="2"/>
    <x v="0"/>
  </r>
  <r>
    <d v="2019-03-03T00:00:00"/>
    <d v="2019-03-03T00:00:00"/>
    <d v="2019-03-03T00:00:00"/>
    <x v="0"/>
    <x v="0"/>
    <s v="NF3489"/>
    <n v="517"/>
    <x v="7"/>
    <n v="2019"/>
    <x v="7"/>
    <x v="2"/>
    <x v="7"/>
    <x v="2"/>
    <x v="0"/>
  </r>
  <r>
    <d v="2019-04-08T00:00:00"/>
    <d v="2019-03-10T00:00:00"/>
    <d v="2019-04-08T00:00:00"/>
    <x v="0"/>
    <x v="0"/>
    <s v="NF8682"/>
    <n v="3034"/>
    <x v="8"/>
    <n v="2019"/>
    <x v="7"/>
    <x v="2"/>
    <x v="8"/>
    <x v="2"/>
    <x v="0"/>
  </r>
  <r>
    <d v="2019-04-23T00:00:00"/>
    <d v="2019-03-13T00:00:00"/>
    <d v="2019-04-23T00:00:00"/>
    <x v="0"/>
    <x v="1"/>
    <s v="NF8525"/>
    <n v="3172"/>
    <x v="8"/>
    <n v="2019"/>
    <x v="7"/>
    <x v="2"/>
    <x v="8"/>
    <x v="2"/>
    <x v="0"/>
  </r>
  <r>
    <d v="2019-03-19T00:00:00"/>
    <d v="2019-03-19T00:00:00"/>
    <d v="2019-03-19T00:00:00"/>
    <x v="0"/>
    <x v="4"/>
    <s v="NF2006"/>
    <n v="2069"/>
    <x v="7"/>
    <n v="2019"/>
    <x v="7"/>
    <x v="2"/>
    <x v="7"/>
    <x v="2"/>
    <x v="0"/>
  </r>
  <r>
    <d v="2019-03-21T00:00:00"/>
    <d v="2019-03-21T00:00:00"/>
    <d v="2019-03-21T00:00:00"/>
    <x v="0"/>
    <x v="4"/>
    <s v="NF7648"/>
    <n v="3849"/>
    <x v="7"/>
    <n v="2019"/>
    <x v="7"/>
    <x v="2"/>
    <x v="7"/>
    <x v="2"/>
    <x v="0"/>
  </r>
  <r>
    <s v=""/>
    <d v="2019-03-27T00:00:00"/>
    <d v="2019-05-01T00:00:00"/>
    <x v="0"/>
    <x v="2"/>
    <s v="NF6770"/>
    <n v="4141"/>
    <x v="4"/>
    <n v="0"/>
    <x v="7"/>
    <x v="2"/>
    <x v="9"/>
    <x v="2"/>
    <x v="1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  <x v="0"/>
  </r>
  <r>
    <d v="2019-04-03T00:00:00"/>
    <d v="2019-04-03T00:00:00"/>
    <d v="2019-04-03T00:00:00"/>
    <x v="0"/>
    <x v="1"/>
    <s v="NF4686"/>
    <n v="1738"/>
    <x v="8"/>
    <n v="2019"/>
    <x v="8"/>
    <x v="2"/>
    <x v="8"/>
    <x v="2"/>
    <x v="0"/>
  </r>
  <r>
    <d v="2019-04-06T00:00:00"/>
    <d v="2019-04-06T00:00:00"/>
    <d v="2019-04-06T00:00:00"/>
    <x v="0"/>
    <x v="1"/>
    <s v="NF9108"/>
    <n v="732"/>
    <x v="8"/>
    <n v="2019"/>
    <x v="8"/>
    <x v="2"/>
    <x v="8"/>
    <x v="2"/>
    <x v="0"/>
  </r>
  <r>
    <d v="2019-06-09T00:00:00"/>
    <d v="2019-04-07T00:00:00"/>
    <d v="2019-05-01T00:00:00"/>
    <x v="0"/>
    <x v="2"/>
    <s v="NF1934"/>
    <n v="373"/>
    <x v="11"/>
    <n v="2019"/>
    <x v="8"/>
    <x v="2"/>
    <x v="9"/>
    <x v="2"/>
    <x v="0"/>
  </r>
  <r>
    <d v="2019-05-24T00:00:00"/>
    <d v="2019-04-09T00:00:00"/>
    <d v="2019-05-24T00:00:00"/>
    <x v="0"/>
    <x v="0"/>
    <s v="NF5748"/>
    <n v="609"/>
    <x v="9"/>
    <n v="2019"/>
    <x v="8"/>
    <x v="2"/>
    <x v="9"/>
    <x v="2"/>
    <x v="0"/>
  </r>
  <r>
    <d v="2019-05-30T00:00:00"/>
    <d v="2019-04-12T00:00:00"/>
    <d v="2019-05-30T00:00:00"/>
    <x v="0"/>
    <x v="1"/>
    <s v="NF3443"/>
    <n v="2883"/>
    <x v="9"/>
    <n v="2019"/>
    <x v="8"/>
    <x v="2"/>
    <x v="9"/>
    <x v="2"/>
    <x v="0"/>
  </r>
  <r>
    <d v="2019-04-14T00:00:00"/>
    <d v="2019-04-14T00:00:00"/>
    <d v="2019-04-14T00:00:00"/>
    <x v="0"/>
    <x v="0"/>
    <s v="NF4433"/>
    <n v="4651"/>
    <x v="8"/>
    <n v="2019"/>
    <x v="8"/>
    <x v="2"/>
    <x v="8"/>
    <x v="2"/>
    <x v="0"/>
  </r>
  <r>
    <s v=""/>
    <d v="2019-04-18T00:00:00"/>
    <d v="2019-04-24T00:00:00"/>
    <x v="0"/>
    <x v="0"/>
    <s v="NF7700"/>
    <n v="4797"/>
    <x v="4"/>
    <n v="0"/>
    <x v="8"/>
    <x v="2"/>
    <x v="8"/>
    <x v="2"/>
    <x v="1"/>
  </r>
  <r>
    <d v="2019-05-13T00:00:00"/>
    <d v="2019-04-20T00:00:00"/>
    <d v="2019-05-13T00:00:00"/>
    <x v="0"/>
    <x v="4"/>
    <s v="NF8475"/>
    <n v="1620"/>
    <x v="9"/>
    <n v="2019"/>
    <x v="8"/>
    <x v="2"/>
    <x v="9"/>
    <x v="2"/>
    <x v="0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  <x v="0"/>
  </r>
  <r>
    <d v="2019-05-10T00:00:00"/>
    <d v="2019-04-29T00:00:00"/>
    <d v="2019-05-10T00:00:00"/>
    <x v="0"/>
    <x v="1"/>
    <s v="NF5571"/>
    <n v="2091"/>
    <x v="9"/>
    <n v="2019"/>
    <x v="8"/>
    <x v="2"/>
    <x v="9"/>
    <x v="2"/>
    <x v="0"/>
  </r>
  <r>
    <d v="2019-05-09T00:00:00"/>
    <d v="2019-04-30T00:00:00"/>
    <d v="2019-05-09T00:00:00"/>
    <x v="0"/>
    <x v="1"/>
    <s v="NF7836"/>
    <n v="3200"/>
    <x v="9"/>
    <n v="2019"/>
    <x v="8"/>
    <x v="2"/>
    <x v="9"/>
    <x v="2"/>
    <x v="0"/>
  </r>
  <r>
    <d v="2019-05-02T00:00:00"/>
    <d v="2019-05-02T00:00:00"/>
    <d v="2019-05-02T00:00:00"/>
    <x v="0"/>
    <x v="2"/>
    <s v="NF7705"/>
    <n v="583"/>
    <x v="9"/>
    <n v="2019"/>
    <x v="9"/>
    <x v="2"/>
    <x v="9"/>
    <x v="2"/>
    <x v="0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  <x v="0"/>
  </r>
  <r>
    <d v="2019-05-07T00:00:00"/>
    <d v="2019-05-07T00:00:00"/>
    <d v="2019-05-07T00:00:00"/>
    <x v="0"/>
    <x v="1"/>
    <s v="NF4027"/>
    <n v="343"/>
    <x v="9"/>
    <n v="2019"/>
    <x v="9"/>
    <x v="2"/>
    <x v="9"/>
    <x v="2"/>
    <x v="0"/>
  </r>
  <r>
    <d v="2019-05-18T00:00:00"/>
    <d v="2019-05-08T00:00:00"/>
    <d v="2019-05-18T00:00:00"/>
    <x v="0"/>
    <x v="0"/>
    <s v="NF7582"/>
    <n v="4510"/>
    <x v="9"/>
    <n v="2019"/>
    <x v="9"/>
    <x v="2"/>
    <x v="9"/>
    <x v="2"/>
    <x v="0"/>
  </r>
  <r>
    <d v="2019-05-12T00:00:00"/>
    <d v="2019-05-12T00:00:00"/>
    <d v="2019-05-12T00:00:00"/>
    <x v="0"/>
    <x v="1"/>
    <s v="NF7868"/>
    <n v="667"/>
    <x v="9"/>
    <n v="2019"/>
    <x v="9"/>
    <x v="2"/>
    <x v="9"/>
    <x v="2"/>
    <x v="0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  <x v="0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  <x v="0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  <x v="0"/>
  </r>
  <r>
    <s v=""/>
    <d v="2019-05-26T00:00:00"/>
    <d v="2019-05-26T00:00:00"/>
    <x v="0"/>
    <x v="1"/>
    <s v="NF1516"/>
    <n v="2531"/>
    <x v="4"/>
    <n v="0"/>
    <x v="9"/>
    <x v="2"/>
    <x v="9"/>
    <x v="2"/>
    <x v="1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  <x v="0"/>
  </r>
  <r>
    <s v=""/>
    <d v="2019-05-30T00:00:00"/>
    <d v="2019-07-02T00:00:00"/>
    <x v="0"/>
    <x v="3"/>
    <s v="NF9904"/>
    <n v="4535"/>
    <x v="4"/>
    <n v="0"/>
    <x v="9"/>
    <x v="2"/>
    <x v="11"/>
    <x v="2"/>
    <x v="1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  <x v="0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  <x v="0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  <x v="0"/>
  </r>
  <r>
    <s v=""/>
    <d v="2019-06-15T00:00:00"/>
    <d v="2019-06-15T00:00:00"/>
    <x v="0"/>
    <x v="4"/>
    <s v="NF4469"/>
    <n v="1482"/>
    <x v="4"/>
    <n v="0"/>
    <x v="10"/>
    <x v="2"/>
    <x v="10"/>
    <x v="2"/>
    <x v="1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  <x v="0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  <x v="0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  <x v="0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  <x v="0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7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75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75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J14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2"/>
    </i>
    <i r="1">
      <x v="4"/>
    </i>
    <i t="grand">
      <x/>
    </i>
  </rowItems>
  <colFields count="2">
    <field x="7"/>
    <field x="11"/>
  </colFields>
  <colItems count="8">
    <i>
      <x/>
      <x/>
    </i>
    <i r="1">
      <x v="1"/>
    </i>
    <i r="1">
      <x v="4"/>
    </i>
    <i r="1">
      <x v="5"/>
    </i>
    <i r="1">
      <x v="6"/>
    </i>
    <i r="1">
      <x v="8"/>
    </i>
    <i r="1">
      <x v="10"/>
    </i>
    <i t="default">
      <x/>
    </i>
  </colItems>
  <pageFields count="1">
    <pageField fld="12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76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dContasReceberVencidas" cacheId="76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L14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showAll="0"/>
    <pivotField showAll="0"/>
    <pivotField axis="axisCol" showAll="0">
      <items count="13">
        <item x="4"/>
        <item x="6"/>
        <item x="7"/>
        <item x="8"/>
        <item x="9"/>
        <item x="10"/>
        <item x="11"/>
        <item x="0"/>
        <item x="1"/>
        <item x="2"/>
        <item x="3"/>
        <item x="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 defaultSubtotal="0">
      <items count="2">
        <item h="1" x="0"/>
        <item x="1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3"/>
    </i>
    <i r="1">
      <x v="4"/>
    </i>
    <i t="grand">
      <x/>
    </i>
  </rowItems>
  <colFields count="2">
    <field x="13"/>
    <field x="11"/>
  </colFields>
  <colItems count="10">
    <i>
      <x v="1"/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1"/>
    </i>
    <i t="grand">
      <x/>
    </i>
  </colItems>
  <pageFields count="1">
    <pageField fld="12" item="1" hier="-1"/>
  </pageFields>
  <dataFields count="1">
    <dataField name="Soma de Valor" fld="6" baseField="4" baseItem="1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8" s="1"/>
        <i x="9" s="1"/>
        <i x="10" s="1"/>
        <i x="1" s="1"/>
        <i x="2" s="1"/>
        <i x="6" s="1" nd="1"/>
        <i x="7" s="1" nd="1"/>
        <i x="11" s="1" nd="1"/>
        <i x="0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 s="1"/>
        <i x="2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2" sourceName="Ano Previsto">
  <pivotTables>
    <pivotTable tabId="15" name="TdContasReceberVencidas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Ano Previsto 2" cache="SegmentaçãodeDados_Ano_Previsto2" caption="Ano Previsto" columnCount="3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34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33" headerRowBorderDxfId="32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31" headerRowBorderDxfId="30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29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O234" totalsRowShown="0" headerRowDxfId="28">
  <autoFilter ref="B3:O234"/>
  <tableColumns count="14">
    <tableColumn id="1" name="Data do Caixa Realizado" dataDxfId="27"/>
    <tableColumn id="2" name="Data da Competência" dataDxfId="26"/>
    <tableColumn id="3" name="Data do Caixa Previsto" dataDxfId="25"/>
    <tableColumn id="4" name="Conta Nível 1"/>
    <tableColumn id="5" name="Conta Nível 2"/>
    <tableColumn id="6" name="Histórico"/>
    <tableColumn id="7" name="Valor" dataDxfId="24"/>
    <tableColumn id="8" name="Mês Caixa" dataDxfId="23">
      <calculatedColumnFormula>IF(TbRegistroEntradas[[#This Row],[Data do Caixa Realizado]]="",0,MONTH(TbRegistroEntradas[[#This Row],[Data do Caixa Realizado]]))</calculatedColumnFormula>
    </tableColumn>
    <tableColumn id="9" name="Ano Caixa" dataDxfId="22">
      <calculatedColumnFormula>IF(TbRegistroEntradas[[#This Row],[Data do Caixa Realizado]]="",0,YEAR(TbRegistroEntradas[[#This Row],[Data do Caixa Realizado]]))</calculatedColumnFormula>
    </tableColumn>
    <tableColumn id="10" name="Mês Competência" dataDxfId="21">
      <calculatedColumnFormula>IF(TbRegistroEntradas[[#This Row],[Data da Competência]]="",0,MONTH(TbRegistroEntradas[[#This Row],[Data da Competência]]))</calculatedColumnFormula>
    </tableColumn>
    <tableColumn id="11" name="Ano Competência" dataDxfId="20">
      <calculatedColumnFormula>IF(TbRegistroEntradas[[#This Row],[Data da Competência]]="",0,YEAR(TbRegistroEntradas[[#This Row],[Data da Competência]]))</calculatedColumnFormula>
    </tableColumn>
    <tableColumn id="12" name="Mês Previsto" dataDxfId="6">
      <calculatedColumnFormula>IF(TbRegistroEntradas[[#This Row],[Data do Caixa Previsto]]="",0,MONTH(TbRegistroEntradas[[#This Row],[Data do Caixa Previsto]]))</calculatedColumnFormula>
    </tableColumn>
    <tableColumn id="13" name="Ano Previsto" dataDxfId="5">
      <calculatedColumnFormula>IF(TbRegistroEntradas[[#This Row],[Data do Caixa Previsto]]="",0,YEAR(TbRegistroEntradas[[#This Row],[Data do Caixa Previsto]]))</calculatedColumnFormula>
    </tableColumn>
    <tableColumn id="14" name="Conta Vencida" dataDxfId="4">
      <calculatedColumnFormula>IF(AND(TbRegistroEntradas[[#This Row],[Data do Caixa Previsto]]&lt;TODAY(),TbRegistroEntradas[[#This Row],[Data do Caixa Realizado]]=""),"Vencida","Não Vencida")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N232" totalsRowShown="0" headerRowDxfId="19" headerRowBorderDxfId="18" tableBorderDxfId="17">
  <autoFilter ref="B3:N232">
    <filterColumn colId="0">
      <filters blank="1"/>
    </filterColumn>
    <filterColumn colId="2">
      <filters>
        <dateGroupItem year="2018" dateTimeGrouping="year"/>
      </filters>
    </filterColumn>
  </autoFilter>
  <tableColumns count="13">
    <tableColumn id="1" name="Data do Caixa Realizado" dataDxfId="16"/>
    <tableColumn id="2" name="Data da Competência" dataDxfId="15"/>
    <tableColumn id="3" name="Data do Caixa Previsto" dataDxfId="14"/>
    <tableColumn id="4" name="Conta Nível 1"/>
    <tableColumn id="5" name="Conta Nível 2"/>
    <tableColumn id="6" name="Histórico"/>
    <tableColumn id="7" name="Valor" dataDxfId="13"/>
    <tableColumn id="8" name="Mês Caixa" dataDxfId="12">
      <calculatedColumnFormula>IF(TbRegistroSaídas[[#This Row],[Data do Caixa Realizado]]="",0,MONTH(TbRegistroSaídas[[#This Row],[Data do Caixa Realizado]]))</calculatedColumnFormula>
    </tableColumn>
    <tableColumn id="9" name="Ano Caixa" dataDxfId="11">
      <calculatedColumnFormula>IF(TbRegistroSaídas[[#This Row],[Data do Caixa Realizado]]="",0,YEAR(TbRegistroSaídas[[#This Row],[Data do Caixa Realizado]]))</calculatedColumnFormula>
    </tableColumn>
    <tableColumn id="10" name="Mês Competência" dataDxfId="10">
      <calculatedColumnFormula>IF(TbRegistroSaídas[[#This Row],[Data da Competência]]="",0,MONTH(TbRegistroSaídas[[#This Row],[Data da Competência]]))</calculatedColumnFormula>
    </tableColumn>
    <tableColumn id="11" name="Ano Competência" dataDxfId="9">
      <calculatedColumnFormula>IF(TbRegistroSaídas[[#This Row],[Data da Competência]]="",0,YEAR(TbRegistroSaídas[[#This Row],[Data da Competência]]))</calculatedColumnFormula>
    </tableColumn>
    <tableColumn id="12" name="Mês Previsto" dataDxfId="8">
      <calculatedColumnFormula>IF(TbRegistroSaídas[[#This Row],[Data do Caixa Previsto]]="",0,MONTH(TbRegistroSaídas[[#This Row],[Data do Caixa Previsto]]))</calculatedColumnFormula>
    </tableColumn>
    <tableColumn id="13" name="Ano Previsto" dataDxfId="7">
      <calculatedColumnFormula>IF(TbRegistroSaídas[[#This Row],[Data do Caixa Previsto]]="",0,YEAR(TbRegistroSaídas[[#This Row],[Data do Caixa Previsto]]))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>
      <selection activeCell="N11" sqref="N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</row>
    <row r="6" spans="2:14" ht="20.100000000000001" customHeight="1" x14ac:dyDescent="0.25">
      <c r="B6" t="s">
        <v>23</v>
      </c>
    </row>
    <row r="7" spans="2:14" ht="20.100000000000001" customHeight="1" x14ac:dyDescent="0.25">
      <c r="B7" t="s">
        <v>24</v>
      </c>
    </row>
    <row r="8" spans="2:14" ht="20.100000000000001" customHeight="1" x14ac:dyDescent="0.25">
      <c r="B8" t="s">
        <v>25</v>
      </c>
    </row>
    <row r="9" spans="2:14" ht="20.100000000000001" customHeight="1" x14ac:dyDescent="0.25">
      <c r="B9" t="s">
        <v>26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3" t="s">
        <v>27</v>
      </c>
      <c r="C3" s="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8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  <c r="C5" t="s">
        <v>29</v>
      </c>
    </row>
    <row r="6" spans="2:14" ht="20.100000000000001" customHeight="1" x14ac:dyDescent="0.25">
      <c r="B6" t="s">
        <v>24</v>
      </c>
      <c r="C6" t="s">
        <v>30</v>
      </c>
    </row>
    <row r="7" spans="2:14" ht="20.100000000000001" customHeight="1" x14ac:dyDescent="0.25">
      <c r="B7" t="s">
        <v>25</v>
      </c>
      <c r="C7" t="s">
        <v>31</v>
      </c>
    </row>
    <row r="8" spans="2:14" ht="20.100000000000001" customHeight="1" x14ac:dyDescent="0.25">
      <c r="B8" t="s">
        <v>26</v>
      </c>
      <c r="C8" t="s">
        <v>32</v>
      </c>
    </row>
    <row r="9" spans="2:14" ht="20.100000000000001" customHeight="1" x14ac:dyDescent="0.25">
      <c r="B9" t="s">
        <v>26</v>
      </c>
      <c r="C9" t="s">
        <v>33</v>
      </c>
    </row>
    <row r="10" spans="2:14" ht="20.100000000000001" customHeight="1" x14ac:dyDescent="0.25">
      <c r="B10" t="s">
        <v>26</v>
      </c>
      <c r="C10" t="s">
        <v>34</v>
      </c>
    </row>
    <row r="11" spans="2:14" ht="20.100000000000001" customHeight="1" x14ac:dyDescent="0.25">
      <c r="B11" t="s">
        <v>26</v>
      </c>
      <c r="C11" t="s">
        <v>35</v>
      </c>
    </row>
    <row r="12" spans="2:14" ht="20.100000000000001" customHeight="1" x14ac:dyDescent="0.25">
      <c r="B12" t="s">
        <v>26</v>
      </c>
      <c r="C12" t="s">
        <v>36</v>
      </c>
    </row>
    <row r="13" spans="2:14" ht="20.100000000000001" customHeight="1" x14ac:dyDescent="0.25">
      <c r="B13" t="s">
        <v>23</v>
      </c>
      <c r="C13" t="s">
        <v>59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37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</row>
    <row r="6" spans="2:14" ht="20.100000000000001" customHeight="1" x14ac:dyDescent="0.25">
      <c r="B6" t="s">
        <v>39</v>
      </c>
    </row>
    <row r="7" spans="2:14" ht="20.100000000000001" customHeight="1" x14ac:dyDescent="0.25">
      <c r="B7" t="s">
        <v>40</v>
      </c>
    </row>
    <row r="8" spans="2:14" ht="20.100000000000001" customHeight="1" x14ac:dyDescent="0.25">
      <c r="B8" t="s">
        <v>41</v>
      </c>
    </row>
    <row r="9" spans="2:14" ht="20.100000000000001" customHeight="1" x14ac:dyDescent="0.25">
      <c r="B9" t="s">
        <v>42</v>
      </c>
    </row>
    <row r="10" spans="2:14" ht="20.100000000000001" customHeight="1" x14ac:dyDescent="0.25">
      <c r="B10" t="s">
        <v>43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45" t="s">
        <v>44</v>
      </c>
      <c r="C3" s="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6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  <c r="C5" t="s">
        <v>32</v>
      </c>
    </row>
    <row r="6" spans="2:14" ht="20.100000000000001" customHeight="1" x14ac:dyDescent="0.25">
      <c r="B6" t="s">
        <v>38</v>
      </c>
      <c r="C6" t="s">
        <v>33</v>
      </c>
    </row>
    <row r="7" spans="2:14" ht="20.100000000000001" customHeight="1" x14ac:dyDescent="0.25">
      <c r="B7" t="s">
        <v>38</v>
      </c>
      <c r="C7" t="s">
        <v>34</v>
      </c>
    </row>
    <row r="8" spans="2:14" ht="20.100000000000001" customHeight="1" x14ac:dyDescent="0.25">
      <c r="B8" t="s">
        <v>38</v>
      </c>
      <c r="C8" t="s">
        <v>36</v>
      </c>
    </row>
    <row r="9" spans="2:14" ht="20.100000000000001" customHeight="1" x14ac:dyDescent="0.25">
      <c r="B9" t="s">
        <v>38</v>
      </c>
      <c r="C9" t="s">
        <v>45</v>
      </c>
    </row>
    <row r="10" spans="2:14" ht="20.100000000000001" customHeight="1" x14ac:dyDescent="0.25">
      <c r="B10" t="s">
        <v>39</v>
      </c>
      <c r="C10" t="s">
        <v>46</v>
      </c>
    </row>
    <row r="11" spans="2:14" ht="20.100000000000001" customHeight="1" x14ac:dyDescent="0.25">
      <c r="B11" t="s">
        <v>39</v>
      </c>
      <c r="C11" t="s">
        <v>47</v>
      </c>
    </row>
    <row r="12" spans="2:14" ht="20.100000000000001" customHeight="1" x14ac:dyDescent="0.25">
      <c r="B12" t="s">
        <v>40</v>
      </c>
      <c r="C12" t="s">
        <v>48</v>
      </c>
    </row>
    <row r="13" spans="2:14" ht="20.100000000000001" customHeight="1" x14ac:dyDescent="0.25">
      <c r="B13" t="s">
        <v>40</v>
      </c>
      <c r="C13" t="s">
        <v>49</v>
      </c>
    </row>
    <row r="14" spans="2:14" ht="20.100000000000001" customHeight="1" x14ac:dyDescent="0.25">
      <c r="B14" t="s">
        <v>41</v>
      </c>
      <c r="C14" t="s">
        <v>50</v>
      </c>
    </row>
    <row r="15" spans="2:14" ht="20.100000000000001" customHeight="1" x14ac:dyDescent="0.25">
      <c r="B15" t="s">
        <v>42</v>
      </c>
      <c r="C15" t="s">
        <v>51</v>
      </c>
    </row>
    <row r="16" spans="2:14" ht="20.100000000000001" customHeight="1" x14ac:dyDescent="0.25">
      <c r="B16" t="s">
        <v>43</v>
      </c>
      <c r="C16" t="s">
        <v>59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O234"/>
  <sheetViews>
    <sheetView showGridLines="0" zoomScale="85" zoomScaleNormal="85" workbookViewId="0">
      <pane ySplit="3" topLeftCell="A4" activePane="bottomLeft" state="frozen"/>
      <selection pane="bottomLeft" activeCell="C5" sqref="C5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4" width="9.140625" customWidth="1"/>
    <col min="15" max="15" width="14.140625" customWidth="1"/>
  </cols>
  <sheetData>
    <row r="1" spans="2:15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5" ht="39.950000000000003" customHeight="1" x14ac:dyDescent="0.25">
      <c r="B2" s="12"/>
      <c r="C2" s="12"/>
      <c r="D2" s="12"/>
      <c r="E2" s="5"/>
      <c r="F2" s="5"/>
      <c r="G2" s="5"/>
      <c r="H2" s="15"/>
    </row>
    <row r="3" spans="2:15" s="17" customFormat="1" ht="45.75" customHeight="1" x14ac:dyDescent="0.25">
      <c r="B3" s="18" t="s">
        <v>52</v>
      </c>
      <c r="C3" s="18" t="s">
        <v>53</v>
      </c>
      <c r="D3" s="18" t="s">
        <v>54</v>
      </c>
      <c r="E3" s="19" t="s">
        <v>55</v>
      </c>
      <c r="F3" s="19" t="s">
        <v>56</v>
      </c>
      <c r="G3" s="19" t="s">
        <v>57</v>
      </c>
      <c r="H3" s="20" t="s">
        <v>58</v>
      </c>
      <c r="I3" s="19" t="s">
        <v>537</v>
      </c>
      <c r="J3" s="19" t="s">
        <v>538</v>
      </c>
      <c r="K3" s="19" t="s">
        <v>539</v>
      </c>
      <c r="L3" s="19" t="s">
        <v>540</v>
      </c>
      <c r="M3" s="19" t="s">
        <v>545</v>
      </c>
      <c r="N3" s="19" t="s">
        <v>546</v>
      </c>
      <c r="O3" s="19" t="s">
        <v>548</v>
      </c>
    </row>
    <row r="4" spans="2:15" ht="20.100000000000001" customHeight="1" x14ac:dyDescent="0.25">
      <c r="B4" s="13">
        <v>42994</v>
      </c>
      <c r="C4" s="13">
        <v>42957</v>
      </c>
      <c r="D4" s="13">
        <v>42972</v>
      </c>
      <c r="E4" t="s">
        <v>26</v>
      </c>
      <c r="F4" t="s">
        <v>33</v>
      </c>
      <c r="G4" t="s">
        <v>60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  <c r="M4" s="50">
        <f>IF(TbRegistroEntradas[[#This Row],[Data do Caixa Previsto]]="",0,MONTH(TbRegistroEntradas[[#This Row],[Data do Caixa Previsto]]))</f>
        <v>8</v>
      </c>
      <c r="N4" s="50">
        <f>IF(TbRegistroEntradas[[#This Row],[Data do Caixa Previsto]]="",0,YEAR(TbRegistroEntradas[[#This Row],[Data do Caixa Previsto]]))</f>
        <v>2017</v>
      </c>
      <c r="O4" s="50" t="str">
        <f ca="1">IF(AND(TbRegistroEntradas[[#This Row],[Data do Caixa Previsto]]&lt;TODAY(),TbRegistroEntradas[[#This Row],[Data do Caixa Realizado]]=""),"Vencida","Não Vencida")</f>
        <v>Não Vencida</v>
      </c>
    </row>
    <row r="5" spans="2:15" ht="20.100000000000001" customHeight="1" x14ac:dyDescent="0.25">
      <c r="B5" s="13">
        <v>42985</v>
      </c>
      <c r="C5" s="13">
        <v>42960</v>
      </c>
      <c r="D5" s="13">
        <v>42985</v>
      </c>
      <c r="E5" t="s">
        <v>26</v>
      </c>
      <c r="F5" t="s">
        <v>35</v>
      </c>
      <c r="G5" t="s">
        <v>61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  <c r="M5" s="50">
        <f>IF(TbRegistroEntradas[[#This Row],[Data do Caixa Previsto]]="",0,MONTH(TbRegistroEntradas[[#This Row],[Data do Caixa Previsto]]))</f>
        <v>9</v>
      </c>
      <c r="N5" s="50">
        <f>IF(TbRegistroEntradas[[#This Row],[Data do Caixa Previsto]]="",0,YEAR(TbRegistroEntradas[[#This Row],[Data do Caixa Previsto]]))</f>
        <v>2017</v>
      </c>
      <c r="O5" s="50" t="str">
        <f ca="1">IF(AND(TbRegistroEntradas[[#This Row],[Data do Caixa Previsto]]&lt;TODAY(),TbRegistroEntradas[[#This Row],[Data do Caixa Realizado]]=""),"Vencida","Não Vencida")</f>
        <v>Não Vencida</v>
      </c>
    </row>
    <row r="6" spans="2:15" ht="20.100000000000001" customHeight="1" x14ac:dyDescent="0.25">
      <c r="B6" s="13">
        <v>43007</v>
      </c>
      <c r="C6" s="13">
        <v>42964</v>
      </c>
      <c r="D6" s="13">
        <v>43001</v>
      </c>
      <c r="E6" t="s">
        <v>26</v>
      </c>
      <c r="F6" t="s">
        <v>35</v>
      </c>
      <c r="G6" t="s">
        <v>62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  <c r="M6" s="50">
        <f>IF(TbRegistroEntradas[[#This Row],[Data do Caixa Previsto]]="",0,MONTH(TbRegistroEntradas[[#This Row],[Data do Caixa Previsto]]))</f>
        <v>9</v>
      </c>
      <c r="N6" s="50">
        <f>IF(TbRegistroEntradas[[#This Row],[Data do Caixa Previsto]]="",0,YEAR(TbRegistroEntradas[[#This Row],[Data do Caixa Previsto]]))</f>
        <v>2017</v>
      </c>
      <c r="O6" s="50" t="str">
        <f ca="1">IF(AND(TbRegistroEntradas[[#This Row],[Data do Caixa Previsto]]&lt;TODAY(),TbRegistroEntradas[[#This Row],[Data do Caixa Realizado]]=""),"Vencida","Não Vencida")</f>
        <v>Não Vencida</v>
      </c>
    </row>
    <row r="7" spans="2:15" ht="20.100000000000001" customHeight="1" x14ac:dyDescent="0.25">
      <c r="B7" s="13">
        <v>43020</v>
      </c>
      <c r="C7" s="13">
        <v>42969</v>
      </c>
      <c r="D7" s="13">
        <v>43020</v>
      </c>
      <c r="E7" t="s">
        <v>26</v>
      </c>
      <c r="F7" t="s">
        <v>36</v>
      </c>
      <c r="G7" t="s">
        <v>63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  <c r="M7" s="50">
        <f>IF(TbRegistroEntradas[[#This Row],[Data do Caixa Previsto]]="",0,MONTH(TbRegistroEntradas[[#This Row],[Data do Caixa Previsto]]))</f>
        <v>10</v>
      </c>
      <c r="N7" s="50">
        <f>IF(TbRegistroEntradas[[#This Row],[Data do Caixa Previsto]]="",0,YEAR(TbRegistroEntradas[[#This Row],[Data do Caixa Previsto]]))</f>
        <v>2017</v>
      </c>
      <c r="O7" s="50" t="str">
        <f ca="1">IF(AND(TbRegistroEntradas[[#This Row],[Data do Caixa Previsto]]&lt;TODAY(),TbRegistroEntradas[[#This Row],[Data do Caixa Realizado]]=""),"Vencida","Não Vencida")</f>
        <v>Não Vencida</v>
      </c>
    </row>
    <row r="8" spans="2:15" ht="20.100000000000001" customHeight="1" x14ac:dyDescent="0.25">
      <c r="B8" s="13">
        <v>43014</v>
      </c>
      <c r="C8" s="13">
        <v>42972</v>
      </c>
      <c r="D8" s="13">
        <v>43014</v>
      </c>
      <c r="E8" t="s">
        <v>26</v>
      </c>
      <c r="F8" t="s">
        <v>33</v>
      </c>
      <c r="G8" t="s">
        <v>64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  <c r="M8" s="50">
        <f>IF(TbRegistroEntradas[[#This Row],[Data do Caixa Previsto]]="",0,MONTH(TbRegistroEntradas[[#This Row],[Data do Caixa Previsto]]))</f>
        <v>10</v>
      </c>
      <c r="N8" s="50">
        <f>IF(TbRegistroEntradas[[#This Row],[Data do Caixa Previsto]]="",0,YEAR(TbRegistroEntradas[[#This Row],[Data do Caixa Previsto]]))</f>
        <v>2017</v>
      </c>
      <c r="O8" s="50" t="str">
        <f ca="1">IF(AND(TbRegistroEntradas[[#This Row],[Data do Caixa Previsto]]&lt;TODAY(),TbRegistroEntradas[[#This Row],[Data do Caixa Realizado]]=""),"Vencida","Não Vencida")</f>
        <v>Não Vencida</v>
      </c>
    </row>
    <row r="9" spans="2:15" ht="20.100000000000001" customHeight="1" x14ac:dyDescent="0.25">
      <c r="B9" s="13">
        <v>43054</v>
      </c>
      <c r="C9" s="13">
        <v>42974</v>
      </c>
      <c r="D9" s="13">
        <v>43030</v>
      </c>
      <c r="E9" t="s">
        <v>26</v>
      </c>
      <c r="F9" t="s">
        <v>35</v>
      </c>
      <c r="G9" t="s">
        <v>65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  <c r="M9" s="50">
        <f>IF(TbRegistroEntradas[[#This Row],[Data do Caixa Previsto]]="",0,MONTH(TbRegistroEntradas[[#This Row],[Data do Caixa Previsto]]))</f>
        <v>10</v>
      </c>
      <c r="N9" s="50">
        <f>IF(TbRegistroEntradas[[#This Row],[Data do Caixa Previsto]]="",0,YEAR(TbRegistroEntradas[[#This Row],[Data do Caixa Previsto]]))</f>
        <v>2017</v>
      </c>
      <c r="O9" s="50" t="str">
        <f ca="1">IF(AND(TbRegistroEntradas[[#This Row],[Data do Caixa Previsto]]&lt;TODAY(),TbRegistroEntradas[[#This Row],[Data do Caixa Realizado]]=""),"Vencida","Não Vencida")</f>
        <v>Não Vencida</v>
      </c>
    </row>
    <row r="10" spans="2:15" ht="20.100000000000001" customHeight="1" x14ac:dyDescent="0.25">
      <c r="B10" s="13">
        <v>43087</v>
      </c>
      <c r="C10" s="13">
        <v>42979</v>
      </c>
      <c r="D10" s="13">
        <v>43009</v>
      </c>
      <c r="E10" t="s">
        <v>26</v>
      </c>
      <c r="F10" t="s">
        <v>33</v>
      </c>
      <c r="G10" t="s">
        <v>66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  <c r="M10" s="50">
        <f>IF(TbRegistroEntradas[[#This Row],[Data do Caixa Previsto]]="",0,MONTH(TbRegistroEntradas[[#This Row],[Data do Caixa Previsto]]))</f>
        <v>10</v>
      </c>
      <c r="N10" s="50">
        <f>IF(TbRegistroEntradas[[#This Row],[Data do Caixa Previsto]]="",0,YEAR(TbRegistroEntradas[[#This Row],[Data do Caixa Previsto]]))</f>
        <v>2017</v>
      </c>
      <c r="O10" s="50" t="str">
        <f ca="1">IF(AND(TbRegistroEntradas[[#This Row],[Data do Caixa Previsto]]&lt;TODAY(),TbRegistroEntradas[[#This Row],[Data do Caixa Realizado]]=""),"Vencida","Não Vencida")</f>
        <v>Não Vencida</v>
      </c>
    </row>
    <row r="11" spans="2:15" ht="20.100000000000001" customHeight="1" x14ac:dyDescent="0.25">
      <c r="B11" s="13">
        <v>43004</v>
      </c>
      <c r="C11" s="13">
        <v>42980</v>
      </c>
      <c r="D11" s="13">
        <v>43004</v>
      </c>
      <c r="E11" t="s">
        <v>26</v>
      </c>
      <c r="F11" t="s">
        <v>35</v>
      </c>
      <c r="G11" t="s">
        <v>67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  <c r="M11" s="50">
        <f>IF(TbRegistroEntradas[[#This Row],[Data do Caixa Previsto]]="",0,MONTH(TbRegistroEntradas[[#This Row],[Data do Caixa Previsto]]))</f>
        <v>9</v>
      </c>
      <c r="N11" s="50">
        <f>IF(TbRegistroEntradas[[#This Row],[Data do Caixa Previsto]]="",0,YEAR(TbRegistroEntradas[[#This Row],[Data do Caixa Previsto]]))</f>
        <v>2017</v>
      </c>
      <c r="O11" s="50" t="str">
        <f ca="1">IF(AND(TbRegistroEntradas[[#This Row],[Data do Caixa Previsto]]&lt;TODAY(),TbRegistroEntradas[[#This Row],[Data do Caixa Realizado]]=""),"Vencida","Não Vencida")</f>
        <v>Não Vencida</v>
      </c>
    </row>
    <row r="12" spans="2:15" ht="20.100000000000001" customHeight="1" x14ac:dyDescent="0.25">
      <c r="B12" s="13">
        <v>43015</v>
      </c>
      <c r="C12" s="13">
        <v>42984</v>
      </c>
      <c r="D12" s="13">
        <v>43015</v>
      </c>
      <c r="E12" t="s">
        <v>26</v>
      </c>
      <c r="F12" t="s">
        <v>35</v>
      </c>
      <c r="G12" t="s">
        <v>68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  <c r="M12" s="50">
        <f>IF(TbRegistroEntradas[[#This Row],[Data do Caixa Previsto]]="",0,MONTH(TbRegistroEntradas[[#This Row],[Data do Caixa Previsto]]))</f>
        <v>10</v>
      </c>
      <c r="N12" s="50">
        <f>IF(TbRegistroEntradas[[#This Row],[Data do Caixa Previsto]]="",0,YEAR(TbRegistroEntradas[[#This Row],[Data do Caixa Previsto]]))</f>
        <v>2017</v>
      </c>
      <c r="O12" s="50" t="str">
        <f ca="1">IF(AND(TbRegistroEntradas[[#This Row],[Data do Caixa Previsto]]&lt;TODAY(),TbRegistroEntradas[[#This Row],[Data do Caixa Realizado]]=""),"Vencida","Não Vencida")</f>
        <v>Não Vencida</v>
      </c>
    </row>
    <row r="13" spans="2:15" ht="20.100000000000001" customHeight="1" x14ac:dyDescent="0.25">
      <c r="B13" s="13" t="s">
        <v>69</v>
      </c>
      <c r="C13" s="13">
        <v>42988</v>
      </c>
      <c r="D13" s="13">
        <v>43013</v>
      </c>
      <c r="E13" t="s">
        <v>26</v>
      </c>
      <c r="F13" t="s">
        <v>35</v>
      </c>
      <c r="G13" t="s">
        <v>70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  <c r="M13" s="50">
        <f>IF(TbRegistroEntradas[[#This Row],[Data do Caixa Previsto]]="",0,MONTH(TbRegistroEntradas[[#This Row],[Data do Caixa Previsto]]))</f>
        <v>10</v>
      </c>
      <c r="N13" s="50">
        <f>IF(TbRegistroEntradas[[#This Row],[Data do Caixa Previsto]]="",0,YEAR(TbRegistroEntradas[[#This Row],[Data do Caixa Previsto]]))</f>
        <v>2017</v>
      </c>
      <c r="O13" s="50" t="str">
        <f ca="1">IF(AND(TbRegistroEntradas[[#This Row],[Data do Caixa Previsto]]&lt;TODAY(),TbRegistroEntradas[[#This Row],[Data do Caixa Realizado]]=""),"Vencida","Não Vencida")</f>
        <v>Vencida</v>
      </c>
    </row>
    <row r="14" spans="2:15" ht="20.100000000000001" customHeight="1" x14ac:dyDescent="0.25">
      <c r="B14" s="13">
        <v>42997</v>
      </c>
      <c r="C14" s="13">
        <v>42990</v>
      </c>
      <c r="D14" s="13">
        <v>42997</v>
      </c>
      <c r="E14" t="s">
        <v>26</v>
      </c>
      <c r="F14" t="s">
        <v>32</v>
      </c>
      <c r="G14" t="s">
        <v>71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  <c r="M14" s="50">
        <f>IF(TbRegistroEntradas[[#This Row],[Data do Caixa Previsto]]="",0,MONTH(TbRegistroEntradas[[#This Row],[Data do Caixa Previsto]]))</f>
        <v>9</v>
      </c>
      <c r="N14" s="50">
        <f>IF(TbRegistroEntradas[[#This Row],[Data do Caixa Previsto]]="",0,YEAR(TbRegistroEntradas[[#This Row],[Data do Caixa Previsto]]))</f>
        <v>2017</v>
      </c>
      <c r="O14" s="50" t="str">
        <f ca="1">IF(AND(TbRegistroEntradas[[#This Row],[Data do Caixa Previsto]]&lt;TODAY(),TbRegistroEntradas[[#This Row],[Data do Caixa Realizado]]=""),"Vencida","Não Vencida")</f>
        <v>Não Vencida</v>
      </c>
    </row>
    <row r="15" spans="2:15" ht="20.100000000000001" customHeight="1" x14ac:dyDescent="0.25">
      <c r="B15" s="13">
        <v>43002</v>
      </c>
      <c r="C15" s="13">
        <v>42994</v>
      </c>
      <c r="D15" s="13">
        <v>43002</v>
      </c>
      <c r="E15" t="s">
        <v>26</v>
      </c>
      <c r="F15" t="s">
        <v>35</v>
      </c>
      <c r="G15" t="s">
        <v>72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  <c r="M15" s="50">
        <f>IF(TbRegistroEntradas[[#This Row],[Data do Caixa Previsto]]="",0,MONTH(TbRegistroEntradas[[#This Row],[Data do Caixa Previsto]]))</f>
        <v>9</v>
      </c>
      <c r="N15" s="50">
        <f>IF(TbRegistroEntradas[[#This Row],[Data do Caixa Previsto]]="",0,YEAR(TbRegistroEntradas[[#This Row],[Data do Caixa Previsto]]))</f>
        <v>2017</v>
      </c>
      <c r="O15" s="50" t="str">
        <f ca="1">IF(AND(TbRegistroEntradas[[#This Row],[Data do Caixa Previsto]]&lt;TODAY(),TbRegistroEntradas[[#This Row],[Data do Caixa Realizado]]=""),"Vencida","Não Vencida")</f>
        <v>Não Vencida</v>
      </c>
    </row>
    <row r="16" spans="2:15" ht="20.100000000000001" customHeight="1" x14ac:dyDescent="0.25">
      <c r="B16" s="13">
        <v>43001</v>
      </c>
      <c r="C16" s="13">
        <v>43001</v>
      </c>
      <c r="D16" s="13">
        <v>43001</v>
      </c>
      <c r="E16" t="s">
        <v>26</v>
      </c>
      <c r="F16" t="s">
        <v>34</v>
      </c>
      <c r="G16" t="s">
        <v>73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  <c r="M16" s="50">
        <f>IF(TbRegistroEntradas[[#This Row],[Data do Caixa Previsto]]="",0,MONTH(TbRegistroEntradas[[#This Row],[Data do Caixa Previsto]]))</f>
        <v>9</v>
      </c>
      <c r="N16" s="50">
        <f>IF(TbRegistroEntradas[[#This Row],[Data do Caixa Previsto]]="",0,YEAR(TbRegistroEntradas[[#This Row],[Data do Caixa Previsto]]))</f>
        <v>2017</v>
      </c>
      <c r="O16" s="50" t="str">
        <f ca="1">IF(AND(TbRegistroEntradas[[#This Row],[Data do Caixa Previsto]]&lt;TODAY(),TbRegistroEntradas[[#This Row],[Data do Caixa Realizado]]=""),"Vencida","Não Vencida")</f>
        <v>Não Vencida</v>
      </c>
    </row>
    <row r="17" spans="2:15" ht="20.100000000000001" customHeight="1" x14ac:dyDescent="0.25">
      <c r="B17" s="13">
        <v>43056</v>
      </c>
      <c r="C17" s="13">
        <v>43004</v>
      </c>
      <c r="D17" s="13">
        <v>43056</v>
      </c>
      <c r="E17" t="s">
        <v>26</v>
      </c>
      <c r="F17" t="s">
        <v>35</v>
      </c>
      <c r="G17" t="s">
        <v>74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  <c r="M17" s="50">
        <f>IF(TbRegistroEntradas[[#This Row],[Data do Caixa Previsto]]="",0,MONTH(TbRegistroEntradas[[#This Row],[Data do Caixa Previsto]]))</f>
        <v>11</v>
      </c>
      <c r="N17" s="50">
        <f>IF(TbRegistroEntradas[[#This Row],[Data do Caixa Previsto]]="",0,YEAR(TbRegistroEntradas[[#This Row],[Data do Caixa Previsto]]))</f>
        <v>2017</v>
      </c>
      <c r="O17" s="50" t="str">
        <f ca="1">IF(AND(TbRegistroEntradas[[#This Row],[Data do Caixa Previsto]]&lt;TODAY(),TbRegistroEntradas[[#This Row],[Data do Caixa Realizado]]=""),"Vencida","Não Vencida")</f>
        <v>Não Vencida</v>
      </c>
    </row>
    <row r="18" spans="2:15" x14ac:dyDescent="0.25">
      <c r="B18" s="13">
        <v>43018</v>
      </c>
      <c r="C18" s="13">
        <v>43005</v>
      </c>
      <c r="D18" s="13">
        <v>43018</v>
      </c>
      <c r="E18" t="s">
        <v>26</v>
      </c>
      <c r="F18" t="s">
        <v>33</v>
      </c>
      <c r="G18" t="s">
        <v>75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  <c r="M18" s="50">
        <f>IF(TbRegistroEntradas[[#This Row],[Data do Caixa Previsto]]="",0,MONTH(TbRegistroEntradas[[#This Row],[Data do Caixa Previsto]]))</f>
        <v>10</v>
      </c>
      <c r="N18" s="50">
        <f>IF(TbRegistroEntradas[[#This Row],[Data do Caixa Previsto]]="",0,YEAR(TbRegistroEntradas[[#This Row],[Data do Caixa Previsto]]))</f>
        <v>2017</v>
      </c>
      <c r="O18" s="50" t="str">
        <f ca="1">IF(AND(TbRegistroEntradas[[#This Row],[Data do Caixa Previsto]]&lt;TODAY(),TbRegistroEntradas[[#This Row],[Data do Caixa Realizado]]=""),"Vencida","Não Vencida")</f>
        <v>Não Vencida</v>
      </c>
    </row>
    <row r="19" spans="2:15" x14ac:dyDescent="0.25">
      <c r="B19" s="13">
        <v>43019</v>
      </c>
      <c r="C19" s="13">
        <v>43008</v>
      </c>
      <c r="D19" s="13">
        <v>43019</v>
      </c>
      <c r="E19" t="s">
        <v>26</v>
      </c>
      <c r="F19" t="s">
        <v>34</v>
      </c>
      <c r="G19" t="s">
        <v>76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  <c r="M19" s="50">
        <f>IF(TbRegistroEntradas[[#This Row],[Data do Caixa Previsto]]="",0,MONTH(TbRegistroEntradas[[#This Row],[Data do Caixa Previsto]]))</f>
        <v>10</v>
      </c>
      <c r="N19" s="50">
        <f>IF(TbRegistroEntradas[[#This Row],[Data do Caixa Previsto]]="",0,YEAR(TbRegistroEntradas[[#This Row],[Data do Caixa Previsto]]))</f>
        <v>2017</v>
      </c>
      <c r="O19" s="50" t="str">
        <f ca="1">IF(AND(TbRegistroEntradas[[#This Row],[Data do Caixa Previsto]]&lt;TODAY(),TbRegistroEntradas[[#This Row],[Data do Caixa Realizado]]=""),"Vencida","Não Vencida")</f>
        <v>Não Vencida</v>
      </c>
    </row>
    <row r="20" spans="2:15" x14ac:dyDescent="0.25">
      <c r="B20" s="13">
        <v>43076</v>
      </c>
      <c r="C20" s="13">
        <v>43012</v>
      </c>
      <c r="D20" s="13">
        <v>43025</v>
      </c>
      <c r="E20" t="s">
        <v>26</v>
      </c>
      <c r="F20" t="s">
        <v>36</v>
      </c>
      <c r="G20" t="s">
        <v>77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  <c r="M20" s="50">
        <f>IF(TbRegistroEntradas[[#This Row],[Data do Caixa Previsto]]="",0,MONTH(TbRegistroEntradas[[#This Row],[Data do Caixa Previsto]]))</f>
        <v>10</v>
      </c>
      <c r="N20" s="50">
        <f>IF(TbRegistroEntradas[[#This Row],[Data do Caixa Previsto]]="",0,YEAR(TbRegistroEntradas[[#This Row],[Data do Caixa Previsto]]))</f>
        <v>2017</v>
      </c>
      <c r="O20" s="50" t="str">
        <f ca="1">IF(AND(TbRegistroEntradas[[#This Row],[Data do Caixa Previsto]]&lt;TODAY(),TbRegistroEntradas[[#This Row],[Data do Caixa Realizado]]=""),"Vencida","Não Vencida")</f>
        <v>Não Vencida</v>
      </c>
    </row>
    <row r="21" spans="2:15" x14ac:dyDescent="0.25">
      <c r="B21" s="13">
        <v>43052</v>
      </c>
      <c r="C21" s="13">
        <v>43015</v>
      </c>
      <c r="D21" s="13">
        <v>43052</v>
      </c>
      <c r="E21" t="s">
        <v>26</v>
      </c>
      <c r="F21" t="s">
        <v>32</v>
      </c>
      <c r="G21" t="s">
        <v>78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  <c r="M21" s="50">
        <f>IF(TbRegistroEntradas[[#This Row],[Data do Caixa Previsto]]="",0,MONTH(TbRegistroEntradas[[#This Row],[Data do Caixa Previsto]]))</f>
        <v>11</v>
      </c>
      <c r="N21" s="50">
        <f>IF(TbRegistroEntradas[[#This Row],[Data do Caixa Previsto]]="",0,YEAR(TbRegistroEntradas[[#This Row],[Data do Caixa Previsto]]))</f>
        <v>2017</v>
      </c>
      <c r="O21" s="50" t="str">
        <f ca="1">IF(AND(TbRegistroEntradas[[#This Row],[Data do Caixa Previsto]]&lt;TODAY(),TbRegistroEntradas[[#This Row],[Data do Caixa Realizado]]=""),"Vencida","Não Vencida")</f>
        <v>Não Vencida</v>
      </c>
    </row>
    <row r="22" spans="2:15" x14ac:dyDescent="0.25">
      <c r="B22" s="13">
        <v>43043</v>
      </c>
      <c r="C22" s="13">
        <v>43017</v>
      </c>
      <c r="D22" s="13">
        <v>43043</v>
      </c>
      <c r="E22" t="s">
        <v>26</v>
      </c>
      <c r="F22" t="s">
        <v>33</v>
      </c>
      <c r="G22" t="s">
        <v>79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  <c r="M22" s="50">
        <f>IF(TbRegistroEntradas[[#This Row],[Data do Caixa Previsto]]="",0,MONTH(TbRegistroEntradas[[#This Row],[Data do Caixa Previsto]]))</f>
        <v>11</v>
      </c>
      <c r="N22" s="50">
        <f>IF(TbRegistroEntradas[[#This Row],[Data do Caixa Previsto]]="",0,YEAR(TbRegistroEntradas[[#This Row],[Data do Caixa Previsto]]))</f>
        <v>2017</v>
      </c>
      <c r="O22" s="50" t="str">
        <f ca="1">IF(AND(TbRegistroEntradas[[#This Row],[Data do Caixa Previsto]]&lt;TODAY(),TbRegistroEntradas[[#This Row],[Data do Caixa Realizado]]=""),"Vencida","Não Vencida")</f>
        <v>Não Vencida</v>
      </c>
    </row>
    <row r="23" spans="2:15" x14ac:dyDescent="0.25">
      <c r="B23" s="13">
        <v>43060</v>
      </c>
      <c r="C23" s="13">
        <v>43019</v>
      </c>
      <c r="D23" s="13">
        <v>43060</v>
      </c>
      <c r="E23" t="s">
        <v>26</v>
      </c>
      <c r="F23" t="s">
        <v>35</v>
      </c>
      <c r="G23" t="s">
        <v>80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  <c r="M23" s="50">
        <f>IF(TbRegistroEntradas[[#This Row],[Data do Caixa Previsto]]="",0,MONTH(TbRegistroEntradas[[#This Row],[Data do Caixa Previsto]]))</f>
        <v>11</v>
      </c>
      <c r="N23" s="50">
        <f>IF(TbRegistroEntradas[[#This Row],[Data do Caixa Previsto]]="",0,YEAR(TbRegistroEntradas[[#This Row],[Data do Caixa Previsto]]))</f>
        <v>2017</v>
      </c>
      <c r="O23" s="50" t="str">
        <f ca="1">IF(AND(TbRegistroEntradas[[#This Row],[Data do Caixa Previsto]]&lt;TODAY(),TbRegistroEntradas[[#This Row],[Data do Caixa Realizado]]=""),"Vencida","Não Vencida")</f>
        <v>Não Vencida</v>
      </c>
    </row>
    <row r="24" spans="2:15" x14ac:dyDescent="0.25">
      <c r="B24" s="13" t="s">
        <v>69</v>
      </c>
      <c r="C24" s="13">
        <v>43023</v>
      </c>
      <c r="D24" s="13">
        <v>43045</v>
      </c>
      <c r="E24" t="s">
        <v>26</v>
      </c>
      <c r="F24" t="s">
        <v>35</v>
      </c>
      <c r="G24" t="s">
        <v>81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  <c r="M24" s="50">
        <f>IF(TbRegistroEntradas[[#This Row],[Data do Caixa Previsto]]="",0,MONTH(TbRegistroEntradas[[#This Row],[Data do Caixa Previsto]]))</f>
        <v>11</v>
      </c>
      <c r="N24" s="50">
        <f>IF(TbRegistroEntradas[[#This Row],[Data do Caixa Previsto]]="",0,YEAR(TbRegistroEntradas[[#This Row],[Data do Caixa Previsto]]))</f>
        <v>2017</v>
      </c>
      <c r="O24" s="50" t="str">
        <f ca="1">IF(AND(TbRegistroEntradas[[#This Row],[Data do Caixa Previsto]]&lt;TODAY(),TbRegistroEntradas[[#This Row],[Data do Caixa Realizado]]=""),"Vencida","Não Vencida")</f>
        <v>Vencida</v>
      </c>
    </row>
    <row r="25" spans="2:15" x14ac:dyDescent="0.25">
      <c r="B25" s="13">
        <v>43113</v>
      </c>
      <c r="C25" s="13">
        <v>43026</v>
      </c>
      <c r="D25" s="13">
        <v>43026</v>
      </c>
      <c r="E25" t="s">
        <v>26</v>
      </c>
      <c r="F25" t="s">
        <v>36</v>
      </c>
      <c r="G25" t="s">
        <v>82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  <c r="M25" s="50">
        <f>IF(TbRegistroEntradas[[#This Row],[Data do Caixa Previsto]]="",0,MONTH(TbRegistroEntradas[[#This Row],[Data do Caixa Previsto]]))</f>
        <v>10</v>
      </c>
      <c r="N25" s="50">
        <f>IF(TbRegistroEntradas[[#This Row],[Data do Caixa Previsto]]="",0,YEAR(TbRegistroEntradas[[#This Row],[Data do Caixa Previsto]]))</f>
        <v>2017</v>
      </c>
      <c r="O25" s="50" t="str">
        <f ca="1">IF(AND(TbRegistroEntradas[[#This Row],[Data do Caixa Previsto]]&lt;TODAY(),TbRegistroEntradas[[#This Row],[Data do Caixa Realizado]]=""),"Vencida","Não Vencida")</f>
        <v>Não Vencida</v>
      </c>
    </row>
    <row r="26" spans="2:15" x14ac:dyDescent="0.25">
      <c r="B26" s="13">
        <v>43030</v>
      </c>
      <c r="C26" s="13">
        <v>43030</v>
      </c>
      <c r="D26" s="13">
        <v>43030</v>
      </c>
      <c r="E26" t="s">
        <v>26</v>
      </c>
      <c r="F26" t="s">
        <v>33</v>
      </c>
      <c r="G26" t="s">
        <v>83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  <c r="M26" s="50">
        <f>IF(TbRegistroEntradas[[#This Row],[Data do Caixa Previsto]]="",0,MONTH(TbRegistroEntradas[[#This Row],[Data do Caixa Previsto]]))</f>
        <v>10</v>
      </c>
      <c r="N26" s="50">
        <f>IF(TbRegistroEntradas[[#This Row],[Data do Caixa Previsto]]="",0,YEAR(TbRegistroEntradas[[#This Row],[Data do Caixa Previsto]]))</f>
        <v>2017</v>
      </c>
      <c r="O26" s="50" t="str">
        <f ca="1">IF(AND(TbRegistroEntradas[[#This Row],[Data do Caixa Previsto]]&lt;TODAY(),TbRegistroEntradas[[#This Row],[Data do Caixa Realizado]]=""),"Vencida","Não Vencida")</f>
        <v>Não Vencida</v>
      </c>
    </row>
    <row r="27" spans="2:15" x14ac:dyDescent="0.25">
      <c r="B27" s="13">
        <v>43032</v>
      </c>
      <c r="C27" s="13">
        <v>43032</v>
      </c>
      <c r="D27" s="13">
        <v>43032</v>
      </c>
      <c r="E27" t="s">
        <v>26</v>
      </c>
      <c r="F27" t="s">
        <v>32</v>
      </c>
      <c r="G27" t="s">
        <v>84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  <c r="M27" s="50">
        <f>IF(TbRegistroEntradas[[#This Row],[Data do Caixa Previsto]]="",0,MONTH(TbRegistroEntradas[[#This Row],[Data do Caixa Previsto]]))</f>
        <v>10</v>
      </c>
      <c r="N27" s="50">
        <f>IF(TbRegistroEntradas[[#This Row],[Data do Caixa Previsto]]="",0,YEAR(TbRegistroEntradas[[#This Row],[Data do Caixa Previsto]]))</f>
        <v>2017</v>
      </c>
      <c r="O27" s="50" t="str">
        <f ca="1">IF(AND(TbRegistroEntradas[[#This Row],[Data do Caixa Previsto]]&lt;TODAY(),TbRegistroEntradas[[#This Row],[Data do Caixa Realizado]]=""),"Vencida","Não Vencida")</f>
        <v>Não Vencida</v>
      </c>
    </row>
    <row r="28" spans="2:15" x14ac:dyDescent="0.25">
      <c r="B28" s="13">
        <v>43122</v>
      </c>
      <c r="C28" s="13">
        <v>43032</v>
      </c>
      <c r="D28" s="13">
        <v>43068</v>
      </c>
      <c r="E28" t="s">
        <v>26</v>
      </c>
      <c r="F28" t="s">
        <v>34</v>
      </c>
      <c r="G28" t="s">
        <v>85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  <c r="M28" s="50">
        <f>IF(TbRegistroEntradas[[#This Row],[Data do Caixa Previsto]]="",0,MONTH(TbRegistroEntradas[[#This Row],[Data do Caixa Previsto]]))</f>
        <v>11</v>
      </c>
      <c r="N28" s="50">
        <f>IF(TbRegistroEntradas[[#This Row],[Data do Caixa Previsto]]="",0,YEAR(TbRegistroEntradas[[#This Row],[Data do Caixa Previsto]]))</f>
        <v>2017</v>
      </c>
      <c r="O28" s="50" t="str">
        <f ca="1">IF(AND(TbRegistroEntradas[[#This Row],[Data do Caixa Previsto]]&lt;TODAY(),TbRegistroEntradas[[#This Row],[Data do Caixa Realizado]]=""),"Vencida","Não Vencida")</f>
        <v>Não Vencida</v>
      </c>
    </row>
    <row r="29" spans="2:15" x14ac:dyDescent="0.25">
      <c r="B29" s="13">
        <v>43034</v>
      </c>
      <c r="C29" s="13">
        <v>43034</v>
      </c>
      <c r="D29" s="13">
        <v>43034</v>
      </c>
      <c r="E29" t="s">
        <v>26</v>
      </c>
      <c r="F29" t="s">
        <v>35</v>
      </c>
      <c r="G29" t="s">
        <v>86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  <c r="M29" s="50">
        <f>IF(TbRegistroEntradas[[#This Row],[Data do Caixa Previsto]]="",0,MONTH(TbRegistroEntradas[[#This Row],[Data do Caixa Previsto]]))</f>
        <v>10</v>
      </c>
      <c r="N29" s="50">
        <f>IF(TbRegistroEntradas[[#This Row],[Data do Caixa Previsto]]="",0,YEAR(TbRegistroEntradas[[#This Row],[Data do Caixa Previsto]]))</f>
        <v>2017</v>
      </c>
      <c r="O29" s="50" t="str">
        <f ca="1">IF(AND(TbRegistroEntradas[[#This Row],[Data do Caixa Previsto]]&lt;TODAY(),TbRegistroEntradas[[#This Row],[Data do Caixa Realizado]]=""),"Vencida","Não Vencida")</f>
        <v>Não Vencida</v>
      </c>
    </row>
    <row r="30" spans="2:15" x14ac:dyDescent="0.25">
      <c r="B30" s="13">
        <v>43052</v>
      </c>
      <c r="C30" s="13">
        <v>43038</v>
      </c>
      <c r="D30" s="13">
        <v>43052</v>
      </c>
      <c r="E30" t="s">
        <v>26</v>
      </c>
      <c r="F30" t="s">
        <v>34</v>
      </c>
      <c r="G30" t="s">
        <v>87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  <c r="M30" s="50">
        <f>IF(TbRegistroEntradas[[#This Row],[Data do Caixa Previsto]]="",0,MONTH(TbRegistroEntradas[[#This Row],[Data do Caixa Previsto]]))</f>
        <v>11</v>
      </c>
      <c r="N30" s="50">
        <f>IF(TbRegistroEntradas[[#This Row],[Data do Caixa Previsto]]="",0,YEAR(TbRegistroEntradas[[#This Row],[Data do Caixa Previsto]]))</f>
        <v>2017</v>
      </c>
      <c r="O30" s="50" t="str">
        <f ca="1">IF(AND(TbRegistroEntradas[[#This Row],[Data do Caixa Previsto]]&lt;TODAY(),TbRegistroEntradas[[#This Row],[Data do Caixa Realizado]]=""),"Vencida","Não Vencida")</f>
        <v>Não Vencida</v>
      </c>
    </row>
    <row r="31" spans="2:15" x14ac:dyDescent="0.25">
      <c r="B31" s="13" t="s">
        <v>69</v>
      </c>
      <c r="C31" s="13">
        <v>43040</v>
      </c>
      <c r="D31" s="13">
        <v>43057</v>
      </c>
      <c r="E31" t="s">
        <v>26</v>
      </c>
      <c r="F31" t="s">
        <v>34</v>
      </c>
      <c r="G31" t="s">
        <v>88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  <c r="M31" s="50">
        <f>IF(TbRegistroEntradas[[#This Row],[Data do Caixa Previsto]]="",0,MONTH(TbRegistroEntradas[[#This Row],[Data do Caixa Previsto]]))</f>
        <v>11</v>
      </c>
      <c r="N31" s="50">
        <f>IF(TbRegistroEntradas[[#This Row],[Data do Caixa Previsto]]="",0,YEAR(TbRegistroEntradas[[#This Row],[Data do Caixa Previsto]]))</f>
        <v>2017</v>
      </c>
      <c r="O31" s="50" t="str">
        <f ca="1">IF(AND(TbRegistroEntradas[[#This Row],[Data do Caixa Previsto]]&lt;TODAY(),TbRegistroEntradas[[#This Row],[Data do Caixa Realizado]]=""),"Vencida","Não Vencida")</f>
        <v>Vencida</v>
      </c>
    </row>
    <row r="32" spans="2:15" x14ac:dyDescent="0.25">
      <c r="B32" s="13">
        <v>43117</v>
      </c>
      <c r="C32" s="13">
        <v>43043</v>
      </c>
      <c r="D32" s="13">
        <v>43068</v>
      </c>
      <c r="E32" t="s">
        <v>26</v>
      </c>
      <c r="F32" t="s">
        <v>33</v>
      </c>
      <c r="G32" t="s">
        <v>89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  <c r="M32" s="50">
        <f>IF(TbRegistroEntradas[[#This Row],[Data do Caixa Previsto]]="",0,MONTH(TbRegistroEntradas[[#This Row],[Data do Caixa Previsto]]))</f>
        <v>11</v>
      </c>
      <c r="N32" s="50">
        <f>IF(TbRegistroEntradas[[#This Row],[Data do Caixa Previsto]]="",0,YEAR(TbRegistroEntradas[[#This Row],[Data do Caixa Previsto]]))</f>
        <v>2017</v>
      </c>
      <c r="O32" s="50" t="str">
        <f ca="1">IF(AND(TbRegistroEntradas[[#This Row],[Data do Caixa Previsto]]&lt;TODAY(),TbRegistroEntradas[[#This Row],[Data do Caixa Realizado]]=""),"Vencida","Não Vencida")</f>
        <v>Não Vencida</v>
      </c>
    </row>
    <row r="33" spans="2:15" x14ac:dyDescent="0.25">
      <c r="B33" s="13">
        <v>43047</v>
      </c>
      <c r="C33" s="13">
        <v>43047</v>
      </c>
      <c r="D33" s="13">
        <v>43047</v>
      </c>
      <c r="E33" t="s">
        <v>26</v>
      </c>
      <c r="F33" t="s">
        <v>35</v>
      </c>
      <c r="G33" t="s">
        <v>90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  <c r="M33" s="50">
        <f>IF(TbRegistroEntradas[[#This Row],[Data do Caixa Previsto]]="",0,MONTH(TbRegistroEntradas[[#This Row],[Data do Caixa Previsto]]))</f>
        <v>11</v>
      </c>
      <c r="N33" s="50">
        <f>IF(TbRegistroEntradas[[#This Row],[Data do Caixa Previsto]]="",0,YEAR(TbRegistroEntradas[[#This Row],[Data do Caixa Previsto]]))</f>
        <v>2017</v>
      </c>
      <c r="O33" s="50" t="str">
        <f ca="1">IF(AND(TbRegistroEntradas[[#This Row],[Data do Caixa Previsto]]&lt;TODAY(),TbRegistroEntradas[[#This Row],[Data do Caixa Realizado]]=""),"Vencida","Não Vencida")</f>
        <v>Não Vencida</v>
      </c>
    </row>
    <row r="34" spans="2:15" x14ac:dyDescent="0.25">
      <c r="B34" s="13">
        <v>43077</v>
      </c>
      <c r="C34" s="13">
        <v>43051</v>
      </c>
      <c r="D34" s="13">
        <v>43051</v>
      </c>
      <c r="E34" t="s">
        <v>26</v>
      </c>
      <c r="F34" t="s">
        <v>35</v>
      </c>
      <c r="G34" t="s">
        <v>91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  <c r="M34" s="50">
        <f>IF(TbRegistroEntradas[[#This Row],[Data do Caixa Previsto]]="",0,MONTH(TbRegistroEntradas[[#This Row],[Data do Caixa Previsto]]))</f>
        <v>11</v>
      </c>
      <c r="N34" s="50">
        <f>IF(TbRegistroEntradas[[#This Row],[Data do Caixa Previsto]]="",0,YEAR(TbRegistroEntradas[[#This Row],[Data do Caixa Previsto]]))</f>
        <v>2017</v>
      </c>
      <c r="O34" s="50" t="str">
        <f ca="1">IF(AND(TbRegistroEntradas[[#This Row],[Data do Caixa Previsto]]&lt;TODAY(),TbRegistroEntradas[[#This Row],[Data do Caixa Realizado]]=""),"Vencida","Não Vencida")</f>
        <v>Não Vencida</v>
      </c>
    </row>
    <row r="35" spans="2:15" x14ac:dyDescent="0.25">
      <c r="B35" s="13">
        <v>43101</v>
      </c>
      <c r="C35" s="13">
        <v>43053</v>
      </c>
      <c r="D35" s="13">
        <v>43101</v>
      </c>
      <c r="E35" t="s">
        <v>26</v>
      </c>
      <c r="F35" t="s">
        <v>34</v>
      </c>
      <c r="G35" t="s">
        <v>92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  <c r="M35" s="50">
        <f>IF(TbRegistroEntradas[[#This Row],[Data do Caixa Previsto]]="",0,MONTH(TbRegistroEntradas[[#This Row],[Data do Caixa Previsto]]))</f>
        <v>1</v>
      </c>
      <c r="N35" s="50">
        <f>IF(TbRegistroEntradas[[#This Row],[Data do Caixa Previsto]]="",0,YEAR(TbRegistroEntradas[[#This Row],[Data do Caixa Previsto]]))</f>
        <v>2018</v>
      </c>
      <c r="O35" s="50" t="str">
        <f ca="1">IF(AND(TbRegistroEntradas[[#This Row],[Data do Caixa Previsto]]&lt;TODAY(),TbRegistroEntradas[[#This Row],[Data do Caixa Realizado]]=""),"Vencida","Não Vencida")</f>
        <v>Não Vencida</v>
      </c>
    </row>
    <row r="36" spans="2:15" x14ac:dyDescent="0.25">
      <c r="B36" s="13">
        <v>43055</v>
      </c>
      <c r="C36" s="13">
        <v>43055</v>
      </c>
      <c r="D36" s="13">
        <v>43055</v>
      </c>
      <c r="E36" t="s">
        <v>26</v>
      </c>
      <c r="F36" t="s">
        <v>35</v>
      </c>
      <c r="G36" t="s">
        <v>93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  <c r="M36" s="50">
        <f>IF(TbRegistroEntradas[[#This Row],[Data do Caixa Previsto]]="",0,MONTH(TbRegistroEntradas[[#This Row],[Data do Caixa Previsto]]))</f>
        <v>11</v>
      </c>
      <c r="N36" s="50">
        <f>IF(TbRegistroEntradas[[#This Row],[Data do Caixa Previsto]]="",0,YEAR(TbRegistroEntradas[[#This Row],[Data do Caixa Previsto]]))</f>
        <v>2017</v>
      </c>
      <c r="O36" s="50" t="str">
        <f ca="1">IF(AND(TbRegistroEntradas[[#This Row],[Data do Caixa Previsto]]&lt;TODAY(),TbRegistroEntradas[[#This Row],[Data do Caixa Realizado]]=""),"Vencida","Não Vencida")</f>
        <v>Não Vencida</v>
      </c>
    </row>
    <row r="37" spans="2:15" x14ac:dyDescent="0.25">
      <c r="B37" s="13" t="s">
        <v>69</v>
      </c>
      <c r="C37" s="13">
        <v>43057</v>
      </c>
      <c r="D37" s="13">
        <v>43101</v>
      </c>
      <c r="E37" t="s">
        <v>26</v>
      </c>
      <c r="F37" t="s">
        <v>32</v>
      </c>
      <c r="G37" t="s">
        <v>94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  <c r="M37" s="50">
        <f>IF(TbRegistroEntradas[[#This Row],[Data do Caixa Previsto]]="",0,MONTH(TbRegistroEntradas[[#This Row],[Data do Caixa Previsto]]))</f>
        <v>1</v>
      </c>
      <c r="N37" s="50">
        <f>IF(TbRegistroEntradas[[#This Row],[Data do Caixa Previsto]]="",0,YEAR(TbRegistroEntradas[[#This Row],[Data do Caixa Previsto]]))</f>
        <v>2018</v>
      </c>
      <c r="O37" s="50" t="str">
        <f ca="1">IF(AND(TbRegistroEntradas[[#This Row],[Data do Caixa Previsto]]&lt;TODAY(),TbRegistroEntradas[[#This Row],[Data do Caixa Realizado]]=""),"Vencida","Não Vencida")</f>
        <v>Vencida</v>
      </c>
    </row>
    <row r="38" spans="2:15" x14ac:dyDescent="0.25">
      <c r="B38" s="13">
        <v>43090</v>
      </c>
      <c r="C38" s="13">
        <v>43058</v>
      </c>
      <c r="D38" s="13">
        <v>43090</v>
      </c>
      <c r="E38" t="s">
        <v>26</v>
      </c>
      <c r="F38" t="s">
        <v>36</v>
      </c>
      <c r="G38" t="s">
        <v>95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  <c r="M38" s="50">
        <f>IF(TbRegistroEntradas[[#This Row],[Data do Caixa Previsto]]="",0,MONTH(TbRegistroEntradas[[#This Row],[Data do Caixa Previsto]]))</f>
        <v>12</v>
      </c>
      <c r="N38" s="50">
        <f>IF(TbRegistroEntradas[[#This Row],[Data do Caixa Previsto]]="",0,YEAR(TbRegistroEntradas[[#This Row],[Data do Caixa Previsto]]))</f>
        <v>2017</v>
      </c>
      <c r="O38" s="50" t="str">
        <f ca="1">IF(AND(TbRegistroEntradas[[#This Row],[Data do Caixa Previsto]]&lt;TODAY(),TbRegistroEntradas[[#This Row],[Data do Caixa Realizado]]=""),"Vencida","Não Vencida")</f>
        <v>Não Vencida</v>
      </c>
    </row>
    <row r="39" spans="2:15" x14ac:dyDescent="0.25">
      <c r="B39" s="13">
        <v>43059</v>
      </c>
      <c r="C39" s="13">
        <v>43059</v>
      </c>
      <c r="D39" s="13">
        <v>43059</v>
      </c>
      <c r="E39" t="s">
        <v>26</v>
      </c>
      <c r="F39" t="s">
        <v>35</v>
      </c>
      <c r="G39" t="s">
        <v>96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  <c r="M39" s="50">
        <f>IF(TbRegistroEntradas[[#This Row],[Data do Caixa Previsto]]="",0,MONTH(TbRegistroEntradas[[#This Row],[Data do Caixa Previsto]]))</f>
        <v>11</v>
      </c>
      <c r="N39" s="50">
        <f>IF(TbRegistroEntradas[[#This Row],[Data do Caixa Previsto]]="",0,YEAR(TbRegistroEntradas[[#This Row],[Data do Caixa Previsto]]))</f>
        <v>2017</v>
      </c>
      <c r="O39" s="50" t="str">
        <f ca="1">IF(AND(TbRegistroEntradas[[#This Row],[Data do Caixa Previsto]]&lt;TODAY(),TbRegistroEntradas[[#This Row],[Data do Caixa Realizado]]=""),"Vencida","Não Vencida")</f>
        <v>Não Vencida</v>
      </c>
    </row>
    <row r="40" spans="2:15" x14ac:dyDescent="0.25">
      <c r="B40" s="13">
        <v>43122</v>
      </c>
      <c r="C40" s="13">
        <v>43063</v>
      </c>
      <c r="D40" s="13">
        <v>43122</v>
      </c>
      <c r="E40" t="s">
        <v>26</v>
      </c>
      <c r="F40" t="s">
        <v>33</v>
      </c>
      <c r="G40" t="s">
        <v>97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  <c r="M40" s="50">
        <f>IF(TbRegistroEntradas[[#This Row],[Data do Caixa Previsto]]="",0,MONTH(TbRegistroEntradas[[#This Row],[Data do Caixa Previsto]]))</f>
        <v>1</v>
      </c>
      <c r="N40" s="50">
        <f>IF(TbRegistroEntradas[[#This Row],[Data do Caixa Previsto]]="",0,YEAR(TbRegistroEntradas[[#This Row],[Data do Caixa Previsto]]))</f>
        <v>2018</v>
      </c>
      <c r="O40" s="50" t="str">
        <f ca="1">IF(AND(TbRegistroEntradas[[#This Row],[Data do Caixa Previsto]]&lt;TODAY(),TbRegistroEntradas[[#This Row],[Data do Caixa Realizado]]=""),"Vencida","Não Vencida")</f>
        <v>Não Vencida</v>
      </c>
    </row>
    <row r="41" spans="2:15" x14ac:dyDescent="0.25">
      <c r="B41" s="13">
        <v>43114</v>
      </c>
      <c r="C41" s="13">
        <v>43068</v>
      </c>
      <c r="D41" s="13">
        <v>43068</v>
      </c>
      <c r="E41" t="s">
        <v>26</v>
      </c>
      <c r="F41" t="s">
        <v>32</v>
      </c>
      <c r="G41" t="s">
        <v>98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  <c r="M41" s="50">
        <f>IF(TbRegistroEntradas[[#This Row],[Data do Caixa Previsto]]="",0,MONTH(TbRegistroEntradas[[#This Row],[Data do Caixa Previsto]]))</f>
        <v>11</v>
      </c>
      <c r="N41" s="50">
        <f>IF(TbRegistroEntradas[[#This Row],[Data do Caixa Previsto]]="",0,YEAR(TbRegistroEntradas[[#This Row],[Data do Caixa Previsto]]))</f>
        <v>2017</v>
      </c>
      <c r="O41" s="50" t="str">
        <f ca="1">IF(AND(TbRegistroEntradas[[#This Row],[Data do Caixa Previsto]]&lt;TODAY(),TbRegistroEntradas[[#This Row],[Data do Caixa Realizado]]=""),"Vencida","Não Vencida")</f>
        <v>Não Vencida</v>
      </c>
    </row>
    <row r="42" spans="2:15" x14ac:dyDescent="0.25">
      <c r="B42" s="13">
        <v>43073</v>
      </c>
      <c r="C42" s="13">
        <v>43073</v>
      </c>
      <c r="D42" s="13">
        <v>43073</v>
      </c>
      <c r="E42" t="s">
        <v>26</v>
      </c>
      <c r="F42" t="s">
        <v>33</v>
      </c>
      <c r="G42" t="s">
        <v>99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  <c r="M42" s="50">
        <f>IF(TbRegistroEntradas[[#This Row],[Data do Caixa Previsto]]="",0,MONTH(TbRegistroEntradas[[#This Row],[Data do Caixa Previsto]]))</f>
        <v>12</v>
      </c>
      <c r="N42" s="50">
        <f>IF(TbRegistroEntradas[[#This Row],[Data do Caixa Previsto]]="",0,YEAR(TbRegistroEntradas[[#This Row],[Data do Caixa Previsto]]))</f>
        <v>2017</v>
      </c>
      <c r="O42" s="50" t="str">
        <f ca="1">IF(AND(TbRegistroEntradas[[#This Row],[Data do Caixa Previsto]]&lt;TODAY(),TbRegistroEntradas[[#This Row],[Data do Caixa Realizado]]=""),"Vencida","Não Vencida")</f>
        <v>Não Vencida</v>
      </c>
    </row>
    <row r="43" spans="2:15" x14ac:dyDescent="0.25">
      <c r="B43" s="13">
        <v>43073</v>
      </c>
      <c r="C43" s="13">
        <v>43073</v>
      </c>
      <c r="D43" s="13">
        <v>43073</v>
      </c>
      <c r="E43" t="s">
        <v>26</v>
      </c>
      <c r="F43" t="s">
        <v>32</v>
      </c>
      <c r="G43" t="s">
        <v>100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  <c r="M43" s="50">
        <f>IF(TbRegistroEntradas[[#This Row],[Data do Caixa Previsto]]="",0,MONTH(TbRegistroEntradas[[#This Row],[Data do Caixa Previsto]]))</f>
        <v>12</v>
      </c>
      <c r="N43" s="50">
        <f>IF(TbRegistroEntradas[[#This Row],[Data do Caixa Previsto]]="",0,YEAR(TbRegistroEntradas[[#This Row],[Data do Caixa Previsto]]))</f>
        <v>2017</v>
      </c>
      <c r="O43" s="50" t="str">
        <f ca="1">IF(AND(TbRegistroEntradas[[#This Row],[Data do Caixa Previsto]]&lt;TODAY(),TbRegistroEntradas[[#This Row],[Data do Caixa Realizado]]=""),"Vencida","Não Vencida")</f>
        <v>Não Vencida</v>
      </c>
    </row>
    <row r="44" spans="2:15" x14ac:dyDescent="0.25">
      <c r="B44" s="13">
        <v>43103</v>
      </c>
      <c r="C44" s="13">
        <v>43080</v>
      </c>
      <c r="D44" s="13">
        <v>43080</v>
      </c>
      <c r="E44" t="s">
        <v>26</v>
      </c>
      <c r="F44" t="s">
        <v>32</v>
      </c>
      <c r="G44" t="s">
        <v>101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  <c r="M44" s="50">
        <f>IF(TbRegistroEntradas[[#This Row],[Data do Caixa Previsto]]="",0,MONTH(TbRegistroEntradas[[#This Row],[Data do Caixa Previsto]]))</f>
        <v>12</v>
      </c>
      <c r="N44" s="50">
        <f>IF(TbRegistroEntradas[[#This Row],[Data do Caixa Previsto]]="",0,YEAR(TbRegistroEntradas[[#This Row],[Data do Caixa Previsto]]))</f>
        <v>2017</v>
      </c>
      <c r="O44" s="50" t="str">
        <f ca="1">IF(AND(TbRegistroEntradas[[#This Row],[Data do Caixa Previsto]]&lt;TODAY(),TbRegistroEntradas[[#This Row],[Data do Caixa Realizado]]=""),"Vencida","Não Vencida")</f>
        <v>Não Vencida</v>
      </c>
    </row>
    <row r="45" spans="2:15" x14ac:dyDescent="0.25">
      <c r="B45" s="13">
        <v>43103</v>
      </c>
      <c r="C45" s="13">
        <v>43082</v>
      </c>
      <c r="D45" s="13">
        <v>43103</v>
      </c>
      <c r="E45" t="s">
        <v>26</v>
      </c>
      <c r="F45" t="s">
        <v>32</v>
      </c>
      <c r="G45" t="s">
        <v>102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  <c r="M45" s="50">
        <f>IF(TbRegistroEntradas[[#This Row],[Data do Caixa Previsto]]="",0,MONTH(TbRegistroEntradas[[#This Row],[Data do Caixa Previsto]]))</f>
        <v>1</v>
      </c>
      <c r="N45" s="50">
        <f>IF(TbRegistroEntradas[[#This Row],[Data do Caixa Previsto]]="",0,YEAR(TbRegistroEntradas[[#This Row],[Data do Caixa Previsto]]))</f>
        <v>2018</v>
      </c>
      <c r="O45" s="50" t="str">
        <f ca="1">IF(AND(TbRegistroEntradas[[#This Row],[Data do Caixa Previsto]]&lt;TODAY(),TbRegistroEntradas[[#This Row],[Data do Caixa Realizado]]=""),"Vencida","Não Vencida")</f>
        <v>Não Vencida</v>
      </c>
    </row>
    <row r="46" spans="2:15" x14ac:dyDescent="0.25">
      <c r="B46" s="13">
        <v>43086</v>
      </c>
      <c r="C46" s="13">
        <v>43083</v>
      </c>
      <c r="D46" s="13">
        <v>43086</v>
      </c>
      <c r="E46" t="s">
        <v>26</v>
      </c>
      <c r="F46" t="s">
        <v>35</v>
      </c>
      <c r="G46" t="s">
        <v>103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  <c r="M46" s="50">
        <f>IF(TbRegistroEntradas[[#This Row],[Data do Caixa Previsto]]="",0,MONTH(TbRegistroEntradas[[#This Row],[Data do Caixa Previsto]]))</f>
        <v>12</v>
      </c>
      <c r="N46" s="50">
        <f>IF(TbRegistroEntradas[[#This Row],[Data do Caixa Previsto]]="",0,YEAR(TbRegistroEntradas[[#This Row],[Data do Caixa Previsto]]))</f>
        <v>2017</v>
      </c>
      <c r="O46" s="50" t="str">
        <f ca="1">IF(AND(TbRegistroEntradas[[#This Row],[Data do Caixa Previsto]]&lt;TODAY(),TbRegistroEntradas[[#This Row],[Data do Caixa Realizado]]=""),"Vencida","Não Vencida")</f>
        <v>Não Vencida</v>
      </c>
    </row>
    <row r="47" spans="2:15" x14ac:dyDescent="0.25">
      <c r="B47" s="13">
        <v>43122</v>
      </c>
      <c r="C47" s="13">
        <v>43085</v>
      </c>
      <c r="D47" s="13">
        <v>43122</v>
      </c>
      <c r="E47" t="s">
        <v>26</v>
      </c>
      <c r="F47" t="s">
        <v>33</v>
      </c>
      <c r="G47" t="s">
        <v>104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  <c r="M47" s="50">
        <f>IF(TbRegistroEntradas[[#This Row],[Data do Caixa Previsto]]="",0,MONTH(TbRegistroEntradas[[#This Row],[Data do Caixa Previsto]]))</f>
        <v>1</v>
      </c>
      <c r="N47" s="50">
        <f>IF(TbRegistroEntradas[[#This Row],[Data do Caixa Previsto]]="",0,YEAR(TbRegistroEntradas[[#This Row],[Data do Caixa Previsto]]))</f>
        <v>2018</v>
      </c>
      <c r="O47" s="50" t="str">
        <f ca="1">IF(AND(TbRegistroEntradas[[#This Row],[Data do Caixa Previsto]]&lt;TODAY(),TbRegistroEntradas[[#This Row],[Data do Caixa Realizado]]=""),"Vencida","Não Vencida")</f>
        <v>Não Vencida</v>
      </c>
    </row>
    <row r="48" spans="2:15" x14ac:dyDescent="0.25">
      <c r="B48" s="13">
        <v>43123</v>
      </c>
      <c r="C48" s="13">
        <v>43086</v>
      </c>
      <c r="D48" s="13">
        <v>43123</v>
      </c>
      <c r="E48" t="s">
        <v>26</v>
      </c>
      <c r="F48" t="s">
        <v>33</v>
      </c>
      <c r="G48" t="s">
        <v>105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  <c r="M48" s="50">
        <f>IF(TbRegistroEntradas[[#This Row],[Data do Caixa Previsto]]="",0,MONTH(TbRegistroEntradas[[#This Row],[Data do Caixa Previsto]]))</f>
        <v>1</v>
      </c>
      <c r="N48" s="50">
        <f>IF(TbRegistroEntradas[[#This Row],[Data do Caixa Previsto]]="",0,YEAR(TbRegistroEntradas[[#This Row],[Data do Caixa Previsto]]))</f>
        <v>2018</v>
      </c>
      <c r="O48" s="50" t="str">
        <f ca="1">IF(AND(TbRegistroEntradas[[#This Row],[Data do Caixa Previsto]]&lt;TODAY(),TbRegistroEntradas[[#This Row],[Data do Caixa Realizado]]=""),"Vencida","Não Vencida")</f>
        <v>Não Vencida</v>
      </c>
    </row>
    <row r="49" spans="2:15" x14ac:dyDescent="0.25">
      <c r="B49" s="13">
        <v>43125</v>
      </c>
      <c r="C49" s="13">
        <v>43088</v>
      </c>
      <c r="D49" s="13">
        <v>43125</v>
      </c>
      <c r="E49" t="s">
        <v>26</v>
      </c>
      <c r="F49" t="s">
        <v>35</v>
      </c>
      <c r="G49" t="s">
        <v>106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  <c r="M49" s="50">
        <f>IF(TbRegistroEntradas[[#This Row],[Data do Caixa Previsto]]="",0,MONTH(TbRegistroEntradas[[#This Row],[Data do Caixa Previsto]]))</f>
        <v>1</v>
      </c>
      <c r="N49" s="50">
        <f>IF(TbRegistroEntradas[[#This Row],[Data do Caixa Previsto]]="",0,YEAR(TbRegistroEntradas[[#This Row],[Data do Caixa Previsto]]))</f>
        <v>2018</v>
      </c>
      <c r="O49" s="50" t="str">
        <f ca="1">IF(AND(TbRegistroEntradas[[#This Row],[Data do Caixa Previsto]]&lt;TODAY(),TbRegistroEntradas[[#This Row],[Data do Caixa Realizado]]=""),"Vencida","Não Vencida")</f>
        <v>Não Vencida</v>
      </c>
    </row>
    <row r="50" spans="2:15" x14ac:dyDescent="0.25">
      <c r="B50" s="13">
        <v>43089</v>
      </c>
      <c r="C50" s="13">
        <v>43089</v>
      </c>
      <c r="D50" s="13">
        <v>43089</v>
      </c>
      <c r="E50" t="s">
        <v>26</v>
      </c>
      <c r="F50" t="s">
        <v>36</v>
      </c>
      <c r="G50" t="s">
        <v>107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  <c r="M50" s="50">
        <f>IF(TbRegistroEntradas[[#This Row],[Data do Caixa Previsto]]="",0,MONTH(TbRegistroEntradas[[#This Row],[Data do Caixa Previsto]]))</f>
        <v>12</v>
      </c>
      <c r="N50" s="50">
        <f>IF(TbRegistroEntradas[[#This Row],[Data do Caixa Previsto]]="",0,YEAR(TbRegistroEntradas[[#This Row],[Data do Caixa Previsto]]))</f>
        <v>2017</v>
      </c>
      <c r="O50" s="50" t="str">
        <f ca="1">IF(AND(TbRegistroEntradas[[#This Row],[Data do Caixa Previsto]]&lt;TODAY(),TbRegistroEntradas[[#This Row],[Data do Caixa Realizado]]=""),"Vencida","Não Vencida")</f>
        <v>Não Vencida</v>
      </c>
    </row>
    <row r="51" spans="2:15" x14ac:dyDescent="0.25">
      <c r="B51" s="13">
        <v>43133</v>
      </c>
      <c r="C51" s="13">
        <v>43091</v>
      </c>
      <c r="D51" s="13">
        <v>43133</v>
      </c>
      <c r="E51" t="s">
        <v>26</v>
      </c>
      <c r="F51" t="s">
        <v>33</v>
      </c>
      <c r="G51" t="s">
        <v>108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  <c r="M51" s="50">
        <f>IF(TbRegistroEntradas[[#This Row],[Data do Caixa Previsto]]="",0,MONTH(TbRegistroEntradas[[#This Row],[Data do Caixa Previsto]]))</f>
        <v>2</v>
      </c>
      <c r="N51" s="50">
        <f>IF(TbRegistroEntradas[[#This Row],[Data do Caixa Previsto]]="",0,YEAR(TbRegistroEntradas[[#This Row],[Data do Caixa Previsto]]))</f>
        <v>2018</v>
      </c>
      <c r="O51" s="50" t="str">
        <f ca="1">IF(AND(TbRegistroEntradas[[#This Row],[Data do Caixa Previsto]]&lt;TODAY(),TbRegistroEntradas[[#This Row],[Data do Caixa Realizado]]=""),"Vencida","Não Vencida")</f>
        <v>Não Vencida</v>
      </c>
    </row>
    <row r="52" spans="2:15" x14ac:dyDescent="0.25">
      <c r="B52" s="13">
        <v>43182</v>
      </c>
      <c r="C52" s="13">
        <v>43095</v>
      </c>
      <c r="D52" s="13">
        <v>43095</v>
      </c>
      <c r="E52" t="s">
        <v>26</v>
      </c>
      <c r="F52" t="s">
        <v>35</v>
      </c>
      <c r="G52" t="s">
        <v>109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  <c r="M52" s="50">
        <f>IF(TbRegistroEntradas[[#This Row],[Data do Caixa Previsto]]="",0,MONTH(TbRegistroEntradas[[#This Row],[Data do Caixa Previsto]]))</f>
        <v>12</v>
      </c>
      <c r="N52" s="50">
        <f>IF(TbRegistroEntradas[[#This Row],[Data do Caixa Previsto]]="",0,YEAR(TbRegistroEntradas[[#This Row],[Data do Caixa Previsto]]))</f>
        <v>2017</v>
      </c>
      <c r="O52" s="50" t="str">
        <f ca="1">IF(AND(TbRegistroEntradas[[#This Row],[Data do Caixa Previsto]]&lt;TODAY(),TbRegistroEntradas[[#This Row],[Data do Caixa Realizado]]=""),"Vencida","Não Vencida")</f>
        <v>Não Vencida</v>
      </c>
    </row>
    <row r="53" spans="2:15" x14ac:dyDescent="0.25">
      <c r="B53" s="13">
        <v>43101</v>
      </c>
      <c r="C53" s="13">
        <v>43099</v>
      </c>
      <c r="D53" s="13">
        <v>43101</v>
      </c>
      <c r="E53" t="s">
        <v>26</v>
      </c>
      <c r="F53" t="s">
        <v>35</v>
      </c>
      <c r="G53" t="s">
        <v>110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  <c r="M53" s="50">
        <f>IF(TbRegistroEntradas[[#This Row],[Data do Caixa Previsto]]="",0,MONTH(TbRegistroEntradas[[#This Row],[Data do Caixa Previsto]]))</f>
        <v>1</v>
      </c>
      <c r="N53" s="50">
        <f>IF(TbRegistroEntradas[[#This Row],[Data do Caixa Previsto]]="",0,YEAR(TbRegistroEntradas[[#This Row],[Data do Caixa Previsto]]))</f>
        <v>2018</v>
      </c>
      <c r="O53" s="50" t="str">
        <f ca="1">IF(AND(TbRegistroEntradas[[#This Row],[Data do Caixa Previsto]]&lt;TODAY(),TbRegistroEntradas[[#This Row],[Data do Caixa Realizado]]=""),"Vencida","Não Vencida")</f>
        <v>Não Vencida</v>
      </c>
    </row>
    <row r="54" spans="2:15" x14ac:dyDescent="0.25">
      <c r="B54" s="13">
        <v>43144</v>
      </c>
      <c r="C54" s="13">
        <v>43100</v>
      </c>
      <c r="D54" s="13">
        <v>43144</v>
      </c>
      <c r="E54" t="s">
        <v>26</v>
      </c>
      <c r="F54" t="s">
        <v>36</v>
      </c>
      <c r="G54" t="s">
        <v>111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  <c r="M54" s="50">
        <f>IF(TbRegistroEntradas[[#This Row],[Data do Caixa Previsto]]="",0,MONTH(TbRegistroEntradas[[#This Row],[Data do Caixa Previsto]]))</f>
        <v>2</v>
      </c>
      <c r="N54" s="50">
        <f>IF(TbRegistroEntradas[[#This Row],[Data do Caixa Previsto]]="",0,YEAR(TbRegistroEntradas[[#This Row],[Data do Caixa Previsto]]))</f>
        <v>2018</v>
      </c>
      <c r="O54" s="50" t="str">
        <f ca="1">IF(AND(TbRegistroEntradas[[#This Row],[Data do Caixa Previsto]]&lt;TODAY(),TbRegistroEntradas[[#This Row],[Data do Caixa Realizado]]=""),"Vencida","Não Vencida")</f>
        <v>Não Vencida</v>
      </c>
    </row>
    <row r="55" spans="2:15" x14ac:dyDescent="0.25">
      <c r="B55" s="13" t="s">
        <v>69</v>
      </c>
      <c r="C55" s="13">
        <v>43103</v>
      </c>
      <c r="D55" s="13">
        <v>43159</v>
      </c>
      <c r="E55" t="s">
        <v>26</v>
      </c>
      <c r="F55" t="s">
        <v>35</v>
      </c>
      <c r="G55" t="s">
        <v>112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  <c r="M55" s="50">
        <f>IF(TbRegistroEntradas[[#This Row],[Data do Caixa Previsto]]="",0,MONTH(TbRegistroEntradas[[#This Row],[Data do Caixa Previsto]]))</f>
        <v>2</v>
      </c>
      <c r="N55" s="50">
        <f>IF(TbRegistroEntradas[[#This Row],[Data do Caixa Previsto]]="",0,YEAR(TbRegistroEntradas[[#This Row],[Data do Caixa Previsto]]))</f>
        <v>2018</v>
      </c>
      <c r="O55" s="50" t="str">
        <f ca="1">IF(AND(TbRegistroEntradas[[#This Row],[Data do Caixa Previsto]]&lt;TODAY(),TbRegistroEntradas[[#This Row],[Data do Caixa Realizado]]=""),"Vencida","Não Vencida")</f>
        <v>Vencida</v>
      </c>
    </row>
    <row r="56" spans="2:15" x14ac:dyDescent="0.25">
      <c r="B56" s="13">
        <v>43155</v>
      </c>
      <c r="C56" s="13">
        <v>43109</v>
      </c>
      <c r="D56" s="13">
        <v>43113</v>
      </c>
      <c r="E56" t="s">
        <v>26</v>
      </c>
      <c r="F56" t="s">
        <v>35</v>
      </c>
      <c r="G56" t="s">
        <v>113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  <c r="M56" s="50">
        <f>IF(TbRegistroEntradas[[#This Row],[Data do Caixa Previsto]]="",0,MONTH(TbRegistroEntradas[[#This Row],[Data do Caixa Previsto]]))</f>
        <v>1</v>
      </c>
      <c r="N56" s="50">
        <f>IF(TbRegistroEntradas[[#This Row],[Data do Caixa Previsto]]="",0,YEAR(TbRegistroEntradas[[#This Row],[Data do Caixa Previsto]]))</f>
        <v>2018</v>
      </c>
      <c r="O56" s="50" t="str">
        <f ca="1">IF(AND(TbRegistroEntradas[[#This Row],[Data do Caixa Previsto]]&lt;TODAY(),TbRegistroEntradas[[#This Row],[Data do Caixa Realizado]]=""),"Vencida","Não Vencida")</f>
        <v>Não Vencida</v>
      </c>
    </row>
    <row r="57" spans="2:15" x14ac:dyDescent="0.25">
      <c r="B57" s="13">
        <v>43117</v>
      </c>
      <c r="C57" s="13">
        <v>43117</v>
      </c>
      <c r="D57" s="13">
        <v>43117</v>
      </c>
      <c r="E57" t="s">
        <v>26</v>
      </c>
      <c r="F57" t="s">
        <v>35</v>
      </c>
      <c r="G57" t="s">
        <v>114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  <c r="M57" s="50">
        <f>IF(TbRegistroEntradas[[#This Row],[Data do Caixa Previsto]]="",0,MONTH(TbRegistroEntradas[[#This Row],[Data do Caixa Previsto]]))</f>
        <v>1</v>
      </c>
      <c r="N57" s="50">
        <f>IF(TbRegistroEntradas[[#This Row],[Data do Caixa Previsto]]="",0,YEAR(TbRegistroEntradas[[#This Row],[Data do Caixa Previsto]]))</f>
        <v>2018</v>
      </c>
      <c r="O57" s="50" t="str">
        <f ca="1">IF(AND(TbRegistroEntradas[[#This Row],[Data do Caixa Previsto]]&lt;TODAY(),TbRegistroEntradas[[#This Row],[Data do Caixa Realizado]]=""),"Vencida","Não Vencida")</f>
        <v>Não Vencida</v>
      </c>
    </row>
    <row r="58" spans="2:15" x14ac:dyDescent="0.25">
      <c r="B58" s="13">
        <v>43166</v>
      </c>
      <c r="C58" s="13">
        <v>43121</v>
      </c>
      <c r="D58" s="13">
        <v>43166</v>
      </c>
      <c r="E58" t="s">
        <v>26</v>
      </c>
      <c r="F58" t="s">
        <v>36</v>
      </c>
      <c r="G58" t="s">
        <v>115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  <c r="M58" s="50">
        <f>IF(TbRegistroEntradas[[#This Row],[Data do Caixa Previsto]]="",0,MONTH(TbRegistroEntradas[[#This Row],[Data do Caixa Previsto]]))</f>
        <v>3</v>
      </c>
      <c r="N58" s="50">
        <f>IF(TbRegistroEntradas[[#This Row],[Data do Caixa Previsto]]="",0,YEAR(TbRegistroEntradas[[#This Row],[Data do Caixa Previsto]]))</f>
        <v>2018</v>
      </c>
      <c r="O58" s="50" t="str">
        <f ca="1">IF(AND(TbRegistroEntradas[[#This Row],[Data do Caixa Previsto]]&lt;TODAY(),TbRegistroEntradas[[#This Row],[Data do Caixa Realizado]]=""),"Vencida","Não Vencida")</f>
        <v>Não Vencida</v>
      </c>
    </row>
    <row r="59" spans="2:15" x14ac:dyDescent="0.25">
      <c r="B59" s="13">
        <v>43145</v>
      </c>
      <c r="C59" s="13">
        <v>43122</v>
      </c>
      <c r="D59" s="13">
        <v>43145</v>
      </c>
      <c r="E59" t="s">
        <v>26</v>
      </c>
      <c r="F59" t="s">
        <v>36</v>
      </c>
      <c r="G59" t="s">
        <v>116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  <c r="M59" s="50">
        <f>IF(TbRegistroEntradas[[#This Row],[Data do Caixa Previsto]]="",0,MONTH(TbRegistroEntradas[[#This Row],[Data do Caixa Previsto]]))</f>
        <v>2</v>
      </c>
      <c r="N59" s="50">
        <f>IF(TbRegistroEntradas[[#This Row],[Data do Caixa Previsto]]="",0,YEAR(TbRegistroEntradas[[#This Row],[Data do Caixa Previsto]]))</f>
        <v>2018</v>
      </c>
      <c r="O59" s="50" t="str">
        <f ca="1">IF(AND(TbRegistroEntradas[[#This Row],[Data do Caixa Previsto]]&lt;TODAY(),TbRegistroEntradas[[#This Row],[Data do Caixa Realizado]]=""),"Vencida","Não Vencida")</f>
        <v>Não Vencida</v>
      </c>
    </row>
    <row r="60" spans="2:15" x14ac:dyDescent="0.25">
      <c r="B60" s="13">
        <v>43142</v>
      </c>
      <c r="C60" s="13">
        <v>43124</v>
      </c>
      <c r="D60" s="13">
        <v>43142</v>
      </c>
      <c r="E60" t="s">
        <v>26</v>
      </c>
      <c r="F60" t="s">
        <v>33</v>
      </c>
      <c r="G60" t="s">
        <v>117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  <c r="M60" s="50">
        <f>IF(TbRegistroEntradas[[#This Row],[Data do Caixa Previsto]]="",0,MONTH(TbRegistroEntradas[[#This Row],[Data do Caixa Previsto]]))</f>
        <v>2</v>
      </c>
      <c r="N60" s="50">
        <f>IF(TbRegistroEntradas[[#This Row],[Data do Caixa Previsto]]="",0,YEAR(TbRegistroEntradas[[#This Row],[Data do Caixa Previsto]]))</f>
        <v>2018</v>
      </c>
      <c r="O60" s="50" t="str">
        <f ca="1">IF(AND(TbRegistroEntradas[[#This Row],[Data do Caixa Previsto]]&lt;TODAY(),TbRegistroEntradas[[#This Row],[Data do Caixa Realizado]]=""),"Vencida","Não Vencida")</f>
        <v>Não Vencida</v>
      </c>
    </row>
    <row r="61" spans="2:15" x14ac:dyDescent="0.25">
      <c r="B61" s="13">
        <v>43206</v>
      </c>
      <c r="C61" s="13">
        <v>43125</v>
      </c>
      <c r="D61" s="13">
        <v>43129</v>
      </c>
      <c r="E61" t="s">
        <v>26</v>
      </c>
      <c r="F61" t="s">
        <v>32</v>
      </c>
      <c r="G61" t="s">
        <v>118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  <c r="M61" s="50">
        <f>IF(TbRegistroEntradas[[#This Row],[Data do Caixa Previsto]]="",0,MONTH(TbRegistroEntradas[[#This Row],[Data do Caixa Previsto]]))</f>
        <v>1</v>
      </c>
      <c r="N61" s="50">
        <f>IF(TbRegistroEntradas[[#This Row],[Data do Caixa Previsto]]="",0,YEAR(TbRegistroEntradas[[#This Row],[Data do Caixa Previsto]]))</f>
        <v>2018</v>
      </c>
      <c r="O61" s="50" t="str">
        <f ca="1">IF(AND(TbRegistroEntradas[[#This Row],[Data do Caixa Previsto]]&lt;TODAY(),TbRegistroEntradas[[#This Row],[Data do Caixa Realizado]]=""),"Vencida","Não Vencida")</f>
        <v>Não Vencida</v>
      </c>
    </row>
    <row r="62" spans="2:15" x14ac:dyDescent="0.25">
      <c r="B62" s="13">
        <v>43137</v>
      </c>
      <c r="C62" s="13">
        <v>43128</v>
      </c>
      <c r="D62" s="13">
        <v>43128</v>
      </c>
      <c r="E62" t="s">
        <v>26</v>
      </c>
      <c r="F62" t="s">
        <v>35</v>
      </c>
      <c r="G62" t="s">
        <v>119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  <c r="M62" s="50">
        <f>IF(TbRegistroEntradas[[#This Row],[Data do Caixa Previsto]]="",0,MONTH(TbRegistroEntradas[[#This Row],[Data do Caixa Previsto]]))</f>
        <v>1</v>
      </c>
      <c r="N62" s="50">
        <f>IF(TbRegistroEntradas[[#This Row],[Data do Caixa Previsto]]="",0,YEAR(TbRegistroEntradas[[#This Row],[Data do Caixa Previsto]]))</f>
        <v>2018</v>
      </c>
      <c r="O62" s="50" t="str">
        <f ca="1">IF(AND(TbRegistroEntradas[[#This Row],[Data do Caixa Previsto]]&lt;TODAY(),TbRegistroEntradas[[#This Row],[Data do Caixa Realizado]]=""),"Vencida","Não Vencida")</f>
        <v>Não Vencida</v>
      </c>
    </row>
    <row r="63" spans="2:15" x14ac:dyDescent="0.25">
      <c r="B63" s="13">
        <v>43161</v>
      </c>
      <c r="C63" s="13">
        <v>43129</v>
      </c>
      <c r="D63" s="13">
        <v>43161</v>
      </c>
      <c r="E63" t="s">
        <v>26</v>
      </c>
      <c r="F63" t="s">
        <v>35</v>
      </c>
      <c r="G63" t="s">
        <v>120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  <c r="M63" s="50">
        <f>IF(TbRegistroEntradas[[#This Row],[Data do Caixa Previsto]]="",0,MONTH(TbRegistroEntradas[[#This Row],[Data do Caixa Previsto]]))</f>
        <v>3</v>
      </c>
      <c r="N63" s="50">
        <f>IF(TbRegistroEntradas[[#This Row],[Data do Caixa Previsto]]="",0,YEAR(TbRegistroEntradas[[#This Row],[Data do Caixa Previsto]]))</f>
        <v>2018</v>
      </c>
      <c r="O63" s="50" t="str">
        <f ca="1">IF(AND(TbRegistroEntradas[[#This Row],[Data do Caixa Previsto]]&lt;TODAY(),TbRegistroEntradas[[#This Row],[Data do Caixa Realizado]]=""),"Vencida","Não Vencida")</f>
        <v>Não Vencida</v>
      </c>
    </row>
    <row r="64" spans="2:15" x14ac:dyDescent="0.25">
      <c r="B64" s="13">
        <v>43178</v>
      </c>
      <c r="C64" s="13">
        <v>43130</v>
      </c>
      <c r="D64" s="13">
        <v>43178</v>
      </c>
      <c r="E64" t="s">
        <v>26</v>
      </c>
      <c r="F64" t="s">
        <v>35</v>
      </c>
      <c r="G64" t="s">
        <v>121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  <c r="M64" s="50">
        <f>IF(TbRegistroEntradas[[#This Row],[Data do Caixa Previsto]]="",0,MONTH(TbRegistroEntradas[[#This Row],[Data do Caixa Previsto]]))</f>
        <v>3</v>
      </c>
      <c r="N64" s="50">
        <f>IF(TbRegistroEntradas[[#This Row],[Data do Caixa Previsto]]="",0,YEAR(TbRegistroEntradas[[#This Row],[Data do Caixa Previsto]]))</f>
        <v>2018</v>
      </c>
      <c r="O64" s="50" t="str">
        <f ca="1">IF(AND(TbRegistroEntradas[[#This Row],[Data do Caixa Previsto]]&lt;TODAY(),TbRegistroEntradas[[#This Row],[Data do Caixa Realizado]]=""),"Vencida","Não Vencida")</f>
        <v>Não Vencida</v>
      </c>
    </row>
    <row r="65" spans="2:15" x14ac:dyDescent="0.25">
      <c r="B65" s="13">
        <v>43138</v>
      </c>
      <c r="C65" s="13">
        <v>43133</v>
      </c>
      <c r="D65" s="13">
        <v>43138</v>
      </c>
      <c r="E65" t="s">
        <v>26</v>
      </c>
      <c r="F65" t="s">
        <v>34</v>
      </c>
      <c r="G65" t="s">
        <v>122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  <c r="M65" s="50">
        <f>IF(TbRegistroEntradas[[#This Row],[Data do Caixa Previsto]]="",0,MONTH(TbRegistroEntradas[[#This Row],[Data do Caixa Previsto]]))</f>
        <v>2</v>
      </c>
      <c r="N65" s="50">
        <f>IF(TbRegistroEntradas[[#This Row],[Data do Caixa Previsto]]="",0,YEAR(TbRegistroEntradas[[#This Row],[Data do Caixa Previsto]]))</f>
        <v>2018</v>
      </c>
      <c r="O65" s="50" t="str">
        <f ca="1">IF(AND(TbRegistroEntradas[[#This Row],[Data do Caixa Previsto]]&lt;TODAY(),TbRegistroEntradas[[#This Row],[Data do Caixa Realizado]]=""),"Vencida","Não Vencida")</f>
        <v>Não Vencida</v>
      </c>
    </row>
    <row r="66" spans="2:15" x14ac:dyDescent="0.25">
      <c r="B66" s="13" t="s">
        <v>69</v>
      </c>
      <c r="C66" s="13">
        <v>43136</v>
      </c>
      <c r="D66" s="13">
        <v>43190</v>
      </c>
      <c r="E66" t="s">
        <v>26</v>
      </c>
      <c r="F66" t="s">
        <v>36</v>
      </c>
      <c r="G66" t="s">
        <v>123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  <c r="M66" s="50">
        <f>IF(TbRegistroEntradas[[#This Row],[Data do Caixa Previsto]]="",0,MONTH(TbRegistroEntradas[[#This Row],[Data do Caixa Previsto]]))</f>
        <v>3</v>
      </c>
      <c r="N66" s="50">
        <f>IF(TbRegistroEntradas[[#This Row],[Data do Caixa Previsto]]="",0,YEAR(TbRegistroEntradas[[#This Row],[Data do Caixa Previsto]]))</f>
        <v>2018</v>
      </c>
      <c r="O66" s="50" t="str">
        <f ca="1">IF(AND(TbRegistroEntradas[[#This Row],[Data do Caixa Previsto]]&lt;TODAY(),TbRegistroEntradas[[#This Row],[Data do Caixa Realizado]]=""),"Vencida","Não Vencida")</f>
        <v>Vencida</v>
      </c>
    </row>
    <row r="67" spans="2:15" x14ac:dyDescent="0.25">
      <c r="B67" s="13">
        <v>43145</v>
      </c>
      <c r="C67" s="13">
        <v>43140</v>
      </c>
      <c r="D67" s="13">
        <v>43145</v>
      </c>
      <c r="E67" t="s">
        <v>26</v>
      </c>
      <c r="F67" t="s">
        <v>35</v>
      </c>
      <c r="G67" t="s">
        <v>124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  <c r="M67" s="50">
        <f>IF(TbRegistroEntradas[[#This Row],[Data do Caixa Previsto]]="",0,MONTH(TbRegistroEntradas[[#This Row],[Data do Caixa Previsto]]))</f>
        <v>2</v>
      </c>
      <c r="N67" s="50">
        <f>IF(TbRegistroEntradas[[#This Row],[Data do Caixa Previsto]]="",0,YEAR(TbRegistroEntradas[[#This Row],[Data do Caixa Previsto]]))</f>
        <v>2018</v>
      </c>
      <c r="O67" s="50" t="str">
        <f ca="1">IF(AND(TbRegistroEntradas[[#This Row],[Data do Caixa Previsto]]&lt;TODAY(),TbRegistroEntradas[[#This Row],[Data do Caixa Realizado]]=""),"Vencida","Não Vencida")</f>
        <v>Não Vencida</v>
      </c>
    </row>
    <row r="68" spans="2:15" x14ac:dyDescent="0.25">
      <c r="B68" s="13">
        <v>43146</v>
      </c>
      <c r="C68" s="13">
        <v>43142</v>
      </c>
      <c r="D68" s="13">
        <v>43146</v>
      </c>
      <c r="E68" t="s">
        <v>26</v>
      </c>
      <c r="F68" t="s">
        <v>33</v>
      </c>
      <c r="G68" t="s">
        <v>125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  <c r="M68" s="50">
        <f>IF(TbRegistroEntradas[[#This Row],[Data do Caixa Previsto]]="",0,MONTH(TbRegistroEntradas[[#This Row],[Data do Caixa Previsto]]))</f>
        <v>2</v>
      </c>
      <c r="N68" s="50">
        <f>IF(TbRegistroEntradas[[#This Row],[Data do Caixa Previsto]]="",0,YEAR(TbRegistroEntradas[[#This Row],[Data do Caixa Previsto]]))</f>
        <v>2018</v>
      </c>
      <c r="O68" s="50" t="str">
        <f ca="1">IF(AND(TbRegistroEntradas[[#This Row],[Data do Caixa Previsto]]&lt;TODAY(),TbRegistroEntradas[[#This Row],[Data do Caixa Realizado]]=""),"Vencida","Não Vencida")</f>
        <v>Não Vencida</v>
      </c>
    </row>
    <row r="69" spans="2:15" x14ac:dyDescent="0.25">
      <c r="B69" s="13">
        <v>43193</v>
      </c>
      <c r="C69" s="13">
        <v>43148</v>
      </c>
      <c r="D69" s="13">
        <v>43193</v>
      </c>
      <c r="E69" t="s">
        <v>26</v>
      </c>
      <c r="F69" t="s">
        <v>34</v>
      </c>
      <c r="G69" t="s">
        <v>126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  <c r="M69" s="50">
        <f>IF(TbRegistroEntradas[[#This Row],[Data do Caixa Previsto]]="",0,MONTH(TbRegistroEntradas[[#This Row],[Data do Caixa Previsto]]))</f>
        <v>4</v>
      </c>
      <c r="N69" s="50">
        <f>IF(TbRegistroEntradas[[#This Row],[Data do Caixa Previsto]]="",0,YEAR(TbRegistroEntradas[[#This Row],[Data do Caixa Previsto]]))</f>
        <v>2018</v>
      </c>
      <c r="O69" s="50" t="str">
        <f ca="1">IF(AND(TbRegistroEntradas[[#This Row],[Data do Caixa Previsto]]&lt;TODAY(),TbRegistroEntradas[[#This Row],[Data do Caixa Realizado]]=""),"Vencida","Não Vencida")</f>
        <v>Não Vencida</v>
      </c>
    </row>
    <row r="70" spans="2:15" x14ac:dyDescent="0.25">
      <c r="B70" s="13">
        <v>43193</v>
      </c>
      <c r="C70" s="13">
        <v>43151</v>
      </c>
      <c r="D70" s="13">
        <v>43193</v>
      </c>
      <c r="E70" t="s">
        <v>26</v>
      </c>
      <c r="F70" t="s">
        <v>34</v>
      </c>
      <c r="G70" t="s">
        <v>127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  <c r="M70" s="50">
        <f>IF(TbRegistroEntradas[[#This Row],[Data do Caixa Previsto]]="",0,MONTH(TbRegistroEntradas[[#This Row],[Data do Caixa Previsto]]))</f>
        <v>4</v>
      </c>
      <c r="N70" s="50">
        <f>IF(TbRegistroEntradas[[#This Row],[Data do Caixa Previsto]]="",0,YEAR(TbRegistroEntradas[[#This Row],[Data do Caixa Previsto]]))</f>
        <v>2018</v>
      </c>
      <c r="O70" s="50" t="str">
        <f ca="1">IF(AND(TbRegistroEntradas[[#This Row],[Data do Caixa Previsto]]&lt;TODAY(),TbRegistroEntradas[[#This Row],[Data do Caixa Realizado]]=""),"Vencida","Não Vencida")</f>
        <v>Não Vencida</v>
      </c>
    </row>
    <row r="71" spans="2:15" x14ac:dyDescent="0.25">
      <c r="B71" s="13">
        <v>43154</v>
      </c>
      <c r="C71" s="13">
        <v>43154</v>
      </c>
      <c r="D71" s="13">
        <v>43154</v>
      </c>
      <c r="E71" t="s">
        <v>26</v>
      </c>
      <c r="F71" t="s">
        <v>35</v>
      </c>
      <c r="G71" t="s">
        <v>128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  <c r="M71" s="50">
        <f>IF(TbRegistroEntradas[[#This Row],[Data do Caixa Previsto]]="",0,MONTH(TbRegistroEntradas[[#This Row],[Data do Caixa Previsto]]))</f>
        <v>2</v>
      </c>
      <c r="N71" s="50">
        <f>IF(TbRegistroEntradas[[#This Row],[Data do Caixa Previsto]]="",0,YEAR(TbRegistroEntradas[[#This Row],[Data do Caixa Previsto]]))</f>
        <v>2018</v>
      </c>
      <c r="O71" s="50" t="str">
        <f ca="1">IF(AND(TbRegistroEntradas[[#This Row],[Data do Caixa Previsto]]&lt;TODAY(),TbRegistroEntradas[[#This Row],[Data do Caixa Realizado]]=""),"Vencida","Não Vencida")</f>
        <v>Não Vencida</v>
      </c>
    </row>
    <row r="72" spans="2:15" x14ac:dyDescent="0.25">
      <c r="B72" s="13" t="s">
        <v>69</v>
      </c>
      <c r="C72" s="13">
        <v>43156</v>
      </c>
      <c r="D72" s="13">
        <v>43205</v>
      </c>
      <c r="E72" t="s">
        <v>26</v>
      </c>
      <c r="F72" t="s">
        <v>33</v>
      </c>
      <c r="G72" t="s">
        <v>129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  <c r="M72" s="50">
        <f>IF(TbRegistroEntradas[[#This Row],[Data do Caixa Previsto]]="",0,MONTH(TbRegistroEntradas[[#This Row],[Data do Caixa Previsto]]))</f>
        <v>4</v>
      </c>
      <c r="N72" s="50">
        <f>IF(TbRegistroEntradas[[#This Row],[Data do Caixa Previsto]]="",0,YEAR(TbRegistroEntradas[[#This Row],[Data do Caixa Previsto]]))</f>
        <v>2018</v>
      </c>
      <c r="O72" s="50" t="str">
        <f ca="1">IF(AND(TbRegistroEntradas[[#This Row],[Data do Caixa Previsto]]&lt;TODAY(),TbRegistroEntradas[[#This Row],[Data do Caixa Realizado]]=""),"Vencida","Não Vencida")</f>
        <v>Vencida</v>
      </c>
    </row>
    <row r="73" spans="2:15" x14ac:dyDescent="0.25">
      <c r="B73" s="13">
        <v>43246</v>
      </c>
      <c r="C73" s="13">
        <v>43158</v>
      </c>
      <c r="D73" s="13">
        <v>43188</v>
      </c>
      <c r="E73" t="s">
        <v>26</v>
      </c>
      <c r="F73" t="s">
        <v>33</v>
      </c>
      <c r="G73" t="s">
        <v>130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  <c r="M73" s="50">
        <f>IF(TbRegistroEntradas[[#This Row],[Data do Caixa Previsto]]="",0,MONTH(TbRegistroEntradas[[#This Row],[Data do Caixa Previsto]]))</f>
        <v>3</v>
      </c>
      <c r="N73" s="50">
        <f>IF(TbRegistroEntradas[[#This Row],[Data do Caixa Previsto]]="",0,YEAR(TbRegistroEntradas[[#This Row],[Data do Caixa Previsto]]))</f>
        <v>2018</v>
      </c>
      <c r="O73" s="50" t="str">
        <f ca="1">IF(AND(TbRegistroEntradas[[#This Row],[Data do Caixa Previsto]]&lt;TODAY(),TbRegistroEntradas[[#This Row],[Data do Caixa Realizado]]=""),"Vencida","Não Vencida")</f>
        <v>Não Vencida</v>
      </c>
    </row>
    <row r="74" spans="2:15" x14ac:dyDescent="0.25">
      <c r="B74" s="13">
        <v>43169</v>
      </c>
      <c r="C74" s="13">
        <v>43160</v>
      </c>
      <c r="D74" s="13">
        <v>43169</v>
      </c>
      <c r="E74" t="s">
        <v>26</v>
      </c>
      <c r="F74" t="s">
        <v>34</v>
      </c>
      <c r="G74" t="s">
        <v>131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  <c r="M74" s="50">
        <f>IF(TbRegistroEntradas[[#This Row],[Data do Caixa Previsto]]="",0,MONTH(TbRegistroEntradas[[#This Row],[Data do Caixa Previsto]]))</f>
        <v>3</v>
      </c>
      <c r="N74" s="50">
        <f>IF(TbRegistroEntradas[[#This Row],[Data do Caixa Previsto]]="",0,YEAR(TbRegistroEntradas[[#This Row],[Data do Caixa Previsto]]))</f>
        <v>2018</v>
      </c>
      <c r="O74" s="50" t="str">
        <f ca="1">IF(AND(TbRegistroEntradas[[#This Row],[Data do Caixa Previsto]]&lt;TODAY(),TbRegistroEntradas[[#This Row],[Data do Caixa Realizado]]=""),"Vencida","Não Vencida")</f>
        <v>Não Vencida</v>
      </c>
    </row>
    <row r="75" spans="2:15" x14ac:dyDescent="0.25">
      <c r="B75" s="13" t="s">
        <v>69</v>
      </c>
      <c r="C75" s="13">
        <v>43162</v>
      </c>
      <c r="D75" s="13">
        <v>43202</v>
      </c>
      <c r="E75" t="s">
        <v>26</v>
      </c>
      <c r="F75" t="s">
        <v>36</v>
      </c>
      <c r="G75" t="s">
        <v>132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  <c r="M75" s="50">
        <f>IF(TbRegistroEntradas[[#This Row],[Data do Caixa Previsto]]="",0,MONTH(TbRegistroEntradas[[#This Row],[Data do Caixa Previsto]]))</f>
        <v>4</v>
      </c>
      <c r="N75" s="50">
        <f>IF(TbRegistroEntradas[[#This Row],[Data do Caixa Previsto]]="",0,YEAR(TbRegistroEntradas[[#This Row],[Data do Caixa Previsto]]))</f>
        <v>2018</v>
      </c>
      <c r="O75" s="50" t="str">
        <f ca="1">IF(AND(TbRegistroEntradas[[#This Row],[Data do Caixa Previsto]]&lt;TODAY(),TbRegistroEntradas[[#This Row],[Data do Caixa Realizado]]=""),"Vencida","Não Vencida")</f>
        <v>Vencida</v>
      </c>
    </row>
    <row r="76" spans="2:15" x14ac:dyDescent="0.25">
      <c r="B76" s="13">
        <v>43287</v>
      </c>
      <c r="C76" s="13">
        <v>43163</v>
      </c>
      <c r="D76" s="13">
        <v>43211</v>
      </c>
      <c r="E76" t="s">
        <v>26</v>
      </c>
      <c r="F76" t="s">
        <v>34</v>
      </c>
      <c r="G76" t="s">
        <v>133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  <c r="M76" s="50">
        <f>IF(TbRegistroEntradas[[#This Row],[Data do Caixa Previsto]]="",0,MONTH(TbRegistroEntradas[[#This Row],[Data do Caixa Previsto]]))</f>
        <v>4</v>
      </c>
      <c r="N76" s="50">
        <f>IF(TbRegistroEntradas[[#This Row],[Data do Caixa Previsto]]="",0,YEAR(TbRegistroEntradas[[#This Row],[Data do Caixa Previsto]]))</f>
        <v>2018</v>
      </c>
      <c r="O76" s="50" t="str">
        <f ca="1">IF(AND(TbRegistroEntradas[[#This Row],[Data do Caixa Previsto]]&lt;TODAY(),TbRegistroEntradas[[#This Row],[Data do Caixa Realizado]]=""),"Vencida","Não Vencida")</f>
        <v>Não Vencida</v>
      </c>
    </row>
    <row r="77" spans="2:15" x14ac:dyDescent="0.25">
      <c r="B77" s="13">
        <v>43203</v>
      </c>
      <c r="C77" s="13">
        <v>43166</v>
      </c>
      <c r="D77" s="13">
        <v>43203</v>
      </c>
      <c r="E77" t="s">
        <v>26</v>
      </c>
      <c r="F77" t="s">
        <v>32</v>
      </c>
      <c r="G77" t="s">
        <v>134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  <c r="M77" s="50">
        <f>IF(TbRegistroEntradas[[#This Row],[Data do Caixa Previsto]]="",0,MONTH(TbRegistroEntradas[[#This Row],[Data do Caixa Previsto]]))</f>
        <v>4</v>
      </c>
      <c r="N77" s="50">
        <f>IF(TbRegistroEntradas[[#This Row],[Data do Caixa Previsto]]="",0,YEAR(TbRegistroEntradas[[#This Row],[Data do Caixa Previsto]]))</f>
        <v>2018</v>
      </c>
      <c r="O77" s="50" t="str">
        <f ca="1">IF(AND(TbRegistroEntradas[[#This Row],[Data do Caixa Previsto]]&lt;TODAY(),TbRegistroEntradas[[#This Row],[Data do Caixa Realizado]]=""),"Vencida","Não Vencida")</f>
        <v>Não Vencida</v>
      </c>
    </row>
    <row r="78" spans="2:15" x14ac:dyDescent="0.25">
      <c r="B78" s="13">
        <v>43169</v>
      </c>
      <c r="C78" s="13">
        <v>43169</v>
      </c>
      <c r="D78" s="13">
        <v>43169</v>
      </c>
      <c r="E78" t="s">
        <v>26</v>
      </c>
      <c r="F78" t="s">
        <v>32</v>
      </c>
      <c r="G78" t="s">
        <v>135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  <c r="M78" s="50">
        <f>IF(TbRegistroEntradas[[#This Row],[Data do Caixa Previsto]]="",0,MONTH(TbRegistroEntradas[[#This Row],[Data do Caixa Previsto]]))</f>
        <v>3</v>
      </c>
      <c r="N78" s="50">
        <f>IF(TbRegistroEntradas[[#This Row],[Data do Caixa Previsto]]="",0,YEAR(TbRegistroEntradas[[#This Row],[Data do Caixa Previsto]]))</f>
        <v>2018</v>
      </c>
      <c r="O78" s="50" t="str">
        <f ca="1">IF(AND(TbRegistroEntradas[[#This Row],[Data do Caixa Previsto]]&lt;TODAY(),TbRegistroEntradas[[#This Row],[Data do Caixa Realizado]]=""),"Vencida","Não Vencida")</f>
        <v>Não Vencida</v>
      </c>
    </row>
    <row r="79" spans="2:15" x14ac:dyDescent="0.25">
      <c r="B79" s="13">
        <v>43274</v>
      </c>
      <c r="C79" s="13">
        <v>43171</v>
      </c>
      <c r="D79" s="13">
        <v>43200</v>
      </c>
      <c r="E79" t="s">
        <v>26</v>
      </c>
      <c r="F79" t="s">
        <v>35</v>
      </c>
      <c r="G79" t="s">
        <v>136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  <c r="M79" s="50">
        <f>IF(TbRegistroEntradas[[#This Row],[Data do Caixa Previsto]]="",0,MONTH(TbRegistroEntradas[[#This Row],[Data do Caixa Previsto]]))</f>
        <v>4</v>
      </c>
      <c r="N79" s="50">
        <f>IF(TbRegistroEntradas[[#This Row],[Data do Caixa Previsto]]="",0,YEAR(TbRegistroEntradas[[#This Row],[Data do Caixa Previsto]]))</f>
        <v>2018</v>
      </c>
      <c r="O79" s="50" t="str">
        <f ca="1">IF(AND(TbRegistroEntradas[[#This Row],[Data do Caixa Previsto]]&lt;TODAY(),TbRegistroEntradas[[#This Row],[Data do Caixa Realizado]]=""),"Vencida","Não Vencida")</f>
        <v>Não Vencida</v>
      </c>
    </row>
    <row r="80" spans="2:15" x14ac:dyDescent="0.25">
      <c r="B80" s="13">
        <v>43176</v>
      </c>
      <c r="C80" s="13">
        <v>43176</v>
      </c>
      <c r="D80" s="13">
        <v>43176</v>
      </c>
      <c r="E80" t="s">
        <v>26</v>
      </c>
      <c r="F80" t="s">
        <v>36</v>
      </c>
      <c r="G80" t="s">
        <v>137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  <c r="M80" s="50">
        <f>IF(TbRegistroEntradas[[#This Row],[Data do Caixa Previsto]]="",0,MONTH(TbRegistroEntradas[[#This Row],[Data do Caixa Previsto]]))</f>
        <v>3</v>
      </c>
      <c r="N80" s="50">
        <f>IF(TbRegistroEntradas[[#This Row],[Data do Caixa Previsto]]="",0,YEAR(TbRegistroEntradas[[#This Row],[Data do Caixa Previsto]]))</f>
        <v>2018</v>
      </c>
      <c r="O80" s="50" t="str">
        <f ca="1">IF(AND(TbRegistroEntradas[[#This Row],[Data do Caixa Previsto]]&lt;TODAY(),TbRegistroEntradas[[#This Row],[Data do Caixa Realizado]]=""),"Vencida","Não Vencida")</f>
        <v>Não Vencida</v>
      </c>
    </row>
    <row r="81" spans="2:15" x14ac:dyDescent="0.25">
      <c r="B81" s="13">
        <v>43177</v>
      </c>
      <c r="C81" s="13">
        <v>43177</v>
      </c>
      <c r="D81" s="13">
        <v>43177</v>
      </c>
      <c r="E81" t="s">
        <v>26</v>
      </c>
      <c r="F81" t="s">
        <v>35</v>
      </c>
      <c r="G81" t="s">
        <v>138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  <c r="M81" s="50">
        <f>IF(TbRegistroEntradas[[#This Row],[Data do Caixa Previsto]]="",0,MONTH(TbRegistroEntradas[[#This Row],[Data do Caixa Previsto]]))</f>
        <v>3</v>
      </c>
      <c r="N81" s="50">
        <f>IF(TbRegistroEntradas[[#This Row],[Data do Caixa Previsto]]="",0,YEAR(TbRegistroEntradas[[#This Row],[Data do Caixa Previsto]]))</f>
        <v>2018</v>
      </c>
      <c r="O81" s="50" t="str">
        <f ca="1">IF(AND(TbRegistroEntradas[[#This Row],[Data do Caixa Previsto]]&lt;TODAY(),TbRegistroEntradas[[#This Row],[Data do Caixa Realizado]]=""),"Vencida","Não Vencida")</f>
        <v>Não Vencida</v>
      </c>
    </row>
    <row r="82" spans="2:15" x14ac:dyDescent="0.25">
      <c r="B82" s="13">
        <v>43225</v>
      </c>
      <c r="C82" s="13">
        <v>43180</v>
      </c>
      <c r="D82" s="13">
        <v>43180</v>
      </c>
      <c r="E82" t="s">
        <v>26</v>
      </c>
      <c r="F82" t="s">
        <v>35</v>
      </c>
      <c r="G82" t="s">
        <v>139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  <c r="M82" s="50">
        <f>IF(TbRegistroEntradas[[#This Row],[Data do Caixa Previsto]]="",0,MONTH(TbRegistroEntradas[[#This Row],[Data do Caixa Previsto]]))</f>
        <v>3</v>
      </c>
      <c r="N82" s="50">
        <f>IF(TbRegistroEntradas[[#This Row],[Data do Caixa Previsto]]="",0,YEAR(TbRegistroEntradas[[#This Row],[Data do Caixa Previsto]]))</f>
        <v>2018</v>
      </c>
      <c r="O82" s="50" t="str">
        <f ca="1">IF(AND(TbRegistroEntradas[[#This Row],[Data do Caixa Previsto]]&lt;TODAY(),TbRegistroEntradas[[#This Row],[Data do Caixa Realizado]]=""),"Vencida","Não Vencida")</f>
        <v>Não Vencida</v>
      </c>
    </row>
    <row r="83" spans="2:15" x14ac:dyDescent="0.25">
      <c r="B83" s="13">
        <v>43199</v>
      </c>
      <c r="C83" s="13">
        <v>43182</v>
      </c>
      <c r="D83" s="13">
        <v>43199</v>
      </c>
      <c r="E83" t="s">
        <v>26</v>
      </c>
      <c r="F83" t="s">
        <v>33</v>
      </c>
      <c r="G83" t="s">
        <v>140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  <c r="M83" s="50">
        <f>IF(TbRegistroEntradas[[#This Row],[Data do Caixa Previsto]]="",0,MONTH(TbRegistroEntradas[[#This Row],[Data do Caixa Previsto]]))</f>
        <v>4</v>
      </c>
      <c r="N83" s="50">
        <f>IF(TbRegistroEntradas[[#This Row],[Data do Caixa Previsto]]="",0,YEAR(TbRegistroEntradas[[#This Row],[Data do Caixa Previsto]]))</f>
        <v>2018</v>
      </c>
      <c r="O83" s="50" t="str">
        <f ca="1">IF(AND(TbRegistroEntradas[[#This Row],[Data do Caixa Previsto]]&lt;TODAY(),TbRegistroEntradas[[#This Row],[Data do Caixa Realizado]]=""),"Vencida","Não Vencida")</f>
        <v>Não Vencida</v>
      </c>
    </row>
    <row r="84" spans="2:15" x14ac:dyDescent="0.25">
      <c r="B84" s="13">
        <v>43187</v>
      </c>
      <c r="C84" s="13">
        <v>43184</v>
      </c>
      <c r="D84" s="13">
        <v>43187</v>
      </c>
      <c r="E84" t="s">
        <v>26</v>
      </c>
      <c r="F84" t="s">
        <v>32</v>
      </c>
      <c r="G84" t="s">
        <v>141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  <c r="M84" s="50">
        <f>IF(TbRegistroEntradas[[#This Row],[Data do Caixa Previsto]]="",0,MONTH(TbRegistroEntradas[[#This Row],[Data do Caixa Previsto]]))</f>
        <v>3</v>
      </c>
      <c r="N84" s="50">
        <f>IF(TbRegistroEntradas[[#This Row],[Data do Caixa Previsto]]="",0,YEAR(TbRegistroEntradas[[#This Row],[Data do Caixa Previsto]]))</f>
        <v>2018</v>
      </c>
      <c r="O84" s="50" t="str">
        <f ca="1">IF(AND(TbRegistroEntradas[[#This Row],[Data do Caixa Previsto]]&lt;TODAY(),TbRegistroEntradas[[#This Row],[Data do Caixa Realizado]]=""),"Vencida","Não Vencida")</f>
        <v>Não Vencida</v>
      </c>
    </row>
    <row r="85" spans="2:15" x14ac:dyDescent="0.25">
      <c r="B85" s="13">
        <v>43257</v>
      </c>
      <c r="C85" s="13">
        <v>43187</v>
      </c>
      <c r="D85" s="13">
        <v>43205</v>
      </c>
      <c r="E85" t="s">
        <v>26</v>
      </c>
      <c r="F85" t="s">
        <v>36</v>
      </c>
      <c r="G85" t="s">
        <v>142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  <c r="M85" s="50">
        <f>IF(TbRegistroEntradas[[#This Row],[Data do Caixa Previsto]]="",0,MONTH(TbRegistroEntradas[[#This Row],[Data do Caixa Previsto]]))</f>
        <v>4</v>
      </c>
      <c r="N85" s="50">
        <f>IF(TbRegistroEntradas[[#This Row],[Data do Caixa Previsto]]="",0,YEAR(TbRegistroEntradas[[#This Row],[Data do Caixa Previsto]]))</f>
        <v>2018</v>
      </c>
      <c r="O85" s="50" t="str">
        <f ca="1">IF(AND(TbRegistroEntradas[[#This Row],[Data do Caixa Previsto]]&lt;TODAY(),TbRegistroEntradas[[#This Row],[Data do Caixa Realizado]]=""),"Vencida","Não Vencida")</f>
        <v>Não Vencida</v>
      </c>
    </row>
    <row r="86" spans="2:15" x14ac:dyDescent="0.25">
      <c r="B86" s="13">
        <v>43214</v>
      </c>
      <c r="C86" s="13">
        <v>43189</v>
      </c>
      <c r="D86" s="13">
        <v>43189</v>
      </c>
      <c r="E86" t="s">
        <v>26</v>
      </c>
      <c r="F86" t="s">
        <v>33</v>
      </c>
      <c r="G86" t="s">
        <v>143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  <c r="M86" s="50">
        <f>IF(TbRegistroEntradas[[#This Row],[Data do Caixa Previsto]]="",0,MONTH(TbRegistroEntradas[[#This Row],[Data do Caixa Previsto]]))</f>
        <v>3</v>
      </c>
      <c r="N86" s="50">
        <f>IF(TbRegistroEntradas[[#This Row],[Data do Caixa Previsto]]="",0,YEAR(TbRegistroEntradas[[#This Row],[Data do Caixa Previsto]]))</f>
        <v>2018</v>
      </c>
      <c r="O86" s="50" t="str">
        <f ca="1">IF(AND(TbRegistroEntradas[[#This Row],[Data do Caixa Previsto]]&lt;TODAY(),TbRegistroEntradas[[#This Row],[Data do Caixa Realizado]]=""),"Vencida","Não Vencida")</f>
        <v>Não Vencida</v>
      </c>
    </row>
    <row r="87" spans="2:15" x14ac:dyDescent="0.25">
      <c r="B87" s="13">
        <v>43306</v>
      </c>
      <c r="C87" s="13">
        <v>43190</v>
      </c>
      <c r="D87" s="13">
        <v>43228</v>
      </c>
      <c r="E87" t="s">
        <v>26</v>
      </c>
      <c r="F87" t="s">
        <v>36</v>
      </c>
      <c r="G87" t="s">
        <v>144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  <c r="M87" s="50">
        <f>IF(TbRegistroEntradas[[#This Row],[Data do Caixa Previsto]]="",0,MONTH(TbRegistroEntradas[[#This Row],[Data do Caixa Previsto]]))</f>
        <v>5</v>
      </c>
      <c r="N87" s="50">
        <f>IF(TbRegistroEntradas[[#This Row],[Data do Caixa Previsto]]="",0,YEAR(TbRegistroEntradas[[#This Row],[Data do Caixa Previsto]]))</f>
        <v>2018</v>
      </c>
      <c r="O87" s="50" t="str">
        <f ca="1">IF(AND(TbRegistroEntradas[[#This Row],[Data do Caixa Previsto]]&lt;TODAY(),TbRegistroEntradas[[#This Row],[Data do Caixa Realizado]]=""),"Vencida","Não Vencida")</f>
        <v>Não Vencida</v>
      </c>
    </row>
    <row r="88" spans="2:15" x14ac:dyDescent="0.25">
      <c r="B88" s="13">
        <v>43193</v>
      </c>
      <c r="C88" s="13">
        <v>43193</v>
      </c>
      <c r="D88" s="13">
        <v>43193</v>
      </c>
      <c r="E88" t="s">
        <v>26</v>
      </c>
      <c r="F88" t="s">
        <v>35</v>
      </c>
      <c r="G88" t="s">
        <v>145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  <c r="M88" s="50">
        <f>IF(TbRegistroEntradas[[#This Row],[Data do Caixa Previsto]]="",0,MONTH(TbRegistroEntradas[[#This Row],[Data do Caixa Previsto]]))</f>
        <v>4</v>
      </c>
      <c r="N88" s="50">
        <f>IF(TbRegistroEntradas[[#This Row],[Data do Caixa Previsto]]="",0,YEAR(TbRegistroEntradas[[#This Row],[Data do Caixa Previsto]]))</f>
        <v>2018</v>
      </c>
      <c r="O88" s="50" t="str">
        <f ca="1">IF(AND(TbRegistroEntradas[[#This Row],[Data do Caixa Previsto]]&lt;TODAY(),TbRegistroEntradas[[#This Row],[Data do Caixa Realizado]]=""),"Vencida","Não Vencida")</f>
        <v>Não Vencida</v>
      </c>
    </row>
    <row r="89" spans="2:15" x14ac:dyDescent="0.25">
      <c r="B89" s="13">
        <v>43196</v>
      </c>
      <c r="C89" s="13">
        <v>43196</v>
      </c>
      <c r="D89" s="13">
        <v>43196</v>
      </c>
      <c r="E89" t="s">
        <v>26</v>
      </c>
      <c r="F89" t="s">
        <v>33</v>
      </c>
      <c r="G89" t="s">
        <v>146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  <c r="M89" s="50">
        <f>IF(TbRegistroEntradas[[#This Row],[Data do Caixa Previsto]]="",0,MONTH(TbRegistroEntradas[[#This Row],[Data do Caixa Previsto]]))</f>
        <v>4</v>
      </c>
      <c r="N89" s="50">
        <f>IF(TbRegistroEntradas[[#This Row],[Data do Caixa Previsto]]="",0,YEAR(TbRegistroEntradas[[#This Row],[Data do Caixa Previsto]]))</f>
        <v>2018</v>
      </c>
      <c r="O89" s="50" t="str">
        <f ca="1">IF(AND(TbRegistroEntradas[[#This Row],[Data do Caixa Previsto]]&lt;TODAY(),TbRegistroEntradas[[#This Row],[Data do Caixa Realizado]]=""),"Vencida","Não Vencida")</f>
        <v>Não Vencida</v>
      </c>
    </row>
    <row r="90" spans="2:15" x14ac:dyDescent="0.25">
      <c r="B90" s="13">
        <v>43251</v>
      </c>
      <c r="C90" s="13">
        <v>43199</v>
      </c>
      <c r="D90" s="13">
        <v>43251</v>
      </c>
      <c r="E90" t="s">
        <v>26</v>
      </c>
      <c r="F90" t="s">
        <v>35</v>
      </c>
      <c r="G90" t="s">
        <v>147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  <c r="M90" s="50">
        <f>IF(TbRegistroEntradas[[#This Row],[Data do Caixa Previsto]]="",0,MONTH(TbRegistroEntradas[[#This Row],[Data do Caixa Previsto]]))</f>
        <v>5</v>
      </c>
      <c r="N90" s="50">
        <f>IF(TbRegistroEntradas[[#This Row],[Data do Caixa Previsto]]="",0,YEAR(TbRegistroEntradas[[#This Row],[Data do Caixa Previsto]]))</f>
        <v>2018</v>
      </c>
      <c r="O90" s="50" t="str">
        <f ca="1">IF(AND(TbRegistroEntradas[[#This Row],[Data do Caixa Previsto]]&lt;TODAY(),TbRegistroEntradas[[#This Row],[Data do Caixa Realizado]]=""),"Vencida","Não Vencida")</f>
        <v>Não Vencida</v>
      </c>
    </row>
    <row r="91" spans="2:15" x14ac:dyDescent="0.25">
      <c r="B91" s="13" t="s">
        <v>69</v>
      </c>
      <c r="C91" s="13">
        <v>43201</v>
      </c>
      <c r="D91" s="13">
        <v>43260</v>
      </c>
      <c r="E91" t="s">
        <v>26</v>
      </c>
      <c r="F91" t="s">
        <v>35</v>
      </c>
      <c r="G91" t="s">
        <v>148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  <c r="M91" s="50">
        <f>IF(TbRegistroEntradas[[#This Row],[Data do Caixa Previsto]]="",0,MONTH(TbRegistroEntradas[[#This Row],[Data do Caixa Previsto]]))</f>
        <v>6</v>
      </c>
      <c r="N91" s="50">
        <f>IF(TbRegistroEntradas[[#This Row],[Data do Caixa Previsto]]="",0,YEAR(TbRegistroEntradas[[#This Row],[Data do Caixa Previsto]]))</f>
        <v>2018</v>
      </c>
      <c r="O91" s="50" t="str">
        <f ca="1">IF(AND(TbRegistroEntradas[[#This Row],[Data do Caixa Previsto]]&lt;TODAY(),TbRegistroEntradas[[#This Row],[Data do Caixa Realizado]]=""),"Vencida","Não Vencida")</f>
        <v>Vencida</v>
      </c>
    </row>
    <row r="92" spans="2:15" x14ac:dyDescent="0.25">
      <c r="B92" s="13">
        <v>43224</v>
      </c>
      <c r="C92" s="13">
        <v>43204</v>
      </c>
      <c r="D92" s="13">
        <v>43224</v>
      </c>
      <c r="E92" t="s">
        <v>26</v>
      </c>
      <c r="F92" t="s">
        <v>35</v>
      </c>
      <c r="G92" t="s">
        <v>149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  <c r="M92" s="50">
        <f>IF(TbRegistroEntradas[[#This Row],[Data do Caixa Previsto]]="",0,MONTH(TbRegistroEntradas[[#This Row],[Data do Caixa Previsto]]))</f>
        <v>5</v>
      </c>
      <c r="N92" s="50">
        <f>IF(TbRegistroEntradas[[#This Row],[Data do Caixa Previsto]]="",0,YEAR(TbRegistroEntradas[[#This Row],[Data do Caixa Previsto]]))</f>
        <v>2018</v>
      </c>
      <c r="O92" s="50" t="str">
        <f ca="1">IF(AND(TbRegistroEntradas[[#This Row],[Data do Caixa Previsto]]&lt;TODAY(),TbRegistroEntradas[[#This Row],[Data do Caixa Realizado]]=""),"Vencida","Não Vencida")</f>
        <v>Não Vencida</v>
      </c>
    </row>
    <row r="93" spans="2:15" x14ac:dyDescent="0.25">
      <c r="B93" s="13">
        <v>43295</v>
      </c>
      <c r="C93" s="13">
        <v>43209</v>
      </c>
      <c r="D93" s="13">
        <v>43209</v>
      </c>
      <c r="E93" t="s">
        <v>26</v>
      </c>
      <c r="F93" t="s">
        <v>35</v>
      </c>
      <c r="G93" t="s">
        <v>150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  <c r="M93" s="50">
        <f>IF(TbRegistroEntradas[[#This Row],[Data do Caixa Previsto]]="",0,MONTH(TbRegistroEntradas[[#This Row],[Data do Caixa Previsto]]))</f>
        <v>4</v>
      </c>
      <c r="N93" s="50">
        <f>IF(TbRegistroEntradas[[#This Row],[Data do Caixa Previsto]]="",0,YEAR(TbRegistroEntradas[[#This Row],[Data do Caixa Previsto]]))</f>
        <v>2018</v>
      </c>
      <c r="O93" s="50" t="str">
        <f ca="1">IF(AND(TbRegistroEntradas[[#This Row],[Data do Caixa Previsto]]&lt;TODAY(),TbRegistroEntradas[[#This Row],[Data do Caixa Realizado]]=""),"Vencida","Não Vencida")</f>
        <v>Não Vencida</v>
      </c>
    </row>
    <row r="94" spans="2:15" x14ac:dyDescent="0.25">
      <c r="B94" s="13">
        <v>43234</v>
      </c>
      <c r="C94" s="13">
        <v>43213</v>
      </c>
      <c r="D94" s="13">
        <v>43234</v>
      </c>
      <c r="E94" t="s">
        <v>26</v>
      </c>
      <c r="F94" t="s">
        <v>35</v>
      </c>
      <c r="G94" t="s">
        <v>151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  <c r="M94" s="50">
        <f>IF(TbRegistroEntradas[[#This Row],[Data do Caixa Previsto]]="",0,MONTH(TbRegistroEntradas[[#This Row],[Data do Caixa Previsto]]))</f>
        <v>5</v>
      </c>
      <c r="N94" s="50">
        <f>IF(TbRegistroEntradas[[#This Row],[Data do Caixa Previsto]]="",0,YEAR(TbRegistroEntradas[[#This Row],[Data do Caixa Previsto]]))</f>
        <v>2018</v>
      </c>
      <c r="O94" s="50" t="str">
        <f ca="1">IF(AND(TbRegistroEntradas[[#This Row],[Data do Caixa Previsto]]&lt;TODAY(),TbRegistroEntradas[[#This Row],[Data do Caixa Realizado]]=""),"Vencida","Não Vencida")</f>
        <v>Não Vencida</v>
      </c>
    </row>
    <row r="95" spans="2:15" x14ac:dyDescent="0.25">
      <c r="B95" s="13">
        <v>43216</v>
      </c>
      <c r="C95" s="13">
        <v>43216</v>
      </c>
      <c r="D95" s="13">
        <v>43216</v>
      </c>
      <c r="E95" t="s">
        <v>26</v>
      </c>
      <c r="F95" t="s">
        <v>34</v>
      </c>
      <c r="G95" t="s">
        <v>152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  <c r="M95" s="50">
        <f>IF(TbRegistroEntradas[[#This Row],[Data do Caixa Previsto]]="",0,MONTH(TbRegistroEntradas[[#This Row],[Data do Caixa Previsto]]))</f>
        <v>4</v>
      </c>
      <c r="N95" s="50">
        <f>IF(TbRegistroEntradas[[#This Row],[Data do Caixa Previsto]]="",0,YEAR(TbRegistroEntradas[[#This Row],[Data do Caixa Previsto]]))</f>
        <v>2018</v>
      </c>
      <c r="O95" s="50" t="str">
        <f ca="1">IF(AND(TbRegistroEntradas[[#This Row],[Data do Caixa Previsto]]&lt;TODAY(),TbRegistroEntradas[[#This Row],[Data do Caixa Realizado]]=""),"Vencida","Não Vencida")</f>
        <v>Não Vencida</v>
      </c>
    </row>
    <row r="96" spans="2:15" x14ac:dyDescent="0.25">
      <c r="B96" s="13">
        <v>43226</v>
      </c>
      <c r="C96" s="13">
        <v>43220</v>
      </c>
      <c r="D96" s="13">
        <v>43220</v>
      </c>
      <c r="E96" t="s">
        <v>26</v>
      </c>
      <c r="F96" t="s">
        <v>35</v>
      </c>
      <c r="G96" t="s">
        <v>153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  <c r="M96" s="50">
        <f>IF(TbRegistroEntradas[[#This Row],[Data do Caixa Previsto]]="",0,MONTH(TbRegistroEntradas[[#This Row],[Data do Caixa Previsto]]))</f>
        <v>4</v>
      </c>
      <c r="N96" s="50">
        <f>IF(TbRegistroEntradas[[#This Row],[Data do Caixa Previsto]]="",0,YEAR(TbRegistroEntradas[[#This Row],[Data do Caixa Previsto]]))</f>
        <v>2018</v>
      </c>
      <c r="O96" s="50" t="str">
        <f ca="1">IF(AND(TbRegistroEntradas[[#This Row],[Data do Caixa Previsto]]&lt;TODAY(),TbRegistroEntradas[[#This Row],[Data do Caixa Realizado]]=""),"Vencida","Não Vencida")</f>
        <v>Não Vencida</v>
      </c>
    </row>
    <row r="97" spans="2:15" x14ac:dyDescent="0.25">
      <c r="B97" s="13">
        <v>43283</v>
      </c>
      <c r="C97" s="13">
        <v>43228</v>
      </c>
      <c r="D97" s="13">
        <v>43283</v>
      </c>
      <c r="E97" t="s">
        <v>26</v>
      </c>
      <c r="F97" t="s">
        <v>36</v>
      </c>
      <c r="G97" t="s">
        <v>154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  <c r="M97" s="50">
        <f>IF(TbRegistroEntradas[[#This Row],[Data do Caixa Previsto]]="",0,MONTH(TbRegistroEntradas[[#This Row],[Data do Caixa Previsto]]))</f>
        <v>7</v>
      </c>
      <c r="N97" s="50">
        <f>IF(TbRegistroEntradas[[#This Row],[Data do Caixa Previsto]]="",0,YEAR(TbRegistroEntradas[[#This Row],[Data do Caixa Previsto]]))</f>
        <v>2018</v>
      </c>
      <c r="O97" s="50" t="str">
        <f ca="1">IF(AND(TbRegistroEntradas[[#This Row],[Data do Caixa Previsto]]&lt;TODAY(),TbRegistroEntradas[[#This Row],[Data do Caixa Realizado]]=""),"Vencida","Não Vencida")</f>
        <v>Não Vencida</v>
      </c>
    </row>
    <row r="98" spans="2:15" x14ac:dyDescent="0.25">
      <c r="B98" s="13">
        <v>43311</v>
      </c>
      <c r="C98" s="13">
        <v>43231</v>
      </c>
      <c r="D98" s="13">
        <v>43279</v>
      </c>
      <c r="E98" t="s">
        <v>26</v>
      </c>
      <c r="F98" t="s">
        <v>34</v>
      </c>
      <c r="G98" t="s">
        <v>155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  <c r="M98" s="50">
        <f>IF(TbRegistroEntradas[[#This Row],[Data do Caixa Previsto]]="",0,MONTH(TbRegistroEntradas[[#This Row],[Data do Caixa Previsto]]))</f>
        <v>6</v>
      </c>
      <c r="N98" s="50">
        <f>IF(TbRegistroEntradas[[#This Row],[Data do Caixa Previsto]]="",0,YEAR(TbRegistroEntradas[[#This Row],[Data do Caixa Previsto]]))</f>
        <v>2018</v>
      </c>
      <c r="O98" s="50" t="str">
        <f ca="1">IF(AND(TbRegistroEntradas[[#This Row],[Data do Caixa Previsto]]&lt;TODAY(),TbRegistroEntradas[[#This Row],[Data do Caixa Realizado]]=""),"Vencida","Não Vencida")</f>
        <v>Não Vencida</v>
      </c>
    </row>
    <row r="99" spans="2:15" x14ac:dyDescent="0.25">
      <c r="B99" s="13">
        <v>43233</v>
      </c>
      <c r="C99" s="13">
        <v>43233</v>
      </c>
      <c r="D99" s="13">
        <v>43233</v>
      </c>
      <c r="E99" t="s">
        <v>26</v>
      </c>
      <c r="F99" t="s">
        <v>32</v>
      </c>
      <c r="G99" t="s">
        <v>156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  <c r="M99" s="50">
        <f>IF(TbRegistroEntradas[[#This Row],[Data do Caixa Previsto]]="",0,MONTH(TbRegistroEntradas[[#This Row],[Data do Caixa Previsto]]))</f>
        <v>5</v>
      </c>
      <c r="N99" s="50">
        <f>IF(TbRegistroEntradas[[#This Row],[Data do Caixa Previsto]]="",0,YEAR(TbRegistroEntradas[[#This Row],[Data do Caixa Previsto]]))</f>
        <v>2018</v>
      </c>
      <c r="O99" s="50" t="str">
        <f ca="1">IF(AND(TbRegistroEntradas[[#This Row],[Data do Caixa Previsto]]&lt;TODAY(),TbRegistroEntradas[[#This Row],[Data do Caixa Realizado]]=""),"Vencida","Não Vencida")</f>
        <v>Não Vencida</v>
      </c>
    </row>
    <row r="100" spans="2:15" x14ac:dyDescent="0.25">
      <c r="B100" s="13">
        <v>43252</v>
      </c>
      <c r="C100" s="13">
        <v>43241</v>
      </c>
      <c r="D100" s="13">
        <v>43252</v>
      </c>
      <c r="E100" t="s">
        <v>26</v>
      </c>
      <c r="F100" t="s">
        <v>35</v>
      </c>
      <c r="G100" t="s">
        <v>157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  <c r="M100" s="50">
        <f>IF(TbRegistroEntradas[[#This Row],[Data do Caixa Previsto]]="",0,MONTH(TbRegistroEntradas[[#This Row],[Data do Caixa Previsto]]))</f>
        <v>6</v>
      </c>
      <c r="N100" s="50">
        <f>IF(TbRegistroEntradas[[#This Row],[Data do Caixa Previsto]]="",0,YEAR(TbRegistroEntradas[[#This Row],[Data do Caixa Previsto]]))</f>
        <v>2018</v>
      </c>
      <c r="O100" s="50" t="str">
        <f ca="1">IF(AND(TbRegistroEntradas[[#This Row],[Data do Caixa Previsto]]&lt;TODAY(),TbRegistroEntradas[[#This Row],[Data do Caixa Realizado]]=""),"Vencida","Não Vencida")</f>
        <v>Não Vencida</v>
      </c>
    </row>
    <row r="101" spans="2:15" x14ac:dyDescent="0.25">
      <c r="B101" s="13">
        <v>43275</v>
      </c>
      <c r="C101" s="13">
        <v>43244</v>
      </c>
      <c r="D101" s="13">
        <v>43275</v>
      </c>
      <c r="E101" t="s">
        <v>26</v>
      </c>
      <c r="F101" t="s">
        <v>32</v>
      </c>
      <c r="G101" t="s">
        <v>96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  <c r="M101" s="50">
        <f>IF(TbRegistroEntradas[[#This Row],[Data do Caixa Previsto]]="",0,MONTH(TbRegistroEntradas[[#This Row],[Data do Caixa Previsto]]))</f>
        <v>6</v>
      </c>
      <c r="N101" s="50">
        <f>IF(TbRegistroEntradas[[#This Row],[Data do Caixa Previsto]]="",0,YEAR(TbRegistroEntradas[[#This Row],[Data do Caixa Previsto]]))</f>
        <v>2018</v>
      </c>
      <c r="O101" s="50" t="str">
        <f ca="1">IF(AND(TbRegistroEntradas[[#This Row],[Data do Caixa Previsto]]&lt;TODAY(),TbRegistroEntradas[[#This Row],[Data do Caixa Realizado]]=""),"Vencida","Não Vencida")</f>
        <v>Não Vencida</v>
      </c>
    </row>
    <row r="102" spans="2:15" x14ac:dyDescent="0.25">
      <c r="B102" s="13">
        <v>43275</v>
      </c>
      <c r="C102" s="13">
        <v>43249</v>
      </c>
      <c r="D102" s="13">
        <v>43275</v>
      </c>
      <c r="E102" t="s">
        <v>26</v>
      </c>
      <c r="F102" t="s">
        <v>32</v>
      </c>
      <c r="G102" t="s">
        <v>158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  <c r="M102" s="50">
        <f>IF(TbRegistroEntradas[[#This Row],[Data do Caixa Previsto]]="",0,MONTH(TbRegistroEntradas[[#This Row],[Data do Caixa Previsto]]))</f>
        <v>6</v>
      </c>
      <c r="N102" s="50">
        <f>IF(TbRegistroEntradas[[#This Row],[Data do Caixa Previsto]]="",0,YEAR(TbRegistroEntradas[[#This Row],[Data do Caixa Previsto]]))</f>
        <v>2018</v>
      </c>
      <c r="O102" s="50" t="str">
        <f ca="1">IF(AND(TbRegistroEntradas[[#This Row],[Data do Caixa Previsto]]&lt;TODAY(),TbRegistroEntradas[[#This Row],[Data do Caixa Realizado]]=""),"Vencida","Não Vencida")</f>
        <v>Não Vencida</v>
      </c>
    </row>
    <row r="103" spans="2:15" x14ac:dyDescent="0.25">
      <c r="B103" s="13">
        <v>43265</v>
      </c>
      <c r="C103" s="13">
        <v>43250</v>
      </c>
      <c r="D103" s="13">
        <v>43265</v>
      </c>
      <c r="E103" t="s">
        <v>26</v>
      </c>
      <c r="F103" t="s">
        <v>36</v>
      </c>
      <c r="G103" t="s">
        <v>159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  <c r="M103" s="50">
        <f>IF(TbRegistroEntradas[[#This Row],[Data do Caixa Previsto]]="",0,MONTH(TbRegistroEntradas[[#This Row],[Data do Caixa Previsto]]))</f>
        <v>6</v>
      </c>
      <c r="N103" s="50">
        <f>IF(TbRegistroEntradas[[#This Row],[Data do Caixa Previsto]]="",0,YEAR(TbRegistroEntradas[[#This Row],[Data do Caixa Previsto]]))</f>
        <v>2018</v>
      </c>
      <c r="O103" s="50" t="str">
        <f ca="1">IF(AND(TbRegistroEntradas[[#This Row],[Data do Caixa Previsto]]&lt;TODAY(),TbRegistroEntradas[[#This Row],[Data do Caixa Realizado]]=""),"Vencida","Não Vencida")</f>
        <v>Não Vencida</v>
      </c>
    </row>
    <row r="104" spans="2:15" x14ac:dyDescent="0.25">
      <c r="B104" s="13">
        <v>43340</v>
      </c>
      <c r="C104" s="13">
        <v>43254</v>
      </c>
      <c r="D104" s="13">
        <v>43313</v>
      </c>
      <c r="E104" t="s">
        <v>26</v>
      </c>
      <c r="F104" t="s">
        <v>34</v>
      </c>
      <c r="G104" t="s">
        <v>160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  <c r="M104" s="50">
        <f>IF(TbRegistroEntradas[[#This Row],[Data do Caixa Previsto]]="",0,MONTH(TbRegistroEntradas[[#This Row],[Data do Caixa Previsto]]))</f>
        <v>8</v>
      </c>
      <c r="N104" s="50">
        <f>IF(TbRegistroEntradas[[#This Row],[Data do Caixa Previsto]]="",0,YEAR(TbRegistroEntradas[[#This Row],[Data do Caixa Previsto]]))</f>
        <v>2018</v>
      </c>
      <c r="O104" s="50" t="str">
        <f ca="1">IF(AND(TbRegistroEntradas[[#This Row],[Data do Caixa Previsto]]&lt;TODAY(),TbRegistroEntradas[[#This Row],[Data do Caixa Realizado]]=""),"Vencida","Não Vencida")</f>
        <v>Não Vencida</v>
      </c>
    </row>
    <row r="105" spans="2:15" x14ac:dyDescent="0.25">
      <c r="B105" s="13">
        <v>43255</v>
      </c>
      <c r="C105" s="13">
        <v>43255</v>
      </c>
      <c r="D105" s="13">
        <v>43255</v>
      </c>
      <c r="E105" t="s">
        <v>26</v>
      </c>
      <c r="F105" t="s">
        <v>34</v>
      </c>
      <c r="G105" t="s">
        <v>161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  <c r="M105" s="50">
        <f>IF(TbRegistroEntradas[[#This Row],[Data do Caixa Previsto]]="",0,MONTH(TbRegistroEntradas[[#This Row],[Data do Caixa Previsto]]))</f>
        <v>6</v>
      </c>
      <c r="N105" s="50">
        <f>IF(TbRegistroEntradas[[#This Row],[Data do Caixa Previsto]]="",0,YEAR(TbRegistroEntradas[[#This Row],[Data do Caixa Previsto]]))</f>
        <v>2018</v>
      </c>
      <c r="O105" s="50" t="str">
        <f ca="1">IF(AND(TbRegistroEntradas[[#This Row],[Data do Caixa Previsto]]&lt;TODAY(),TbRegistroEntradas[[#This Row],[Data do Caixa Realizado]]=""),"Vencida","Não Vencida")</f>
        <v>Não Vencida</v>
      </c>
    </row>
    <row r="106" spans="2:15" x14ac:dyDescent="0.25">
      <c r="B106" s="13">
        <v>43267</v>
      </c>
      <c r="C106" s="13">
        <v>43256</v>
      </c>
      <c r="D106" s="13">
        <v>43267</v>
      </c>
      <c r="E106" t="s">
        <v>26</v>
      </c>
      <c r="F106" t="s">
        <v>32</v>
      </c>
      <c r="G106" t="s">
        <v>162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  <c r="M106" s="50">
        <f>IF(TbRegistroEntradas[[#This Row],[Data do Caixa Previsto]]="",0,MONTH(TbRegistroEntradas[[#This Row],[Data do Caixa Previsto]]))</f>
        <v>6</v>
      </c>
      <c r="N106" s="50">
        <f>IF(TbRegistroEntradas[[#This Row],[Data do Caixa Previsto]]="",0,YEAR(TbRegistroEntradas[[#This Row],[Data do Caixa Previsto]]))</f>
        <v>2018</v>
      </c>
      <c r="O106" s="50" t="str">
        <f ca="1">IF(AND(TbRegistroEntradas[[#This Row],[Data do Caixa Previsto]]&lt;TODAY(),TbRegistroEntradas[[#This Row],[Data do Caixa Realizado]]=""),"Vencida","Não Vencida")</f>
        <v>Não Vencida</v>
      </c>
    </row>
    <row r="107" spans="2:15" x14ac:dyDescent="0.25">
      <c r="B107" s="13">
        <v>43259</v>
      </c>
      <c r="C107" s="13">
        <v>43259</v>
      </c>
      <c r="D107" s="13">
        <v>43259</v>
      </c>
      <c r="E107" t="s">
        <v>26</v>
      </c>
      <c r="F107" t="s">
        <v>35</v>
      </c>
      <c r="G107" t="s">
        <v>163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  <c r="M107" s="50">
        <f>IF(TbRegistroEntradas[[#This Row],[Data do Caixa Previsto]]="",0,MONTH(TbRegistroEntradas[[#This Row],[Data do Caixa Previsto]]))</f>
        <v>6</v>
      </c>
      <c r="N107" s="50">
        <f>IF(TbRegistroEntradas[[#This Row],[Data do Caixa Previsto]]="",0,YEAR(TbRegistroEntradas[[#This Row],[Data do Caixa Previsto]]))</f>
        <v>2018</v>
      </c>
      <c r="O107" s="50" t="str">
        <f ca="1">IF(AND(TbRegistroEntradas[[#This Row],[Data do Caixa Previsto]]&lt;TODAY(),TbRegistroEntradas[[#This Row],[Data do Caixa Realizado]]=""),"Vencida","Não Vencida")</f>
        <v>Não Vencida</v>
      </c>
    </row>
    <row r="108" spans="2:15" x14ac:dyDescent="0.25">
      <c r="B108" s="13">
        <v>43276</v>
      </c>
      <c r="C108" s="13">
        <v>43261</v>
      </c>
      <c r="D108" s="13">
        <v>43276</v>
      </c>
      <c r="E108" t="s">
        <v>26</v>
      </c>
      <c r="F108" t="s">
        <v>33</v>
      </c>
      <c r="G108" t="s">
        <v>164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  <c r="M108" s="50">
        <f>IF(TbRegistroEntradas[[#This Row],[Data do Caixa Previsto]]="",0,MONTH(TbRegistroEntradas[[#This Row],[Data do Caixa Previsto]]))</f>
        <v>6</v>
      </c>
      <c r="N108" s="50">
        <f>IF(TbRegistroEntradas[[#This Row],[Data do Caixa Previsto]]="",0,YEAR(TbRegistroEntradas[[#This Row],[Data do Caixa Previsto]]))</f>
        <v>2018</v>
      </c>
      <c r="O108" s="50" t="str">
        <f ca="1">IF(AND(TbRegistroEntradas[[#This Row],[Data do Caixa Previsto]]&lt;TODAY(),TbRegistroEntradas[[#This Row],[Data do Caixa Realizado]]=""),"Vencida","Não Vencida")</f>
        <v>Não Vencida</v>
      </c>
    </row>
    <row r="109" spans="2:15" x14ac:dyDescent="0.25">
      <c r="B109" s="13">
        <v>43320</v>
      </c>
      <c r="C109" s="13">
        <v>43264</v>
      </c>
      <c r="D109" s="13">
        <v>43320</v>
      </c>
      <c r="E109" t="s">
        <v>26</v>
      </c>
      <c r="F109" t="s">
        <v>32</v>
      </c>
      <c r="G109" t="s">
        <v>165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  <c r="M109" s="50">
        <f>IF(TbRegistroEntradas[[#This Row],[Data do Caixa Previsto]]="",0,MONTH(TbRegistroEntradas[[#This Row],[Data do Caixa Previsto]]))</f>
        <v>8</v>
      </c>
      <c r="N109" s="50">
        <f>IF(TbRegistroEntradas[[#This Row],[Data do Caixa Previsto]]="",0,YEAR(TbRegistroEntradas[[#This Row],[Data do Caixa Previsto]]))</f>
        <v>2018</v>
      </c>
      <c r="O109" s="50" t="str">
        <f ca="1">IF(AND(TbRegistroEntradas[[#This Row],[Data do Caixa Previsto]]&lt;TODAY(),TbRegistroEntradas[[#This Row],[Data do Caixa Realizado]]=""),"Vencida","Não Vencida")</f>
        <v>Não Vencida</v>
      </c>
    </row>
    <row r="110" spans="2:15" x14ac:dyDescent="0.25">
      <c r="B110" s="13">
        <v>43303</v>
      </c>
      <c r="C110" s="13">
        <v>43265</v>
      </c>
      <c r="D110" s="13">
        <v>43303</v>
      </c>
      <c r="E110" t="s">
        <v>26</v>
      </c>
      <c r="F110" t="s">
        <v>35</v>
      </c>
      <c r="G110" t="s">
        <v>166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  <c r="M110" s="50">
        <f>IF(TbRegistroEntradas[[#This Row],[Data do Caixa Previsto]]="",0,MONTH(TbRegistroEntradas[[#This Row],[Data do Caixa Previsto]]))</f>
        <v>7</v>
      </c>
      <c r="N110" s="50">
        <f>IF(TbRegistroEntradas[[#This Row],[Data do Caixa Previsto]]="",0,YEAR(TbRegistroEntradas[[#This Row],[Data do Caixa Previsto]]))</f>
        <v>2018</v>
      </c>
      <c r="O110" s="50" t="str">
        <f ca="1">IF(AND(TbRegistroEntradas[[#This Row],[Data do Caixa Previsto]]&lt;TODAY(),TbRegistroEntradas[[#This Row],[Data do Caixa Realizado]]=""),"Vencida","Não Vencida")</f>
        <v>Não Vencida</v>
      </c>
    </row>
    <row r="111" spans="2:15" x14ac:dyDescent="0.25">
      <c r="B111" s="13">
        <v>43293</v>
      </c>
      <c r="C111" s="13">
        <v>43266</v>
      </c>
      <c r="D111" s="13">
        <v>43293</v>
      </c>
      <c r="E111" t="s">
        <v>26</v>
      </c>
      <c r="F111" t="s">
        <v>35</v>
      </c>
      <c r="G111" t="s">
        <v>167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  <c r="M111" s="50">
        <f>IF(TbRegistroEntradas[[#This Row],[Data do Caixa Previsto]]="",0,MONTH(TbRegistroEntradas[[#This Row],[Data do Caixa Previsto]]))</f>
        <v>7</v>
      </c>
      <c r="N111" s="50">
        <f>IF(TbRegistroEntradas[[#This Row],[Data do Caixa Previsto]]="",0,YEAR(TbRegistroEntradas[[#This Row],[Data do Caixa Previsto]]))</f>
        <v>2018</v>
      </c>
      <c r="O111" s="50" t="str">
        <f ca="1">IF(AND(TbRegistroEntradas[[#This Row],[Data do Caixa Previsto]]&lt;TODAY(),TbRegistroEntradas[[#This Row],[Data do Caixa Realizado]]=""),"Vencida","Não Vencida")</f>
        <v>Não Vencida</v>
      </c>
    </row>
    <row r="112" spans="2:15" x14ac:dyDescent="0.25">
      <c r="B112" s="13">
        <v>43268</v>
      </c>
      <c r="C112" s="13">
        <v>43268</v>
      </c>
      <c r="D112" s="13">
        <v>43268</v>
      </c>
      <c r="E112" t="s">
        <v>26</v>
      </c>
      <c r="F112" t="s">
        <v>36</v>
      </c>
      <c r="G112" t="s">
        <v>168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  <c r="M112" s="50">
        <f>IF(TbRegistroEntradas[[#This Row],[Data do Caixa Previsto]]="",0,MONTH(TbRegistroEntradas[[#This Row],[Data do Caixa Previsto]]))</f>
        <v>6</v>
      </c>
      <c r="N112" s="50">
        <f>IF(TbRegistroEntradas[[#This Row],[Data do Caixa Previsto]]="",0,YEAR(TbRegistroEntradas[[#This Row],[Data do Caixa Previsto]]))</f>
        <v>2018</v>
      </c>
      <c r="O112" s="50" t="str">
        <f ca="1">IF(AND(TbRegistroEntradas[[#This Row],[Data do Caixa Previsto]]&lt;TODAY(),TbRegistroEntradas[[#This Row],[Data do Caixa Realizado]]=""),"Vencida","Não Vencida")</f>
        <v>Não Vencida</v>
      </c>
    </row>
    <row r="113" spans="2:15" x14ac:dyDescent="0.25">
      <c r="B113" s="13">
        <v>43326</v>
      </c>
      <c r="C113" s="13">
        <v>43272</v>
      </c>
      <c r="D113" s="13">
        <v>43309</v>
      </c>
      <c r="E113" t="s">
        <v>26</v>
      </c>
      <c r="F113" t="s">
        <v>36</v>
      </c>
      <c r="G113" t="s">
        <v>169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  <c r="M113" s="50">
        <f>IF(TbRegistroEntradas[[#This Row],[Data do Caixa Previsto]]="",0,MONTH(TbRegistroEntradas[[#This Row],[Data do Caixa Previsto]]))</f>
        <v>7</v>
      </c>
      <c r="N113" s="50">
        <f>IF(TbRegistroEntradas[[#This Row],[Data do Caixa Previsto]]="",0,YEAR(TbRegistroEntradas[[#This Row],[Data do Caixa Previsto]]))</f>
        <v>2018</v>
      </c>
      <c r="O113" s="50" t="str">
        <f ca="1">IF(AND(TbRegistroEntradas[[#This Row],[Data do Caixa Previsto]]&lt;TODAY(),TbRegistroEntradas[[#This Row],[Data do Caixa Realizado]]=""),"Vencida","Não Vencida")</f>
        <v>Não Vencida</v>
      </c>
    </row>
    <row r="114" spans="2:15" x14ac:dyDescent="0.25">
      <c r="B114" s="13">
        <v>43313</v>
      </c>
      <c r="C114" s="13">
        <v>43275</v>
      </c>
      <c r="D114" s="13">
        <v>43313</v>
      </c>
      <c r="E114" t="s">
        <v>26</v>
      </c>
      <c r="F114" t="s">
        <v>36</v>
      </c>
      <c r="G114" t="s">
        <v>170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  <c r="M114" s="50">
        <f>IF(TbRegistroEntradas[[#This Row],[Data do Caixa Previsto]]="",0,MONTH(TbRegistroEntradas[[#This Row],[Data do Caixa Previsto]]))</f>
        <v>8</v>
      </c>
      <c r="N114" s="50">
        <f>IF(TbRegistroEntradas[[#This Row],[Data do Caixa Previsto]]="",0,YEAR(TbRegistroEntradas[[#This Row],[Data do Caixa Previsto]]))</f>
        <v>2018</v>
      </c>
      <c r="O114" s="50" t="str">
        <f ca="1">IF(AND(TbRegistroEntradas[[#This Row],[Data do Caixa Previsto]]&lt;TODAY(),TbRegistroEntradas[[#This Row],[Data do Caixa Realizado]]=""),"Vencida","Não Vencida")</f>
        <v>Não Vencida</v>
      </c>
    </row>
    <row r="115" spans="2:15" x14ac:dyDescent="0.25">
      <c r="B115" s="13">
        <v>43317</v>
      </c>
      <c r="C115" s="13">
        <v>43276</v>
      </c>
      <c r="D115" s="13">
        <v>43317</v>
      </c>
      <c r="E115" t="s">
        <v>26</v>
      </c>
      <c r="F115" t="s">
        <v>35</v>
      </c>
      <c r="G115" t="s">
        <v>171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  <c r="M115" s="50">
        <f>IF(TbRegistroEntradas[[#This Row],[Data do Caixa Previsto]]="",0,MONTH(TbRegistroEntradas[[#This Row],[Data do Caixa Previsto]]))</f>
        <v>8</v>
      </c>
      <c r="N115" s="50">
        <f>IF(TbRegistroEntradas[[#This Row],[Data do Caixa Previsto]]="",0,YEAR(TbRegistroEntradas[[#This Row],[Data do Caixa Previsto]]))</f>
        <v>2018</v>
      </c>
      <c r="O115" s="50" t="str">
        <f ca="1">IF(AND(TbRegistroEntradas[[#This Row],[Data do Caixa Previsto]]&lt;TODAY(),TbRegistroEntradas[[#This Row],[Data do Caixa Realizado]]=""),"Vencida","Não Vencida")</f>
        <v>Não Vencida</v>
      </c>
    </row>
    <row r="116" spans="2:15" x14ac:dyDescent="0.25">
      <c r="B116" s="13">
        <v>43328</v>
      </c>
      <c r="C116" s="13">
        <v>43280</v>
      </c>
      <c r="D116" s="13">
        <v>43328</v>
      </c>
      <c r="E116" t="s">
        <v>26</v>
      </c>
      <c r="F116" t="s">
        <v>35</v>
      </c>
      <c r="G116" t="s">
        <v>172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  <c r="M116" s="50">
        <f>IF(TbRegistroEntradas[[#This Row],[Data do Caixa Previsto]]="",0,MONTH(TbRegistroEntradas[[#This Row],[Data do Caixa Previsto]]))</f>
        <v>8</v>
      </c>
      <c r="N116" s="50">
        <f>IF(TbRegistroEntradas[[#This Row],[Data do Caixa Previsto]]="",0,YEAR(TbRegistroEntradas[[#This Row],[Data do Caixa Previsto]]))</f>
        <v>2018</v>
      </c>
      <c r="O116" s="50" t="str">
        <f ca="1">IF(AND(TbRegistroEntradas[[#This Row],[Data do Caixa Previsto]]&lt;TODAY(),TbRegistroEntradas[[#This Row],[Data do Caixa Realizado]]=""),"Vencida","Não Vencida")</f>
        <v>Não Vencida</v>
      </c>
    </row>
    <row r="117" spans="2:15" x14ac:dyDescent="0.25">
      <c r="B117" s="13">
        <v>43398</v>
      </c>
      <c r="C117" s="13">
        <v>43284</v>
      </c>
      <c r="D117" s="13">
        <v>43310</v>
      </c>
      <c r="E117" t="s">
        <v>26</v>
      </c>
      <c r="F117" t="s">
        <v>35</v>
      </c>
      <c r="G117" t="s">
        <v>173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  <c r="M117" s="50">
        <f>IF(TbRegistroEntradas[[#This Row],[Data do Caixa Previsto]]="",0,MONTH(TbRegistroEntradas[[#This Row],[Data do Caixa Previsto]]))</f>
        <v>7</v>
      </c>
      <c r="N117" s="50">
        <f>IF(TbRegistroEntradas[[#This Row],[Data do Caixa Previsto]]="",0,YEAR(TbRegistroEntradas[[#This Row],[Data do Caixa Previsto]]))</f>
        <v>2018</v>
      </c>
      <c r="O117" s="50" t="str">
        <f ca="1">IF(AND(TbRegistroEntradas[[#This Row],[Data do Caixa Previsto]]&lt;TODAY(),TbRegistroEntradas[[#This Row],[Data do Caixa Realizado]]=""),"Vencida","Não Vencida")</f>
        <v>Não Vencida</v>
      </c>
    </row>
    <row r="118" spans="2:15" x14ac:dyDescent="0.25">
      <c r="B118" s="13">
        <v>43343</v>
      </c>
      <c r="C118" s="13">
        <v>43285</v>
      </c>
      <c r="D118" s="13">
        <v>43343</v>
      </c>
      <c r="E118" t="s">
        <v>26</v>
      </c>
      <c r="F118" t="s">
        <v>35</v>
      </c>
      <c r="G118" t="s">
        <v>174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  <c r="M118" s="50">
        <f>IF(TbRegistroEntradas[[#This Row],[Data do Caixa Previsto]]="",0,MONTH(TbRegistroEntradas[[#This Row],[Data do Caixa Previsto]]))</f>
        <v>8</v>
      </c>
      <c r="N118" s="50">
        <f>IF(TbRegistroEntradas[[#This Row],[Data do Caixa Previsto]]="",0,YEAR(TbRegistroEntradas[[#This Row],[Data do Caixa Previsto]]))</f>
        <v>2018</v>
      </c>
      <c r="O118" s="50" t="str">
        <f ca="1">IF(AND(TbRegistroEntradas[[#This Row],[Data do Caixa Previsto]]&lt;TODAY(),TbRegistroEntradas[[#This Row],[Data do Caixa Realizado]]=""),"Vencida","Não Vencida")</f>
        <v>Não Vencida</v>
      </c>
    </row>
    <row r="119" spans="2:15" x14ac:dyDescent="0.25">
      <c r="B119" s="13">
        <v>43316</v>
      </c>
      <c r="C119" s="13">
        <v>43286</v>
      </c>
      <c r="D119" s="13">
        <v>43316</v>
      </c>
      <c r="E119" t="s">
        <v>26</v>
      </c>
      <c r="F119" t="s">
        <v>34</v>
      </c>
      <c r="G119" t="s">
        <v>175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  <c r="M119" s="50">
        <f>IF(TbRegistroEntradas[[#This Row],[Data do Caixa Previsto]]="",0,MONTH(TbRegistroEntradas[[#This Row],[Data do Caixa Previsto]]))</f>
        <v>8</v>
      </c>
      <c r="N119" s="50">
        <f>IF(TbRegistroEntradas[[#This Row],[Data do Caixa Previsto]]="",0,YEAR(TbRegistroEntradas[[#This Row],[Data do Caixa Previsto]]))</f>
        <v>2018</v>
      </c>
      <c r="O119" s="50" t="str">
        <f ca="1">IF(AND(TbRegistroEntradas[[#This Row],[Data do Caixa Previsto]]&lt;TODAY(),TbRegistroEntradas[[#This Row],[Data do Caixa Realizado]]=""),"Vencida","Não Vencida")</f>
        <v>Não Vencida</v>
      </c>
    </row>
    <row r="120" spans="2:15" x14ac:dyDescent="0.25">
      <c r="B120" s="13">
        <v>43336</v>
      </c>
      <c r="C120" s="13">
        <v>43288</v>
      </c>
      <c r="D120" s="13">
        <v>43336</v>
      </c>
      <c r="E120" t="s">
        <v>26</v>
      </c>
      <c r="F120" t="s">
        <v>33</v>
      </c>
      <c r="G120" t="s">
        <v>176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  <c r="M120" s="50">
        <f>IF(TbRegistroEntradas[[#This Row],[Data do Caixa Previsto]]="",0,MONTH(TbRegistroEntradas[[#This Row],[Data do Caixa Previsto]]))</f>
        <v>8</v>
      </c>
      <c r="N120" s="50">
        <f>IF(TbRegistroEntradas[[#This Row],[Data do Caixa Previsto]]="",0,YEAR(TbRegistroEntradas[[#This Row],[Data do Caixa Previsto]]))</f>
        <v>2018</v>
      </c>
      <c r="O120" s="50" t="str">
        <f ca="1">IF(AND(TbRegistroEntradas[[#This Row],[Data do Caixa Previsto]]&lt;TODAY(),TbRegistroEntradas[[#This Row],[Data do Caixa Realizado]]=""),"Vencida","Não Vencida")</f>
        <v>Não Vencida</v>
      </c>
    </row>
    <row r="121" spans="2:15" x14ac:dyDescent="0.25">
      <c r="B121" s="13">
        <v>43323</v>
      </c>
      <c r="C121" s="13">
        <v>43292</v>
      </c>
      <c r="D121" s="13">
        <v>43323</v>
      </c>
      <c r="E121" t="s">
        <v>26</v>
      </c>
      <c r="F121" t="s">
        <v>36</v>
      </c>
      <c r="G121" t="s">
        <v>177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  <c r="M121" s="50">
        <f>IF(TbRegistroEntradas[[#This Row],[Data do Caixa Previsto]]="",0,MONTH(TbRegistroEntradas[[#This Row],[Data do Caixa Previsto]]))</f>
        <v>8</v>
      </c>
      <c r="N121" s="50">
        <f>IF(TbRegistroEntradas[[#This Row],[Data do Caixa Previsto]]="",0,YEAR(TbRegistroEntradas[[#This Row],[Data do Caixa Previsto]]))</f>
        <v>2018</v>
      </c>
      <c r="O121" s="50" t="str">
        <f ca="1">IF(AND(TbRegistroEntradas[[#This Row],[Data do Caixa Previsto]]&lt;TODAY(),TbRegistroEntradas[[#This Row],[Data do Caixa Realizado]]=""),"Vencida","Não Vencida")</f>
        <v>Não Vencida</v>
      </c>
    </row>
    <row r="122" spans="2:15" x14ac:dyDescent="0.25">
      <c r="B122" s="13">
        <v>43311</v>
      </c>
      <c r="C122" s="13">
        <v>43293</v>
      </c>
      <c r="D122" s="13">
        <v>43311</v>
      </c>
      <c r="E122" t="s">
        <v>26</v>
      </c>
      <c r="F122" t="s">
        <v>32</v>
      </c>
      <c r="G122" t="s">
        <v>178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  <c r="M122" s="50">
        <f>IF(TbRegistroEntradas[[#This Row],[Data do Caixa Previsto]]="",0,MONTH(TbRegistroEntradas[[#This Row],[Data do Caixa Previsto]]))</f>
        <v>7</v>
      </c>
      <c r="N122" s="50">
        <f>IF(TbRegistroEntradas[[#This Row],[Data do Caixa Previsto]]="",0,YEAR(TbRegistroEntradas[[#This Row],[Data do Caixa Previsto]]))</f>
        <v>2018</v>
      </c>
      <c r="O122" s="50" t="str">
        <f ca="1">IF(AND(TbRegistroEntradas[[#This Row],[Data do Caixa Previsto]]&lt;TODAY(),TbRegistroEntradas[[#This Row],[Data do Caixa Realizado]]=""),"Vencida","Não Vencida")</f>
        <v>Não Vencida</v>
      </c>
    </row>
    <row r="123" spans="2:15" x14ac:dyDescent="0.25">
      <c r="B123" s="13">
        <v>43302</v>
      </c>
      <c r="C123" s="13">
        <v>43297</v>
      </c>
      <c r="D123" s="13">
        <v>43302</v>
      </c>
      <c r="E123" t="s">
        <v>26</v>
      </c>
      <c r="F123" t="s">
        <v>35</v>
      </c>
      <c r="G123" t="s">
        <v>179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  <c r="M123" s="50">
        <f>IF(TbRegistroEntradas[[#This Row],[Data do Caixa Previsto]]="",0,MONTH(TbRegistroEntradas[[#This Row],[Data do Caixa Previsto]]))</f>
        <v>7</v>
      </c>
      <c r="N123" s="50">
        <f>IF(TbRegistroEntradas[[#This Row],[Data do Caixa Previsto]]="",0,YEAR(TbRegistroEntradas[[#This Row],[Data do Caixa Previsto]]))</f>
        <v>2018</v>
      </c>
      <c r="O123" s="50" t="str">
        <f ca="1">IF(AND(TbRegistroEntradas[[#This Row],[Data do Caixa Previsto]]&lt;TODAY(),TbRegistroEntradas[[#This Row],[Data do Caixa Realizado]]=""),"Vencida","Não Vencida")</f>
        <v>Não Vencida</v>
      </c>
    </row>
    <row r="124" spans="2:15" x14ac:dyDescent="0.25">
      <c r="B124" s="13" t="s">
        <v>69</v>
      </c>
      <c r="C124" s="13">
        <v>43299</v>
      </c>
      <c r="D124" s="13">
        <v>43346</v>
      </c>
      <c r="E124" t="s">
        <v>26</v>
      </c>
      <c r="F124" t="s">
        <v>35</v>
      </c>
      <c r="G124" t="s">
        <v>180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  <c r="M124" s="50">
        <f>IF(TbRegistroEntradas[[#This Row],[Data do Caixa Previsto]]="",0,MONTH(TbRegistroEntradas[[#This Row],[Data do Caixa Previsto]]))</f>
        <v>9</v>
      </c>
      <c r="N124" s="50">
        <f>IF(TbRegistroEntradas[[#This Row],[Data do Caixa Previsto]]="",0,YEAR(TbRegistroEntradas[[#This Row],[Data do Caixa Previsto]]))</f>
        <v>2018</v>
      </c>
      <c r="O124" s="50" t="str">
        <f ca="1">IF(AND(TbRegistroEntradas[[#This Row],[Data do Caixa Previsto]]&lt;TODAY(),TbRegistroEntradas[[#This Row],[Data do Caixa Realizado]]=""),"Vencida","Não Vencida")</f>
        <v>Vencida</v>
      </c>
    </row>
    <row r="125" spans="2:15" x14ac:dyDescent="0.25">
      <c r="B125" s="13" t="s">
        <v>69</v>
      </c>
      <c r="C125" s="13">
        <v>43304</v>
      </c>
      <c r="D125" s="13">
        <v>43304</v>
      </c>
      <c r="E125" t="s">
        <v>26</v>
      </c>
      <c r="F125" t="s">
        <v>36</v>
      </c>
      <c r="G125" t="s">
        <v>181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  <c r="M125" s="50">
        <f>IF(TbRegistroEntradas[[#This Row],[Data do Caixa Previsto]]="",0,MONTH(TbRegistroEntradas[[#This Row],[Data do Caixa Previsto]]))</f>
        <v>7</v>
      </c>
      <c r="N125" s="50">
        <f>IF(TbRegistroEntradas[[#This Row],[Data do Caixa Previsto]]="",0,YEAR(TbRegistroEntradas[[#This Row],[Data do Caixa Previsto]]))</f>
        <v>2018</v>
      </c>
      <c r="O125" s="50" t="str">
        <f ca="1">IF(AND(TbRegistroEntradas[[#This Row],[Data do Caixa Previsto]]&lt;TODAY(),TbRegistroEntradas[[#This Row],[Data do Caixa Realizado]]=""),"Vencida","Não Vencida")</f>
        <v>Vencida</v>
      </c>
    </row>
    <row r="126" spans="2:15" x14ac:dyDescent="0.25">
      <c r="B126" s="13">
        <v>43350</v>
      </c>
      <c r="C126" s="13">
        <v>43306</v>
      </c>
      <c r="D126" s="13">
        <v>43350</v>
      </c>
      <c r="E126" t="s">
        <v>26</v>
      </c>
      <c r="F126" t="s">
        <v>33</v>
      </c>
      <c r="G126" t="s">
        <v>182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  <c r="M126" s="50">
        <f>IF(TbRegistroEntradas[[#This Row],[Data do Caixa Previsto]]="",0,MONTH(TbRegistroEntradas[[#This Row],[Data do Caixa Previsto]]))</f>
        <v>9</v>
      </c>
      <c r="N126" s="50">
        <f>IF(TbRegistroEntradas[[#This Row],[Data do Caixa Previsto]]="",0,YEAR(TbRegistroEntradas[[#This Row],[Data do Caixa Previsto]]))</f>
        <v>2018</v>
      </c>
      <c r="O126" s="50" t="str">
        <f ca="1">IF(AND(TbRegistroEntradas[[#This Row],[Data do Caixa Previsto]]&lt;TODAY(),TbRegistroEntradas[[#This Row],[Data do Caixa Realizado]]=""),"Vencida","Não Vencida")</f>
        <v>Não Vencida</v>
      </c>
    </row>
    <row r="127" spans="2:15" x14ac:dyDescent="0.25">
      <c r="B127" s="13" t="s">
        <v>69</v>
      </c>
      <c r="C127" s="13">
        <v>43310</v>
      </c>
      <c r="D127" s="13">
        <v>43310</v>
      </c>
      <c r="E127" t="s">
        <v>26</v>
      </c>
      <c r="F127" t="s">
        <v>35</v>
      </c>
      <c r="G127" t="s">
        <v>183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  <c r="M127" s="50">
        <f>IF(TbRegistroEntradas[[#This Row],[Data do Caixa Previsto]]="",0,MONTH(TbRegistroEntradas[[#This Row],[Data do Caixa Previsto]]))</f>
        <v>7</v>
      </c>
      <c r="N127" s="50">
        <f>IF(TbRegistroEntradas[[#This Row],[Data do Caixa Previsto]]="",0,YEAR(TbRegistroEntradas[[#This Row],[Data do Caixa Previsto]]))</f>
        <v>2018</v>
      </c>
      <c r="O127" s="50" t="str">
        <f ca="1">IF(AND(TbRegistroEntradas[[#This Row],[Data do Caixa Previsto]]&lt;TODAY(),TbRegistroEntradas[[#This Row],[Data do Caixa Realizado]]=""),"Vencida","Não Vencida")</f>
        <v>Vencida</v>
      </c>
    </row>
    <row r="128" spans="2:15" x14ac:dyDescent="0.25">
      <c r="B128" s="13">
        <v>43409</v>
      </c>
      <c r="C128" s="13">
        <v>43315</v>
      </c>
      <c r="D128" s="13">
        <v>43357</v>
      </c>
      <c r="E128" t="s">
        <v>26</v>
      </c>
      <c r="F128" t="s">
        <v>35</v>
      </c>
      <c r="G128" t="s">
        <v>184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  <c r="M128" s="50">
        <f>IF(TbRegistroEntradas[[#This Row],[Data do Caixa Previsto]]="",0,MONTH(TbRegistroEntradas[[#This Row],[Data do Caixa Previsto]]))</f>
        <v>9</v>
      </c>
      <c r="N128" s="50">
        <f>IF(TbRegistroEntradas[[#This Row],[Data do Caixa Previsto]]="",0,YEAR(TbRegistroEntradas[[#This Row],[Data do Caixa Previsto]]))</f>
        <v>2018</v>
      </c>
      <c r="O128" s="50" t="str">
        <f ca="1">IF(AND(TbRegistroEntradas[[#This Row],[Data do Caixa Previsto]]&lt;TODAY(),TbRegistroEntradas[[#This Row],[Data do Caixa Realizado]]=""),"Vencida","Não Vencida")</f>
        <v>Não Vencida</v>
      </c>
    </row>
    <row r="129" spans="2:15" x14ac:dyDescent="0.25">
      <c r="B129" s="13">
        <v>43368</v>
      </c>
      <c r="C129" s="13">
        <v>43318</v>
      </c>
      <c r="D129" s="13">
        <v>43318</v>
      </c>
      <c r="E129" t="s">
        <v>26</v>
      </c>
      <c r="F129" t="s">
        <v>35</v>
      </c>
      <c r="G129" t="s">
        <v>185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  <c r="M129" s="50">
        <f>IF(TbRegistroEntradas[[#This Row],[Data do Caixa Previsto]]="",0,MONTH(TbRegistroEntradas[[#This Row],[Data do Caixa Previsto]]))</f>
        <v>8</v>
      </c>
      <c r="N129" s="50">
        <f>IF(TbRegistroEntradas[[#This Row],[Data do Caixa Previsto]]="",0,YEAR(TbRegistroEntradas[[#This Row],[Data do Caixa Previsto]]))</f>
        <v>2018</v>
      </c>
      <c r="O129" s="50" t="str">
        <f ca="1">IF(AND(TbRegistroEntradas[[#This Row],[Data do Caixa Previsto]]&lt;TODAY(),TbRegistroEntradas[[#This Row],[Data do Caixa Realizado]]=""),"Vencida","Não Vencida")</f>
        <v>Não Vencida</v>
      </c>
    </row>
    <row r="130" spans="2:15" x14ac:dyDescent="0.25">
      <c r="B130" s="13">
        <v>43341</v>
      </c>
      <c r="C130" s="13">
        <v>43321</v>
      </c>
      <c r="D130" s="13">
        <v>43341</v>
      </c>
      <c r="E130" t="s">
        <v>26</v>
      </c>
      <c r="F130" t="s">
        <v>33</v>
      </c>
      <c r="G130" t="s">
        <v>186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  <c r="M130" s="50">
        <f>IF(TbRegistroEntradas[[#This Row],[Data do Caixa Previsto]]="",0,MONTH(TbRegistroEntradas[[#This Row],[Data do Caixa Previsto]]))</f>
        <v>8</v>
      </c>
      <c r="N130" s="50">
        <f>IF(TbRegistroEntradas[[#This Row],[Data do Caixa Previsto]]="",0,YEAR(TbRegistroEntradas[[#This Row],[Data do Caixa Previsto]]))</f>
        <v>2018</v>
      </c>
      <c r="O130" s="50" t="str">
        <f ca="1">IF(AND(TbRegistroEntradas[[#This Row],[Data do Caixa Previsto]]&lt;TODAY(),TbRegistroEntradas[[#This Row],[Data do Caixa Realizado]]=""),"Vencida","Não Vencida")</f>
        <v>Não Vencida</v>
      </c>
    </row>
    <row r="131" spans="2:15" x14ac:dyDescent="0.25">
      <c r="B131" s="13">
        <v>43323</v>
      </c>
      <c r="C131" s="13">
        <v>43323</v>
      </c>
      <c r="D131" s="13">
        <v>43323</v>
      </c>
      <c r="E131" t="s">
        <v>26</v>
      </c>
      <c r="F131" t="s">
        <v>33</v>
      </c>
      <c r="G131" t="s">
        <v>187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  <c r="M131" s="50">
        <f>IF(TbRegistroEntradas[[#This Row],[Data do Caixa Previsto]]="",0,MONTH(TbRegistroEntradas[[#This Row],[Data do Caixa Previsto]]))</f>
        <v>8</v>
      </c>
      <c r="N131" s="50">
        <f>IF(TbRegistroEntradas[[#This Row],[Data do Caixa Previsto]]="",0,YEAR(TbRegistroEntradas[[#This Row],[Data do Caixa Previsto]]))</f>
        <v>2018</v>
      </c>
      <c r="O131" s="50" t="str">
        <f ca="1">IF(AND(TbRegistroEntradas[[#This Row],[Data do Caixa Previsto]]&lt;TODAY(),TbRegistroEntradas[[#This Row],[Data do Caixa Realizado]]=""),"Vencida","Não Vencida")</f>
        <v>Não Vencida</v>
      </c>
    </row>
    <row r="132" spans="2:15" x14ac:dyDescent="0.25">
      <c r="B132" s="13">
        <v>43360</v>
      </c>
      <c r="C132" s="13">
        <v>43326</v>
      </c>
      <c r="D132" s="13">
        <v>43360</v>
      </c>
      <c r="E132" t="s">
        <v>26</v>
      </c>
      <c r="F132" t="s">
        <v>32</v>
      </c>
      <c r="G132" t="s">
        <v>153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  <c r="M132" s="50">
        <f>IF(TbRegistroEntradas[[#This Row],[Data do Caixa Previsto]]="",0,MONTH(TbRegistroEntradas[[#This Row],[Data do Caixa Previsto]]))</f>
        <v>9</v>
      </c>
      <c r="N132" s="50">
        <f>IF(TbRegistroEntradas[[#This Row],[Data do Caixa Previsto]]="",0,YEAR(TbRegistroEntradas[[#This Row],[Data do Caixa Previsto]]))</f>
        <v>2018</v>
      </c>
      <c r="O132" s="50" t="str">
        <f ca="1">IF(AND(TbRegistroEntradas[[#This Row],[Data do Caixa Previsto]]&lt;TODAY(),TbRegistroEntradas[[#This Row],[Data do Caixa Realizado]]=""),"Vencida","Não Vencida")</f>
        <v>Não Vencida</v>
      </c>
    </row>
    <row r="133" spans="2:15" x14ac:dyDescent="0.25">
      <c r="B133" s="13">
        <v>43329</v>
      </c>
      <c r="C133" s="13">
        <v>43329</v>
      </c>
      <c r="D133" s="13">
        <v>43329</v>
      </c>
      <c r="E133" t="s">
        <v>26</v>
      </c>
      <c r="F133" t="s">
        <v>35</v>
      </c>
      <c r="G133" t="s">
        <v>188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  <c r="M133" s="50">
        <f>IF(TbRegistroEntradas[[#This Row],[Data do Caixa Previsto]]="",0,MONTH(TbRegistroEntradas[[#This Row],[Data do Caixa Previsto]]))</f>
        <v>8</v>
      </c>
      <c r="N133" s="50">
        <f>IF(TbRegistroEntradas[[#This Row],[Data do Caixa Previsto]]="",0,YEAR(TbRegistroEntradas[[#This Row],[Data do Caixa Previsto]]))</f>
        <v>2018</v>
      </c>
      <c r="O133" s="50" t="str">
        <f ca="1">IF(AND(TbRegistroEntradas[[#This Row],[Data do Caixa Previsto]]&lt;TODAY(),TbRegistroEntradas[[#This Row],[Data do Caixa Realizado]]=""),"Vencida","Não Vencida")</f>
        <v>Não Vencida</v>
      </c>
    </row>
    <row r="134" spans="2:15" x14ac:dyDescent="0.25">
      <c r="B134" s="13">
        <v>43336</v>
      </c>
      <c r="C134" s="13">
        <v>43336</v>
      </c>
      <c r="D134" s="13">
        <v>43336</v>
      </c>
      <c r="E134" t="s">
        <v>26</v>
      </c>
      <c r="F134" t="s">
        <v>36</v>
      </c>
      <c r="G134" t="s">
        <v>189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  <c r="M134" s="50">
        <f>IF(TbRegistroEntradas[[#This Row],[Data do Caixa Previsto]]="",0,MONTH(TbRegistroEntradas[[#This Row],[Data do Caixa Previsto]]))</f>
        <v>8</v>
      </c>
      <c r="N134" s="50">
        <f>IF(TbRegistroEntradas[[#This Row],[Data do Caixa Previsto]]="",0,YEAR(TbRegistroEntradas[[#This Row],[Data do Caixa Previsto]]))</f>
        <v>2018</v>
      </c>
      <c r="O134" s="50" t="str">
        <f ca="1">IF(AND(TbRegistroEntradas[[#This Row],[Data do Caixa Previsto]]&lt;TODAY(),TbRegistroEntradas[[#This Row],[Data do Caixa Realizado]]=""),"Vencida","Não Vencida")</f>
        <v>Não Vencida</v>
      </c>
    </row>
    <row r="135" spans="2:15" x14ac:dyDescent="0.25">
      <c r="B135" s="13">
        <v>43475</v>
      </c>
      <c r="C135" s="13">
        <v>43338</v>
      </c>
      <c r="D135" s="13">
        <v>43395</v>
      </c>
      <c r="E135" t="s">
        <v>26</v>
      </c>
      <c r="F135" t="s">
        <v>36</v>
      </c>
      <c r="G135" t="s">
        <v>190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  <c r="M135" s="50">
        <f>IF(TbRegistroEntradas[[#This Row],[Data do Caixa Previsto]]="",0,MONTH(TbRegistroEntradas[[#This Row],[Data do Caixa Previsto]]))</f>
        <v>10</v>
      </c>
      <c r="N135" s="50">
        <f>IF(TbRegistroEntradas[[#This Row],[Data do Caixa Previsto]]="",0,YEAR(TbRegistroEntradas[[#This Row],[Data do Caixa Previsto]]))</f>
        <v>2018</v>
      </c>
      <c r="O135" s="50" t="str">
        <f ca="1">IF(AND(TbRegistroEntradas[[#This Row],[Data do Caixa Previsto]]&lt;TODAY(),TbRegistroEntradas[[#This Row],[Data do Caixa Realizado]]=""),"Vencida","Não Vencida")</f>
        <v>Não Vencida</v>
      </c>
    </row>
    <row r="136" spans="2:15" x14ac:dyDescent="0.25">
      <c r="B136" s="13">
        <v>43393</v>
      </c>
      <c r="C136" s="13">
        <v>43342</v>
      </c>
      <c r="D136" s="13">
        <v>43393</v>
      </c>
      <c r="E136" t="s">
        <v>26</v>
      </c>
      <c r="F136" t="s">
        <v>35</v>
      </c>
      <c r="G136" t="s">
        <v>191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  <c r="M136" s="50">
        <f>IF(TbRegistroEntradas[[#This Row],[Data do Caixa Previsto]]="",0,MONTH(TbRegistroEntradas[[#This Row],[Data do Caixa Previsto]]))</f>
        <v>10</v>
      </c>
      <c r="N136" s="50">
        <f>IF(TbRegistroEntradas[[#This Row],[Data do Caixa Previsto]]="",0,YEAR(TbRegistroEntradas[[#This Row],[Data do Caixa Previsto]]))</f>
        <v>2018</v>
      </c>
      <c r="O136" s="50" t="str">
        <f ca="1">IF(AND(TbRegistroEntradas[[#This Row],[Data do Caixa Previsto]]&lt;TODAY(),TbRegistroEntradas[[#This Row],[Data do Caixa Realizado]]=""),"Vencida","Não Vencida")</f>
        <v>Não Vencida</v>
      </c>
    </row>
    <row r="137" spans="2:15" x14ac:dyDescent="0.25">
      <c r="B137" s="13">
        <v>43405</v>
      </c>
      <c r="C137" s="13">
        <v>43343</v>
      </c>
      <c r="D137" s="13">
        <v>43354</v>
      </c>
      <c r="E137" t="s">
        <v>26</v>
      </c>
      <c r="F137" t="s">
        <v>33</v>
      </c>
      <c r="G137" t="s">
        <v>192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  <c r="M137" s="50">
        <f>IF(TbRegistroEntradas[[#This Row],[Data do Caixa Previsto]]="",0,MONTH(TbRegistroEntradas[[#This Row],[Data do Caixa Previsto]]))</f>
        <v>9</v>
      </c>
      <c r="N137" s="50">
        <f>IF(TbRegistroEntradas[[#This Row],[Data do Caixa Previsto]]="",0,YEAR(TbRegistroEntradas[[#This Row],[Data do Caixa Previsto]]))</f>
        <v>2018</v>
      </c>
      <c r="O137" s="50" t="str">
        <f ca="1">IF(AND(TbRegistroEntradas[[#This Row],[Data do Caixa Previsto]]&lt;TODAY(),TbRegistroEntradas[[#This Row],[Data do Caixa Realizado]]=""),"Vencida","Não Vencida")</f>
        <v>Não Vencida</v>
      </c>
    </row>
    <row r="138" spans="2:15" x14ac:dyDescent="0.25">
      <c r="B138" s="13">
        <v>43370</v>
      </c>
      <c r="C138" s="13">
        <v>43344</v>
      </c>
      <c r="D138" s="13">
        <v>43370</v>
      </c>
      <c r="E138" t="s">
        <v>26</v>
      </c>
      <c r="F138" t="s">
        <v>35</v>
      </c>
      <c r="G138" t="s">
        <v>193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  <c r="M138" s="50">
        <f>IF(TbRegistroEntradas[[#This Row],[Data do Caixa Previsto]]="",0,MONTH(TbRegistroEntradas[[#This Row],[Data do Caixa Previsto]]))</f>
        <v>9</v>
      </c>
      <c r="N138" s="50">
        <f>IF(TbRegistroEntradas[[#This Row],[Data do Caixa Previsto]]="",0,YEAR(TbRegistroEntradas[[#This Row],[Data do Caixa Previsto]]))</f>
        <v>2018</v>
      </c>
      <c r="O138" s="50" t="str">
        <f ca="1">IF(AND(TbRegistroEntradas[[#This Row],[Data do Caixa Previsto]]&lt;TODAY(),TbRegistroEntradas[[#This Row],[Data do Caixa Realizado]]=""),"Vencida","Não Vencida")</f>
        <v>Não Vencida</v>
      </c>
    </row>
    <row r="139" spans="2:15" x14ac:dyDescent="0.25">
      <c r="B139" s="13">
        <v>43350</v>
      </c>
      <c r="C139" s="13">
        <v>43350</v>
      </c>
      <c r="D139" s="13">
        <v>43350</v>
      </c>
      <c r="E139" t="s">
        <v>26</v>
      </c>
      <c r="F139" t="s">
        <v>36</v>
      </c>
      <c r="G139" t="s">
        <v>194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  <c r="M139" s="50">
        <f>IF(TbRegistroEntradas[[#This Row],[Data do Caixa Previsto]]="",0,MONTH(TbRegistroEntradas[[#This Row],[Data do Caixa Previsto]]))</f>
        <v>9</v>
      </c>
      <c r="N139" s="50">
        <f>IF(TbRegistroEntradas[[#This Row],[Data do Caixa Previsto]]="",0,YEAR(TbRegistroEntradas[[#This Row],[Data do Caixa Previsto]]))</f>
        <v>2018</v>
      </c>
      <c r="O139" s="50" t="str">
        <f ca="1">IF(AND(TbRegistroEntradas[[#This Row],[Data do Caixa Previsto]]&lt;TODAY(),TbRegistroEntradas[[#This Row],[Data do Caixa Realizado]]=""),"Vencida","Não Vencida")</f>
        <v>Não Vencida</v>
      </c>
    </row>
    <row r="140" spans="2:15" x14ac:dyDescent="0.25">
      <c r="B140" s="13">
        <v>43365</v>
      </c>
      <c r="C140" s="13">
        <v>43352</v>
      </c>
      <c r="D140" s="13">
        <v>43365</v>
      </c>
      <c r="E140" t="s">
        <v>26</v>
      </c>
      <c r="F140" t="s">
        <v>35</v>
      </c>
      <c r="G140" t="s">
        <v>195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  <c r="M140" s="50">
        <f>IF(TbRegistroEntradas[[#This Row],[Data do Caixa Previsto]]="",0,MONTH(TbRegistroEntradas[[#This Row],[Data do Caixa Previsto]]))</f>
        <v>9</v>
      </c>
      <c r="N140" s="50">
        <f>IF(TbRegistroEntradas[[#This Row],[Data do Caixa Previsto]]="",0,YEAR(TbRegistroEntradas[[#This Row],[Data do Caixa Previsto]]))</f>
        <v>2018</v>
      </c>
      <c r="O140" s="50" t="str">
        <f ca="1">IF(AND(TbRegistroEntradas[[#This Row],[Data do Caixa Previsto]]&lt;TODAY(),TbRegistroEntradas[[#This Row],[Data do Caixa Realizado]]=""),"Vencida","Não Vencida")</f>
        <v>Não Vencida</v>
      </c>
    </row>
    <row r="141" spans="2:15" x14ac:dyDescent="0.25">
      <c r="B141" s="13">
        <v>43383</v>
      </c>
      <c r="C141" s="13">
        <v>43355</v>
      </c>
      <c r="D141" s="13">
        <v>43383</v>
      </c>
      <c r="E141" t="s">
        <v>26</v>
      </c>
      <c r="F141" t="s">
        <v>35</v>
      </c>
      <c r="G141" t="s">
        <v>196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  <c r="M141" s="50">
        <f>IF(TbRegistroEntradas[[#This Row],[Data do Caixa Previsto]]="",0,MONTH(TbRegistroEntradas[[#This Row],[Data do Caixa Previsto]]))</f>
        <v>10</v>
      </c>
      <c r="N141" s="50">
        <f>IF(TbRegistroEntradas[[#This Row],[Data do Caixa Previsto]]="",0,YEAR(TbRegistroEntradas[[#This Row],[Data do Caixa Previsto]]))</f>
        <v>2018</v>
      </c>
      <c r="O141" s="50" t="str">
        <f ca="1">IF(AND(TbRegistroEntradas[[#This Row],[Data do Caixa Previsto]]&lt;TODAY(),TbRegistroEntradas[[#This Row],[Data do Caixa Realizado]]=""),"Vencida","Não Vencida")</f>
        <v>Não Vencida</v>
      </c>
    </row>
    <row r="142" spans="2:15" x14ac:dyDescent="0.25">
      <c r="B142" s="13">
        <v>43412</v>
      </c>
      <c r="C142" s="13">
        <v>43361</v>
      </c>
      <c r="D142" s="13">
        <v>43412</v>
      </c>
      <c r="E142" t="s">
        <v>26</v>
      </c>
      <c r="F142" t="s">
        <v>33</v>
      </c>
      <c r="G142" t="s">
        <v>197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  <c r="M142" s="50">
        <f>IF(TbRegistroEntradas[[#This Row],[Data do Caixa Previsto]]="",0,MONTH(TbRegistroEntradas[[#This Row],[Data do Caixa Previsto]]))</f>
        <v>11</v>
      </c>
      <c r="N142" s="50">
        <f>IF(TbRegistroEntradas[[#This Row],[Data do Caixa Previsto]]="",0,YEAR(TbRegistroEntradas[[#This Row],[Data do Caixa Previsto]]))</f>
        <v>2018</v>
      </c>
      <c r="O142" s="50" t="str">
        <f ca="1">IF(AND(TbRegistroEntradas[[#This Row],[Data do Caixa Previsto]]&lt;TODAY(),TbRegistroEntradas[[#This Row],[Data do Caixa Realizado]]=""),"Vencida","Não Vencida")</f>
        <v>Não Vencida</v>
      </c>
    </row>
    <row r="143" spans="2:15" x14ac:dyDescent="0.25">
      <c r="B143" s="13">
        <v>43374</v>
      </c>
      <c r="C143" s="13">
        <v>43363</v>
      </c>
      <c r="D143" s="13">
        <v>43374</v>
      </c>
      <c r="E143" t="s">
        <v>26</v>
      </c>
      <c r="F143" t="s">
        <v>34</v>
      </c>
      <c r="G143" t="s">
        <v>198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  <c r="M143" s="50">
        <f>IF(TbRegistroEntradas[[#This Row],[Data do Caixa Previsto]]="",0,MONTH(TbRegistroEntradas[[#This Row],[Data do Caixa Previsto]]))</f>
        <v>10</v>
      </c>
      <c r="N143" s="50">
        <f>IF(TbRegistroEntradas[[#This Row],[Data do Caixa Previsto]]="",0,YEAR(TbRegistroEntradas[[#This Row],[Data do Caixa Previsto]]))</f>
        <v>2018</v>
      </c>
      <c r="O143" s="50" t="str">
        <f ca="1">IF(AND(TbRegistroEntradas[[#This Row],[Data do Caixa Previsto]]&lt;TODAY(),TbRegistroEntradas[[#This Row],[Data do Caixa Realizado]]=""),"Vencida","Não Vencida")</f>
        <v>Não Vencida</v>
      </c>
    </row>
    <row r="144" spans="2:15" x14ac:dyDescent="0.25">
      <c r="B144" s="13">
        <v>43422</v>
      </c>
      <c r="C144" s="13">
        <v>43364</v>
      </c>
      <c r="D144" s="13">
        <v>43364</v>
      </c>
      <c r="E144" t="s">
        <v>26</v>
      </c>
      <c r="F144" t="s">
        <v>35</v>
      </c>
      <c r="G144" t="s">
        <v>199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  <c r="M144" s="50">
        <f>IF(TbRegistroEntradas[[#This Row],[Data do Caixa Previsto]]="",0,MONTH(TbRegistroEntradas[[#This Row],[Data do Caixa Previsto]]))</f>
        <v>9</v>
      </c>
      <c r="N144" s="50">
        <f>IF(TbRegistroEntradas[[#This Row],[Data do Caixa Previsto]]="",0,YEAR(TbRegistroEntradas[[#This Row],[Data do Caixa Previsto]]))</f>
        <v>2018</v>
      </c>
      <c r="O144" s="50" t="str">
        <f ca="1">IF(AND(TbRegistroEntradas[[#This Row],[Data do Caixa Previsto]]&lt;TODAY(),TbRegistroEntradas[[#This Row],[Data do Caixa Realizado]]=""),"Vencida","Não Vencida")</f>
        <v>Não Vencida</v>
      </c>
    </row>
    <row r="145" spans="2:15" x14ac:dyDescent="0.25">
      <c r="B145" s="13">
        <v>43405</v>
      </c>
      <c r="C145" s="13">
        <v>43366</v>
      </c>
      <c r="D145" s="13">
        <v>43405</v>
      </c>
      <c r="E145" t="s">
        <v>26</v>
      </c>
      <c r="F145" t="s">
        <v>34</v>
      </c>
      <c r="G145" t="s">
        <v>200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  <c r="M145" s="50">
        <f>IF(TbRegistroEntradas[[#This Row],[Data do Caixa Previsto]]="",0,MONTH(TbRegistroEntradas[[#This Row],[Data do Caixa Previsto]]))</f>
        <v>11</v>
      </c>
      <c r="N145" s="50">
        <f>IF(TbRegistroEntradas[[#This Row],[Data do Caixa Previsto]]="",0,YEAR(TbRegistroEntradas[[#This Row],[Data do Caixa Previsto]]))</f>
        <v>2018</v>
      </c>
      <c r="O145" s="50" t="str">
        <f ca="1">IF(AND(TbRegistroEntradas[[#This Row],[Data do Caixa Previsto]]&lt;TODAY(),TbRegistroEntradas[[#This Row],[Data do Caixa Realizado]]=""),"Vencida","Não Vencida")</f>
        <v>Não Vencida</v>
      </c>
    </row>
    <row r="146" spans="2:15" x14ac:dyDescent="0.25">
      <c r="B146" s="13">
        <v>43369</v>
      </c>
      <c r="C146" s="13">
        <v>43369</v>
      </c>
      <c r="D146" s="13">
        <v>43369</v>
      </c>
      <c r="E146" t="s">
        <v>26</v>
      </c>
      <c r="F146" t="s">
        <v>33</v>
      </c>
      <c r="G146" t="s">
        <v>201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  <c r="M146" s="50">
        <f>IF(TbRegistroEntradas[[#This Row],[Data do Caixa Previsto]]="",0,MONTH(TbRegistroEntradas[[#This Row],[Data do Caixa Previsto]]))</f>
        <v>9</v>
      </c>
      <c r="N146" s="50">
        <f>IF(TbRegistroEntradas[[#This Row],[Data do Caixa Previsto]]="",0,YEAR(TbRegistroEntradas[[#This Row],[Data do Caixa Previsto]]))</f>
        <v>2018</v>
      </c>
      <c r="O146" s="50" t="str">
        <f ca="1">IF(AND(TbRegistroEntradas[[#This Row],[Data do Caixa Previsto]]&lt;TODAY(),TbRegistroEntradas[[#This Row],[Data do Caixa Realizado]]=""),"Vencida","Não Vencida")</f>
        <v>Não Vencida</v>
      </c>
    </row>
    <row r="147" spans="2:15" x14ac:dyDescent="0.25">
      <c r="B147" s="13">
        <v>43392</v>
      </c>
      <c r="C147" s="13">
        <v>43374</v>
      </c>
      <c r="D147" s="13">
        <v>43392</v>
      </c>
      <c r="E147" t="s">
        <v>26</v>
      </c>
      <c r="F147" t="s">
        <v>35</v>
      </c>
      <c r="G147" t="s">
        <v>202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  <c r="M147" s="50">
        <f>IF(TbRegistroEntradas[[#This Row],[Data do Caixa Previsto]]="",0,MONTH(TbRegistroEntradas[[#This Row],[Data do Caixa Previsto]]))</f>
        <v>10</v>
      </c>
      <c r="N147" s="50">
        <f>IF(TbRegistroEntradas[[#This Row],[Data do Caixa Previsto]]="",0,YEAR(TbRegistroEntradas[[#This Row],[Data do Caixa Previsto]]))</f>
        <v>2018</v>
      </c>
      <c r="O147" s="50" t="str">
        <f ca="1">IF(AND(TbRegistroEntradas[[#This Row],[Data do Caixa Previsto]]&lt;TODAY(),TbRegistroEntradas[[#This Row],[Data do Caixa Realizado]]=""),"Vencida","Não Vencida")</f>
        <v>Não Vencida</v>
      </c>
    </row>
    <row r="148" spans="2:15" x14ac:dyDescent="0.25">
      <c r="B148" s="13">
        <v>43399</v>
      </c>
      <c r="C148" s="13">
        <v>43378</v>
      </c>
      <c r="D148" s="13">
        <v>43399</v>
      </c>
      <c r="E148" t="s">
        <v>26</v>
      </c>
      <c r="F148" t="s">
        <v>32</v>
      </c>
      <c r="G148" t="s">
        <v>203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  <c r="M148" s="50">
        <f>IF(TbRegistroEntradas[[#This Row],[Data do Caixa Previsto]]="",0,MONTH(TbRegistroEntradas[[#This Row],[Data do Caixa Previsto]]))</f>
        <v>10</v>
      </c>
      <c r="N148" s="50">
        <f>IF(TbRegistroEntradas[[#This Row],[Data do Caixa Previsto]]="",0,YEAR(TbRegistroEntradas[[#This Row],[Data do Caixa Previsto]]))</f>
        <v>2018</v>
      </c>
      <c r="O148" s="50" t="str">
        <f ca="1">IF(AND(TbRegistroEntradas[[#This Row],[Data do Caixa Previsto]]&lt;TODAY(),TbRegistroEntradas[[#This Row],[Data do Caixa Realizado]]=""),"Vencida","Não Vencida")</f>
        <v>Não Vencida</v>
      </c>
    </row>
    <row r="149" spans="2:15" x14ac:dyDescent="0.25">
      <c r="B149" s="13">
        <v>43432</v>
      </c>
      <c r="C149" s="13">
        <v>43382</v>
      </c>
      <c r="D149" s="13">
        <v>43432</v>
      </c>
      <c r="E149" t="s">
        <v>26</v>
      </c>
      <c r="F149" t="s">
        <v>36</v>
      </c>
      <c r="G149" t="s">
        <v>204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  <c r="M149" s="50">
        <f>IF(TbRegistroEntradas[[#This Row],[Data do Caixa Previsto]]="",0,MONTH(TbRegistroEntradas[[#This Row],[Data do Caixa Previsto]]))</f>
        <v>11</v>
      </c>
      <c r="N149" s="50">
        <f>IF(TbRegistroEntradas[[#This Row],[Data do Caixa Previsto]]="",0,YEAR(TbRegistroEntradas[[#This Row],[Data do Caixa Previsto]]))</f>
        <v>2018</v>
      </c>
      <c r="O149" s="50" t="str">
        <f ca="1">IF(AND(TbRegistroEntradas[[#This Row],[Data do Caixa Previsto]]&lt;TODAY(),TbRegistroEntradas[[#This Row],[Data do Caixa Realizado]]=""),"Vencida","Não Vencida")</f>
        <v>Não Vencida</v>
      </c>
    </row>
    <row r="150" spans="2:15" x14ac:dyDescent="0.25">
      <c r="B150" s="13">
        <v>43382</v>
      </c>
      <c r="C150" s="13">
        <v>43382</v>
      </c>
      <c r="D150" s="13">
        <v>43382</v>
      </c>
      <c r="E150" t="s">
        <v>26</v>
      </c>
      <c r="F150" t="s">
        <v>36</v>
      </c>
      <c r="G150" t="s">
        <v>205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  <c r="M150" s="50">
        <f>IF(TbRegistroEntradas[[#This Row],[Data do Caixa Previsto]]="",0,MONTH(TbRegistroEntradas[[#This Row],[Data do Caixa Previsto]]))</f>
        <v>10</v>
      </c>
      <c r="N150" s="50">
        <f>IF(TbRegistroEntradas[[#This Row],[Data do Caixa Previsto]]="",0,YEAR(TbRegistroEntradas[[#This Row],[Data do Caixa Previsto]]))</f>
        <v>2018</v>
      </c>
      <c r="O150" s="50" t="str">
        <f ca="1">IF(AND(TbRegistroEntradas[[#This Row],[Data do Caixa Previsto]]&lt;TODAY(),TbRegistroEntradas[[#This Row],[Data do Caixa Realizado]]=""),"Vencida","Não Vencida")</f>
        <v>Não Vencida</v>
      </c>
    </row>
    <row r="151" spans="2:15" x14ac:dyDescent="0.25">
      <c r="B151" s="13">
        <v>43400</v>
      </c>
      <c r="C151" s="13">
        <v>43387</v>
      </c>
      <c r="D151" s="13">
        <v>43400</v>
      </c>
      <c r="E151" t="s">
        <v>26</v>
      </c>
      <c r="F151" t="s">
        <v>35</v>
      </c>
      <c r="G151" t="s">
        <v>206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  <c r="M151" s="50">
        <f>IF(TbRegistroEntradas[[#This Row],[Data do Caixa Previsto]]="",0,MONTH(TbRegistroEntradas[[#This Row],[Data do Caixa Previsto]]))</f>
        <v>10</v>
      </c>
      <c r="N151" s="50">
        <f>IF(TbRegistroEntradas[[#This Row],[Data do Caixa Previsto]]="",0,YEAR(TbRegistroEntradas[[#This Row],[Data do Caixa Previsto]]))</f>
        <v>2018</v>
      </c>
      <c r="O151" s="50" t="str">
        <f ca="1">IF(AND(TbRegistroEntradas[[#This Row],[Data do Caixa Previsto]]&lt;TODAY(),TbRegistroEntradas[[#This Row],[Data do Caixa Realizado]]=""),"Vencida","Não Vencida")</f>
        <v>Não Vencida</v>
      </c>
    </row>
    <row r="152" spans="2:15" x14ac:dyDescent="0.25">
      <c r="B152" s="13" t="s">
        <v>69</v>
      </c>
      <c r="C152" s="13">
        <v>43389</v>
      </c>
      <c r="D152" s="13">
        <v>43438</v>
      </c>
      <c r="E152" t="s">
        <v>26</v>
      </c>
      <c r="F152" t="s">
        <v>36</v>
      </c>
      <c r="G152" t="s">
        <v>207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  <c r="M152" s="50">
        <f>IF(TbRegistroEntradas[[#This Row],[Data do Caixa Previsto]]="",0,MONTH(TbRegistroEntradas[[#This Row],[Data do Caixa Previsto]]))</f>
        <v>12</v>
      </c>
      <c r="N152" s="50">
        <f>IF(TbRegistroEntradas[[#This Row],[Data do Caixa Previsto]]="",0,YEAR(TbRegistroEntradas[[#This Row],[Data do Caixa Previsto]]))</f>
        <v>2018</v>
      </c>
      <c r="O152" s="50" t="str">
        <f ca="1">IF(AND(TbRegistroEntradas[[#This Row],[Data do Caixa Previsto]]&lt;TODAY(),TbRegistroEntradas[[#This Row],[Data do Caixa Realizado]]=""),"Vencida","Não Vencida")</f>
        <v>Vencida</v>
      </c>
    </row>
    <row r="153" spans="2:15" x14ac:dyDescent="0.25">
      <c r="B153" s="13">
        <v>43435</v>
      </c>
      <c r="C153" s="13">
        <v>43394</v>
      </c>
      <c r="D153" s="13">
        <v>43435</v>
      </c>
      <c r="E153" t="s">
        <v>26</v>
      </c>
      <c r="F153" t="s">
        <v>33</v>
      </c>
      <c r="G153" t="s">
        <v>208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  <c r="M153" s="50">
        <f>IF(TbRegistroEntradas[[#This Row],[Data do Caixa Previsto]]="",0,MONTH(TbRegistroEntradas[[#This Row],[Data do Caixa Previsto]]))</f>
        <v>12</v>
      </c>
      <c r="N153" s="50">
        <f>IF(TbRegistroEntradas[[#This Row],[Data do Caixa Previsto]]="",0,YEAR(TbRegistroEntradas[[#This Row],[Data do Caixa Previsto]]))</f>
        <v>2018</v>
      </c>
      <c r="O153" s="50" t="str">
        <f ca="1">IF(AND(TbRegistroEntradas[[#This Row],[Data do Caixa Previsto]]&lt;TODAY(),TbRegistroEntradas[[#This Row],[Data do Caixa Realizado]]=""),"Vencida","Não Vencida")</f>
        <v>Não Vencida</v>
      </c>
    </row>
    <row r="154" spans="2:15" x14ac:dyDescent="0.25">
      <c r="B154" s="13">
        <v>43424</v>
      </c>
      <c r="C154" s="13">
        <v>43398</v>
      </c>
      <c r="D154" s="13">
        <v>43419</v>
      </c>
      <c r="E154" t="s">
        <v>26</v>
      </c>
      <c r="F154" t="s">
        <v>35</v>
      </c>
      <c r="G154" t="s">
        <v>209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  <c r="M154" s="50">
        <f>IF(TbRegistroEntradas[[#This Row],[Data do Caixa Previsto]]="",0,MONTH(TbRegistroEntradas[[#This Row],[Data do Caixa Previsto]]))</f>
        <v>11</v>
      </c>
      <c r="N154" s="50">
        <f>IF(TbRegistroEntradas[[#This Row],[Data do Caixa Previsto]]="",0,YEAR(TbRegistroEntradas[[#This Row],[Data do Caixa Previsto]]))</f>
        <v>2018</v>
      </c>
      <c r="O154" s="50" t="str">
        <f ca="1">IF(AND(TbRegistroEntradas[[#This Row],[Data do Caixa Previsto]]&lt;TODAY(),TbRegistroEntradas[[#This Row],[Data do Caixa Realizado]]=""),"Vencida","Não Vencida")</f>
        <v>Não Vencida</v>
      </c>
    </row>
    <row r="155" spans="2:15" x14ac:dyDescent="0.25">
      <c r="B155" s="13">
        <v>43398</v>
      </c>
      <c r="C155" s="13">
        <v>43398</v>
      </c>
      <c r="D155" s="13">
        <v>43398</v>
      </c>
      <c r="E155" t="s">
        <v>26</v>
      </c>
      <c r="F155" t="s">
        <v>33</v>
      </c>
      <c r="G155" t="s">
        <v>210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  <c r="M155" s="50">
        <f>IF(TbRegistroEntradas[[#This Row],[Data do Caixa Previsto]]="",0,MONTH(TbRegistroEntradas[[#This Row],[Data do Caixa Previsto]]))</f>
        <v>10</v>
      </c>
      <c r="N155" s="50">
        <f>IF(TbRegistroEntradas[[#This Row],[Data do Caixa Previsto]]="",0,YEAR(TbRegistroEntradas[[#This Row],[Data do Caixa Previsto]]))</f>
        <v>2018</v>
      </c>
      <c r="O155" s="50" t="str">
        <f ca="1">IF(AND(TbRegistroEntradas[[#This Row],[Data do Caixa Previsto]]&lt;TODAY(),TbRegistroEntradas[[#This Row],[Data do Caixa Realizado]]=""),"Vencida","Não Vencida")</f>
        <v>Não Vencida</v>
      </c>
    </row>
    <row r="156" spans="2:15" x14ac:dyDescent="0.25">
      <c r="B156" s="13" t="s">
        <v>69</v>
      </c>
      <c r="C156" s="13">
        <v>43403</v>
      </c>
      <c r="D156" s="13">
        <v>43403</v>
      </c>
      <c r="E156" t="s">
        <v>26</v>
      </c>
      <c r="F156" t="s">
        <v>35</v>
      </c>
      <c r="G156" t="s">
        <v>211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  <c r="M156" s="50">
        <f>IF(TbRegistroEntradas[[#This Row],[Data do Caixa Previsto]]="",0,MONTH(TbRegistroEntradas[[#This Row],[Data do Caixa Previsto]]))</f>
        <v>10</v>
      </c>
      <c r="N156" s="50">
        <f>IF(TbRegistroEntradas[[#This Row],[Data do Caixa Previsto]]="",0,YEAR(TbRegistroEntradas[[#This Row],[Data do Caixa Previsto]]))</f>
        <v>2018</v>
      </c>
      <c r="O156" s="50" t="str">
        <f ca="1">IF(AND(TbRegistroEntradas[[#This Row],[Data do Caixa Previsto]]&lt;TODAY(),TbRegistroEntradas[[#This Row],[Data do Caixa Realizado]]=""),"Vencida","Não Vencida")</f>
        <v>Vencida</v>
      </c>
    </row>
    <row r="157" spans="2:15" x14ac:dyDescent="0.25">
      <c r="B157" s="13">
        <v>43442</v>
      </c>
      <c r="C157" s="13">
        <v>43408</v>
      </c>
      <c r="D157" s="13">
        <v>43442</v>
      </c>
      <c r="E157" t="s">
        <v>26</v>
      </c>
      <c r="F157" t="s">
        <v>34</v>
      </c>
      <c r="G157" t="s">
        <v>212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  <c r="M157" s="50">
        <f>IF(TbRegistroEntradas[[#This Row],[Data do Caixa Previsto]]="",0,MONTH(TbRegistroEntradas[[#This Row],[Data do Caixa Previsto]]))</f>
        <v>12</v>
      </c>
      <c r="N157" s="50">
        <f>IF(TbRegistroEntradas[[#This Row],[Data do Caixa Previsto]]="",0,YEAR(TbRegistroEntradas[[#This Row],[Data do Caixa Previsto]]))</f>
        <v>2018</v>
      </c>
      <c r="O157" s="50" t="str">
        <f ca="1">IF(AND(TbRegistroEntradas[[#This Row],[Data do Caixa Previsto]]&lt;TODAY(),TbRegistroEntradas[[#This Row],[Data do Caixa Realizado]]=""),"Vencida","Não Vencida")</f>
        <v>Não Vencida</v>
      </c>
    </row>
    <row r="158" spans="2:15" x14ac:dyDescent="0.25">
      <c r="B158" s="13">
        <v>43431</v>
      </c>
      <c r="C158" s="13">
        <v>43412</v>
      </c>
      <c r="D158" s="13">
        <v>43431</v>
      </c>
      <c r="E158" t="s">
        <v>26</v>
      </c>
      <c r="F158" t="s">
        <v>35</v>
      </c>
      <c r="G158" t="s">
        <v>213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  <c r="M158" s="50">
        <f>IF(TbRegistroEntradas[[#This Row],[Data do Caixa Previsto]]="",0,MONTH(TbRegistroEntradas[[#This Row],[Data do Caixa Previsto]]))</f>
        <v>11</v>
      </c>
      <c r="N158" s="50">
        <f>IF(TbRegistroEntradas[[#This Row],[Data do Caixa Previsto]]="",0,YEAR(TbRegistroEntradas[[#This Row],[Data do Caixa Previsto]]))</f>
        <v>2018</v>
      </c>
      <c r="O158" s="50" t="str">
        <f ca="1">IF(AND(TbRegistroEntradas[[#This Row],[Data do Caixa Previsto]]&lt;TODAY(),TbRegistroEntradas[[#This Row],[Data do Caixa Realizado]]=""),"Vencida","Não Vencida")</f>
        <v>Não Vencida</v>
      </c>
    </row>
    <row r="159" spans="2:15" x14ac:dyDescent="0.25">
      <c r="B159" s="13">
        <v>43421</v>
      </c>
      <c r="C159" s="13">
        <v>43415</v>
      </c>
      <c r="D159" s="13">
        <v>43421</v>
      </c>
      <c r="E159" t="s">
        <v>26</v>
      </c>
      <c r="F159" t="s">
        <v>35</v>
      </c>
      <c r="G159" t="s">
        <v>214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  <c r="M159" s="50">
        <f>IF(TbRegistroEntradas[[#This Row],[Data do Caixa Previsto]]="",0,MONTH(TbRegistroEntradas[[#This Row],[Data do Caixa Previsto]]))</f>
        <v>11</v>
      </c>
      <c r="N159" s="50">
        <f>IF(TbRegistroEntradas[[#This Row],[Data do Caixa Previsto]]="",0,YEAR(TbRegistroEntradas[[#This Row],[Data do Caixa Previsto]]))</f>
        <v>2018</v>
      </c>
      <c r="O159" s="50" t="str">
        <f ca="1">IF(AND(TbRegistroEntradas[[#This Row],[Data do Caixa Previsto]]&lt;TODAY(),TbRegistroEntradas[[#This Row],[Data do Caixa Realizado]]=""),"Vencida","Não Vencida")</f>
        <v>Não Vencida</v>
      </c>
    </row>
    <row r="160" spans="2:15" x14ac:dyDescent="0.25">
      <c r="B160" s="13">
        <v>43418</v>
      </c>
      <c r="C160" s="13">
        <v>43418</v>
      </c>
      <c r="D160" s="13">
        <v>43418</v>
      </c>
      <c r="E160" t="s">
        <v>26</v>
      </c>
      <c r="F160" t="s">
        <v>35</v>
      </c>
      <c r="G160" t="s">
        <v>215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  <c r="M160" s="50">
        <f>IF(TbRegistroEntradas[[#This Row],[Data do Caixa Previsto]]="",0,MONTH(TbRegistroEntradas[[#This Row],[Data do Caixa Previsto]]))</f>
        <v>11</v>
      </c>
      <c r="N160" s="50">
        <f>IF(TbRegistroEntradas[[#This Row],[Data do Caixa Previsto]]="",0,YEAR(TbRegistroEntradas[[#This Row],[Data do Caixa Previsto]]))</f>
        <v>2018</v>
      </c>
      <c r="O160" s="50" t="str">
        <f ca="1">IF(AND(TbRegistroEntradas[[#This Row],[Data do Caixa Previsto]]&lt;TODAY(),TbRegistroEntradas[[#This Row],[Data do Caixa Realizado]]=""),"Vencida","Não Vencida")</f>
        <v>Não Vencida</v>
      </c>
    </row>
    <row r="161" spans="2:15" x14ac:dyDescent="0.25">
      <c r="B161" s="13">
        <v>43537</v>
      </c>
      <c r="C161" s="13">
        <v>43421</v>
      </c>
      <c r="D161" s="13">
        <v>43464</v>
      </c>
      <c r="E161" t="s">
        <v>26</v>
      </c>
      <c r="F161" t="s">
        <v>33</v>
      </c>
      <c r="G161" t="s">
        <v>216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  <c r="M161" s="50">
        <f>IF(TbRegistroEntradas[[#This Row],[Data do Caixa Previsto]]="",0,MONTH(TbRegistroEntradas[[#This Row],[Data do Caixa Previsto]]))</f>
        <v>12</v>
      </c>
      <c r="N161" s="50">
        <f>IF(TbRegistroEntradas[[#This Row],[Data do Caixa Previsto]]="",0,YEAR(TbRegistroEntradas[[#This Row],[Data do Caixa Previsto]]))</f>
        <v>2018</v>
      </c>
      <c r="O161" s="50" t="str">
        <f ca="1">IF(AND(TbRegistroEntradas[[#This Row],[Data do Caixa Previsto]]&lt;TODAY(),TbRegistroEntradas[[#This Row],[Data do Caixa Realizado]]=""),"Vencida","Não Vencida")</f>
        <v>Não Vencida</v>
      </c>
    </row>
    <row r="162" spans="2:15" x14ac:dyDescent="0.25">
      <c r="B162" s="13">
        <v>43425</v>
      </c>
      <c r="C162" s="13">
        <v>43425</v>
      </c>
      <c r="D162" s="13">
        <v>43425</v>
      </c>
      <c r="E162" t="s">
        <v>26</v>
      </c>
      <c r="F162" t="s">
        <v>35</v>
      </c>
      <c r="G162" t="s">
        <v>217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  <c r="M162" s="50">
        <f>IF(TbRegistroEntradas[[#This Row],[Data do Caixa Previsto]]="",0,MONTH(TbRegistroEntradas[[#This Row],[Data do Caixa Previsto]]))</f>
        <v>11</v>
      </c>
      <c r="N162" s="50">
        <f>IF(TbRegistroEntradas[[#This Row],[Data do Caixa Previsto]]="",0,YEAR(TbRegistroEntradas[[#This Row],[Data do Caixa Previsto]]))</f>
        <v>2018</v>
      </c>
      <c r="O162" s="50" t="str">
        <f ca="1">IF(AND(TbRegistroEntradas[[#This Row],[Data do Caixa Previsto]]&lt;TODAY(),TbRegistroEntradas[[#This Row],[Data do Caixa Realizado]]=""),"Vencida","Não Vencida")</f>
        <v>Não Vencida</v>
      </c>
    </row>
    <row r="163" spans="2:15" x14ac:dyDescent="0.25">
      <c r="B163" s="13">
        <v>43465</v>
      </c>
      <c r="C163" s="13">
        <v>43427</v>
      </c>
      <c r="D163" s="13">
        <v>43465</v>
      </c>
      <c r="E163" t="s">
        <v>26</v>
      </c>
      <c r="F163" t="s">
        <v>35</v>
      </c>
      <c r="G163" t="s">
        <v>218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  <c r="M163" s="50">
        <f>IF(TbRegistroEntradas[[#This Row],[Data do Caixa Previsto]]="",0,MONTH(TbRegistroEntradas[[#This Row],[Data do Caixa Previsto]]))</f>
        <v>12</v>
      </c>
      <c r="N163" s="50">
        <f>IF(TbRegistroEntradas[[#This Row],[Data do Caixa Previsto]]="",0,YEAR(TbRegistroEntradas[[#This Row],[Data do Caixa Previsto]]))</f>
        <v>2018</v>
      </c>
      <c r="O163" s="50" t="str">
        <f ca="1">IF(AND(TbRegistroEntradas[[#This Row],[Data do Caixa Previsto]]&lt;TODAY(),TbRegistroEntradas[[#This Row],[Data do Caixa Realizado]]=""),"Vencida","Não Vencida")</f>
        <v>Não Vencida</v>
      </c>
    </row>
    <row r="164" spans="2:15" x14ac:dyDescent="0.25">
      <c r="B164" s="13">
        <v>43457</v>
      </c>
      <c r="C164" s="13">
        <v>43430</v>
      </c>
      <c r="D164" s="13">
        <v>43447</v>
      </c>
      <c r="E164" t="s">
        <v>26</v>
      </c>
      <c r="F164" t="s">
        <v>32</v>
      </c>
      <c r="G164" t="s">
        <v>219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  <c r="M164" s="50">
        <f>IF(TbRegistroEntradas[[#This Row],[Data do Caixa Previsto]]="",0,MONTH(TbRegistroEntradas[[#This Row],[Data do Caixa Previsto]]))</f>
        <v>12</v>
      </c>
      <c r="N164" s="50">
        <f>IF(TbRegistroEntradas[[#This Row],[Data do Caixa Previsto]]="",0,YEAR(TbRegistroEntradas[[#This Row],[Data do Caixa Previsto]]))</f>
        <v>2018</v>
      </c>
      <c r="O164" s="50" t="str">
        <f ca="1">IF(AND(TbRegistroEntradas[[#This Row],[Data do Caixa Previsto]]&lt;TODAY(),TbRegistroEntradas[[#This Row],[Data do Caixa Realizado]]=""),"Vencida","Não Vencida")</f>
        <v>Não Vencida</v>
      </c>
    </row>
    <row r="165" spans="2:15" x14ac:dyDescent="0.25">
      <c r="B165" s="13">
        <v>43431</v>
      </c>
      <c r="C165" s="13">
        <v>43431</v>
      </c>
      <c r="D165" s="13">
        <v>43431</v>
      </c>
      <c r="E165" t="s">
        <v>26</v>
      </c>
      <c r="F165" t="s">
        <v>35</v>
      </c>
      <c r="G165" t="s">
        <v>220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  <c r="M165" s="50">
        <f>IF(TbRegistroEntradas[[#This Row],[Data do Caixa Previsto]]="",0,MONTH(TbRegistroEntradas[[#This Row],[Data do Caixa Previsto]]))</f>
        <v>11</v>
      </c>
      <c r="N165" s="50">
        <f>IF(TbRegistroEntradas[[#This Row],[Data do Caixa Previsto]]="",0,YEAR(TbRegistroEntradas[[#This Row],[Data do Caixa Previsto]]))</f>
        <v>2018</v>
      </c>
      <c r="O165" s="50" t="str">
        <f ca="1">IF(AND(TbRegistroEntradas[[#This Row],[Data do Caixa Previsto]]&lt;TODAY(),TbRegistroEntradas[[#This Row],[Data do Caixa Realizado]]=""),"Vencida","Não Vencida")</f>
        <v>Não Vencida</v>
      </c>
    </row>
    <row r="166" spans="2:15" x14ac:dyDescent="0.25">
      <c r="B166" s="13">
        <v>43434</v>
      </c>
      <c r="C166" s="13">
        <v>43434</v>
      </c>
      <c r="D166" s="13">
        <v>43434</v>
      </c>
      <c r="E166" t="s">
        <v>26</v>
      </c>
      <c r="F166" t="s">
        <v>36</v>
      </c>
      <c r="G166" t="s">
        <v>221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  <c r="M166" s="50">
        <f>IF(TbRegistroEntradas[[#This Row],[Data do Caixa Previsto]]="",0,MONTH(TbRegistroEntradas[[#This Row],[Data do Caixa Previsto]]))</f>
        <v>11</v>
      </c>
      <c r="N166" s="50">
        <f>IF(TbRegistroEntradas[[#This Row],[Data do Caixa Previsto]]="",0,YEAR(TbRegistroEntradas[[#This Row],[Data do Caixa Previsto]]))</f>
        <v>2018</v>
      </c>
      <c r="O166" s="50" t="str">
        <f ca="1">IF(AND(TbRegistroEntradas[[#This Row],[Data do Caixa Previsto]]&lt;TODAY(),TbRegistroEntradas[[#This Row],[Data do Caixa Realizado]]=""),"Vencida","Não Vencida")</f>
        <v>Não Vencida</v>
      </c>
    </row>
    <row r="167" spans="2:15" x14ac:dyDescent="0.25">
      <c r="B167" s="13" t="s">
        <v>69</v>
      </c>
      <c r="C167" s="13">
        <v>43440</v>
      </c>
      <c r="D167" s="13">
        <v>43487</v>
      </c>
      <c r="E167" t="s">
        <v>26</v>
      </c>
      <c r="F167" t="s">
        <v>35</v>
      </c>
      <c r="G167" t="s">
        <v>222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  <c r="M167" s="50">
        <f>IF(TbRegistroEntradas[[#This Row],[Data do Caixa Previsto]]="",0,MONTH(TbRegistroEntradas[[#This Row],[Data do Caixa Previsto]]))</f>
        <v>1</v>
      </c>
      <c r="N167" s="50">
        <f>IF(TbRegistroEntradas[[#This Row],[Data do Caixa Previsto]]="",0,YEAR(TbRegistroEntradas[[#This Row],[Data do Caixa Previsto]]))</f>
        <v>2019</v>
      </c>
      <c r="O167" s="50" t="str">
        <f ca="1">IF(AND(TbRegistroEntradas[[#This Row],[Data do Caixa Previsto]]&lt;TODAY(),TbRegistroEntradas[[#This Row],[Data do Caixa Realizado]]=""),"Vencida","Não Vencida")</f>
        <v>Vencida</v>
      </c>
    </row>
    <row r="168" spans="2:15" x14ac:dyDescent="0.25">
      <c r="B168" s="13">
        <v>43560</v>
      </c>
      <c r="C168" s="13">
        <v>43444</v>
      </c>
      <c r="D168" s="13">
        <v>43477</v>
      </c>
      <c r="E168" t="s">
        <v>26</v>
      </c>
      <c r="F168" t="s">
        <v>36</v>
      </c>
      <c r="G168" t="s">
        <v>223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  <c r="M168" s="50">
        <f>IF(TbRegistroEntradas[[#This Row],[Data do Caixa Previsto]]="",0,MONTH(TbRegistroEntradas[[#This Row],[Data do Caixa Previsto]]))</f>
        <v>1</v>
      </c>
      <c r="N168" s="50">
        <f>IF(TbRegistroEntradas[[#This Row],[Data do Caixa Previsto]]="",0,YEAR(TbRegistroEntradas[[#This Row],[Data do Caixa Previsto]]))</f>
        <v>2019</v>
      </c>
      <c r="O168" s="50" t="str">
        <f ca="1">IF(AND(TbRegistroEntradas[[#This Row],[Data do Caixa Previsto]]&lt;TODAY(),TbRegistroEntradas[[#This Row],[Data do Caixa Realizado]]=""),"Vencida","Não Vencida")</f>
        <v>Não Vencida</v>
      </c>
    </row>
    <row r="169" spans="2:15" x14ac:dyDescent="0.25">
      <c r="B169" s="13">
        <v>43503</v>
      </c>
      <c r="C169" s="13">
        <v>43451</v>
      </c>
      <c r="D169" s="13">
        <v>43469</v>
      </c>
      <c r="E169" t="s">
        <v>26</v>
      </c>
      <c r="F169" t="s">
        <v>35</v>
      </c>
      <c r="G169" t="s">
        <v>224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  <c r="M169" s="50">
        <f>IF(TbRegistroEntradas[[#This Row],[Data do Caixa Previsto]]="",0,MONTH(TbRegistroEntradas[[#This Row],[Data do Caixa Previsto]]))</f>
        <v>1</v>
      </c>
      <c r="N169" s="50">
        <f>IF(TbRegistroEntradas[[#This Row],[Data do Caixa Previsto]]="",0,YEAR(TbRegistroEntradas[[#This Row],[Data do Caixa Previsto]]))</f>
        <v>2019</v>
      </c>
      <c r="O169" s="50" t="str">
        <f ca="1">IF(AND(TbRegistroEntradas[[#This Row],[Data do Caixa Previsto]]&lt;TODAY(),TbRegistroEntradas[[#This Row],[Data do Caixa Realizado]]=""),"Vencida","Não Vencida")</f>
        <v>Não Vencida</v>
      </c>
    </row>
    <row r="170" spans="2:15" x14ac:dyDescent="0.25">
      <c r="B170" s="13">
        <v>43459</v>
      </c>
      <c r="C170" s="13">
        <v>43454</v>
      </c>
      <c r="D170" s="13">
        <v>43459</v>
      </c>
      <c r="E170" t="s">
        <v>26</v>
      </c>
      <c r="F170" t="s">
        <v>33</v>
      </c>
      <c r="G170" t="s">
        <v>225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  <c r="M170" s="50">
        <f>IF(TbRegistroEntradas[[#This Row],[Data do Caixa Previsto]]="",0,MONTH(TbRegistroEntradas[[#This Row],[Data do Caixa Previsto]]))</f>
        <v>12</v>
      </c>
      <c r="N170" s="50">
        <f>IF(TbRegistroEntradas[[#This Row],[Data do Caixa Previsto]]="",0,YEAR(TbRegistroEntradas[[#This Row],[Data do Caixa Previsto]]))</f>
        <v>2018</v>
      </c>
      <c r="O170" s="50" t="str">
        <f ca="1">IF(AND(TbRegistroEntradas[[#This Row],[Data do Caixa Previsto]]&lt;TODAY(),TbRegistroEntradas[[#This Row],[Data do Caixa Realizado]]=""),"Vencida","Não Vencida")</f>
        <v>Não Vencida</v>
      </c>
    </row>
    <row r="171" spans="2:15" x14ac:dyDescent="0.25">
      <c r="B171" s="13">
        <v>43497</v>
      </c>
      <c r="C171" s="13">
        <v>43455</v>
      </c>
      <c r="D171" s="13">
        <v>43497</v>
      </c>
      <c r="E171" t="s">
        <v>26</v>
      </c>
      <c r="F171" t="s">
        <v>36</v>
      </c>
      <c r="G171" t="s">
        <v>226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  <c r="M171" s="50">
        <f>IF(TbRegistroEntradas[[#This Row],[Data do Caixa Previsto]]="",0,MONTH(TbRegistroEntradas[[#This Row],[Data do Caixa Previsto]]))</f>
        <v>2</v>
      </c>
      <c r="N171" s="50">
        <f>IF(TbRegistroEntradas[[#This Row],[Data do Caixa Previsto]]="",0,YEAR(TbRegistroEntradas[[#This Row],[Data do Caixa Previsto]]))</f>
        <v>2019</v>
      </c>
      <c r="O171" s="50" t="str">
        <f ca="1">IF(AND(TbRegistroEntradas[[#This Row],[Data do Caixa Previsto]]&lt;TODAY(),TbRegistroEntradas[[#This Row],[Data do Caixa Realizado]]=""),"Vencida","Não Vencida")</f>
        <v>Não Vencida</v>
      </c>
    </row>
    <row r="172" spans="2:15" x14ac:dyDescent="0.25">
      <c r="B172" s="13">
        <v>43457</v>
      </c>
      <c r="C172" s="13">
        <v>43457</v>
      </c>
      <c r="D172" s="13">
        <v>43457</v>
      </c>
      <c r="E172" t="s">
        <v>26</v>
      </c>
      <c r="F172" t="s">
        <v>36</v>
      </c>
      <c r="G172" t="s">
        <v>227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  <c r="M172" s="50">
        <f>IF(TbRegistroEntradas[[#This Row],[Data do Caixa Previsto]]="",0,MONTH(TbRegistroEntradas[[#This Row],[Data do Caixa Previsto]]))</f>
        <v>12</v>
      </c>
      <c r="N172" s="50">
        <f>IF(TbRegistroEntradas[[#This Row],[Data do Caixa Previsto]]="",0,YEAR(TbRegistroEntradas[[#This Row],[Data do Caixa Previsto]]))</f>
        <v>2018</v>
      </c>
      <c r="O172" s="50" t="str">
        <f ca="1">IF(AND(TbRegistroEntradas[[#This Row],[Data do Caixa Previsto]]&lt;TODAY(),TbRegistroEntradas[[#This Row],[Data do Caixa Realizado]]=""),"Vencida","Não Vencida")</f>
        <v>Não Vencida</v>
      </c>
    </row>
    <row r="173" spans="2:15" x14ac:dyDescent="0.25">
      <c r="B173" s="13">
        <v>43519</v>
      </c>
      <c r="C173" s="13">
        <v>43462</v>
      </c>
      <c r="D173" s="13">
        <v>43519</v>
      </c>
      <c r="E173" t="s">
        <v>26</v>
      </c>
      <c r="F173" t="s">
        <v>35</v>
      </c>
      <c r="G173" t="s">
        <v>228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  <c r="M173" s="50">
        <f>IF(TbRegistroEntradas[[#This Row],[Data do Caixa Previsto]]="",0,MONTH(TbRegistroEntradas[[#This Row],[Data do Caixa Previsto]]))</f>
        <v>2</v>
      </c>
      <c r="N173" s="50">
        <f>IF(TbRegistroEntradas[[#This Row],[Data do Caixa Previsto]]="",0,YEAR(TbRegistroEntradas[[#This Row],[Data do Caixa Previsto]]))</f>
        <v>2019</v>
      </c>
      <c r="O173" s="50" t="str">
        <f ca="1">IF(AND(TbRegistroEntradas[[#This Row],[Data do Caixa Previsto]]&lt;TODAY(),TbRegistroEntradas[[#This Row],[Data do Caixa Realizado]]=""),"Vencida","Não Vencida")</f>
        <v>Não Vencida</v>
      </c>
    </row>
    <row r="174" spans="2:15" x14ac:dyDescent="0.25">
      <c r="B174" s="13">
        <v>43483</v>
      </c>
      <c r="C174" s="13">
        <v>43465</v>
      </c>
      <c r="D174" s="13">
        <v>43483</v>
      </c>
      <c r="E174" t="s">
        <v>26</v>
      </c>
      <c r="F174" t="s">
        <v>35</v>
      </c>
      <c r="G174" t="s">
        <v>229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  <c r="M174" s="50">
        <f>IF(TbRegistroEntradas[[#This Row],[Data do Caixa Previsto]]="",0,MONTH(TbRegistroEntradas[[#This Row],[Data do Caixa Previsto]]))</f>
        <v>1</v>
      </c>
      <c r="N174" s="50">
        <f>IF(TbRegistroEntradas[[#This Row],[Data do Caixa Previsto]]="",0,YEAR(TbRegistroEntradas[[#This Row],[Data do Caixa Previsto]]))</f>
        <v>2019</v>
      </c>
      <c r="O174" s="50" t="str">
        <f ca="1">IF(AND(TbRegistroEntradas[[#This Row],[Data do Caixa Previsto]]&lt;TODAY(),TbRegistroEntradas[[#This Row],[Data do Caixa Realizado]]=""),"Vencida","Não Vencida")</f>
        <v>Não Vencida</v>
      </c>
    </row>
    <row r="175" spans="2:15" x14ac:dyDescent="0.25">
      <c r="B175" s="13">
        <v>43511</v>
      </c>
      <c r="C175" s="13">
        <v>43469</v>
      </c>
      <c r="D175" s="13">
        <v>43511</v>
      </c>
      <c r="E175" t="s">
        <v>26</v>
      </c>
      <c r="F175" t="s">
        <v>34</v>
      </c>
      <c r="G175" t="s">
        <v>230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  <c r="M175" s="50">
        <f>IF(TbRegistroEntradas[[#This Row],[Data do Caixa Previsto]]="",0,MONTH(TbRegistroEntradas[[#This Row],[Data do Caixa Previsto]]))</f>
        <v>2</v>
      </c>
      <c r="N175" s="50">
        <f>IF(TbRegistroEntradas[[#This Row],[Data do Caixa Previsto]]="",0,YEAR(TbRegistroEntradas[[#This Row],[Data do Caixa Previsto]]))</f>
        <v>2019</v>
      </c>
      <c r="O175" s="50" t="str">
        <f ca="1">IF(AND(TbRegistroEntradas[[#This Row],[Data do Caixa Previsto]]&lt;TODAY(),TbRegistroEntradas[[#This Row],[Data do Caixa Realizado]]=""),"Vencida","Não Vencida")</f>
        <v>Não Vencida</v>
      </c>
    </row>
    <row r="176" spans="2:15" x14ac:dyDescent="0.25">
      <c r="B176" s="13">
        <v>43473</v>
      </c>
      <c r="C176" s="13">
        <v>43473</v>
      </c>
      <c r="D176" s="13">
        <v>43473</v>
      </c>
      <c r="E176" t="s">
        <v>26</v>
      </c>
      <c r="F176" t="s">
        <v>36</v>
      </c>
      <c r="G176" t="s">
        <v>231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  <c r="M176" s="50">
        <f>IF(TbRegistroEntradas[[#This Row],[Data do Caixa Previsto]]="",0,MONTH(TbRegistroEntradas[[#This Row],[Data do Caixa Previsto]]))</f>
        <v>1</v>
      </c>
      <c r="N176" s="50">
        <f>IF(TbRegistroEntradas[[#This Row],[Data do Caixa Previsto]]="",0,YEAR(TbRegistroEntradas[[#This Row],[Data do Caixa Previsto]]))</f>
        <v>2019</v>
      </c>
      <c r="O176" s="50" t="str">
        <f ca="1">IF(AND(TbRegistroEntradas[[#This Row],[Data do Caixa Previsto]]&lt;TODAY(),TbRegistroEntradas[[#This Row],[Data do Caixa Realizado]]=""),"Vencida","Não Vencida")</f>
        <v>Não Vencida</v>
      </c>
    </row>
    <row r="177" spans="2:15" x14ac:dyDescent="0.25">
      <c r="B177" s="13">
        <v>43478</v>
      </c>
      <c r="C177" s="13">
        <v>43478</v>
      </c>
      <c r="D177" s="13">
        <v>43478</v>
      </c>
      <c r="E177" t="s">
        <v>26</v>
      </c>
      <c r="F177" t="s">
        <v>35</v>
      </c>
      <c r="G177" t="s">
        <v>232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  <c r="M177" s="50">
        <f>IF(TbRegistroEntradas[[#This Row],[Data do Caixa Previsto]]="",0,MONTH(TbRegistroEntradas[[#This Row],[Data do Caixa Previsto]]))</f>
        <v>1</v>
      </c>
      <c r="N177" s="50">
        <f>IF(TbRegistroEntradas[[#This Row],[Data do Caixa Previsto]]="",0,YEAR(TbRegistroEntradas[[#This Row],[Data do Caixa Previsto]]))</f>
        <v>2019</v>
      </c>
      <c r="O177" s="50" t="str">
        <f ca="1">IF(AND(TbRegistroEntradas[[#This Row],[Data do Caixa Previsto]]&lt;TODAY(),TbRegistroEntradas[[#This Row],[Data do Caixa Realizado]]=""),"Vencida","Não Vencida")</f>
        <v>Não Vencida</v>
      </c>
    </row>
    <row r="178" spans="2:15" x14ac:dyDescent="0.25">
      <c r="B178" s="13">
        <v>43538</v>
      </c>
      <c r="C178" s="13">
        <v>43482</v>
      </c>
      <c r="D178" s="13">
        <v>43538</v>
      </c>
      <c r="E178" t="s">
        <v>26</v>
      </c>
      <c r="F178" t="s">
        <v>32</v>
      </c>
      <c r="G178" t="s">
        <v>233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  <c r="M178" s="50">
        <f>IF(TbRegistroEntradas[[#This Row],[Data do Caixa Previsto]]="",0,MONTH(TbRegistroEntradas[[#This Row],[Data do Caixa Previsto]]))</f>
        <v>3</v>
      </c>
      <c r="N178" s="50">
        <f>IF(TbRegistroEntradas[[#This Row],[Data do Caixa Previsto]]="",0,YEAR(TbRegistroEntradas[[#This Row],[Data do Caixa Previsto]]))</f>
        <v>2019</v>
      </c>
      <c r="O178" s="50" t="str">
        <f ca="1">IF(AND(TbRegistroEntradas[[#This Row],[Data do Caixa Previsto]]&lt;TODAY(),TbRegistroEntradas[[#This Row],[Data do Caixa Realizado]]=""),"Vencida","Não Vencida")</f>
        <v>Não Vencida</v>
      </c>
    </row>
    <row r="179" spans="2:15" x14ac:dyDescent="0.25">
      <c r="B179" s="13">
        <v>43485</v>
      </c>
      <c r="C179" s="13">
        <v>43485</v>
      </c>
      <c r="D179" s="13">
        <v>43485</v>
      </c>
      <c r="E179" t="s">
        <v>26</v>
      </c>
      <c r="F179" t="s">
        <v>36</v>
      </c>
      <c r="G179" t="s">
        <v>234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  <c r="M179" s="50">
        <f>IF(TbRegistroEntradas[[#This Row],[Data do Caixa Previsto]]="",0,MONTH(TbRegistroEntradas[[#This Row],[Data do Caixa Previsto]]))</f>
        <v>1</v>
      </c>
      <c r="N179" s="50">
        <f>IF(TbRegistroEntradas[[#This Row],[Data do Caixa Previsto]]="",0,YEAR(TbRegistroEntradas[[#This Row],[Data do Caixa Previsto]]))</f>
        <v>2019</v>
      </c>
      <c r="O179" s="50" t="str">
        <f ca="1">IF(AND(TbRegistroEntradas[[#This Row],[Data do Caixa Previsto]]&lt;TODAY(),TbRegistroEntradas[[#This Row],[Data do Caixa Realizado]]=""),"Vencida","Não Vencida")</f>
        <v>Não Vencida</v>
      </c>
    </row>
    <row r="180" spans="2:15" x14ac:dyDescent="0.25">
      <c r="B180" s="13" t="s">
        <v>69</v>
      </c>
      <c r="C180" s="13">
        <v>43486</v>
      </c>
      <c r="D180" s="13">
        <v>43522</v>
      </c>
      <c r="E180" t="s">
        <v>26</v>
      </c>
      <c r="F180" t="s">
        <v>35</v>
      </c>
      <c r="G180" t="s">
        <v>235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  <c r="M180" s="50">
        <f>IF(TbRegistroEntradas[[#This Row],[Data do Caixa Previsto]]="",0,MONTH(TbRegistroEntradas[[#This Row],[Data do Caixa Previsto]]))</f>
        <v>2</v>
      </c>
      <c r="N180" s="50">
        <f>IF(TbRegistroEntradas[[#This Row],[Data do Caixa Previsto]]="",0,YEAR(TbRegistroEntradas[[#This Row],[Data do Caixa Previsto]]))</f>
        <v>2019</v>
      </c>
      <c r="O180" s="50" t="str">
        <f ca="1">IF(AND(TbRegistroEntradas[[#This Row],[Data do Caixa Previsto]]&lt;TODAY(),TbRegistroEntradas[[#This Row],[Data do Caixa Realizado]]=""),"Vencida","Não Vencida")</f>
        <v>Vencida</v>
      </c>
    </row>
    <row r="181" spans="2:15" x14ac:dyDescent="0.25">
      <c r="B181" s="13">
        <v>43505</v>
      </c>
      <c r="C181" s="13">
        <v>43488</v>
      </c>
      <c r="D181" s="13">
        <v>43505</v>
      </c>
      <c r="E181" t="s">
        <v>26</v>
      </c>
      <c r="F181" t="s">
        <v>34</v>
      </c>
      <c r="G181" t="s">
        <v>236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  <c r="M181" s="50">
        <f>IF(TbRegistroEntradas[[#This Row],[Data do Caixa Previsto]]="",0,MONTH(TbRegistroEntradas[[#This Row],[Data do Caixa Previsto]]))</f>
        <v>2</v>
      </c>
      <c r="N181" s="50">
        <f>IF(TbRegistroEntradas[[#This Row],[Data do Caixa Previsto]]="",0,YEAR(TbRegistroEntradas[[#This Row],[Data do Caixa Previsto]]))</f>
        <v>2019</v>
      </c>
      <c r="O181" s="50" t="str">
        <f ca="1">IF(AND(TbRegistroEntradas[[#This Row],[Data do Caixa Previsto]]&lt;TODAY(),TbRegistroEntradas[[#This Row],[Data do Caixa Realizado]]=""),"Vencida","Não Vencida")</f>
        <v>Não Vencida</v>
      </c>
    </row>
    <row r="182" spans="2:15" x14ac:dyDescent="0.25">
      <c r="B182" s="13" t="s">
        <v>69</v>
      </c>
      <c r="C182" s="13">
        <v>43492</v>
      </c>
      <c r="D182" s="13">
        <v>43513</v>
      </c>
      <c r="E182" t="s">
        <v>26</v>
      </c>
      <c r="F182" t="s">
        <v>35</v>
      </c>
      <c r="G182" t="s">
        <v>237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  <c r="M182" s="50">
        <f>IF(TbRegistroEntradas[[#This Row],[Data do Caixa Previsto]]="",0,MONTH(TbRegistroEntradas[[#This Row],[Data do Caixa Previsto]]))</f>
        <v>2</v>
      </c>
      <c r="N182" s="50">
        <f>IF(TbRegistroEntradas[[#This Row],[Data do Caixa Previsto]]="",0,YEAR(TbRegistroEntradas[[#This Row],[Data do Caixa Previsto]]))</f>
        <v>2019</v>
      </c>
      <c r="O182" s="50" t="str">
        <f ca="1">IF(AND(TbRegistroEntradas[[#This Row],[Data do Caixa Previsto]]&lt;TODAY(),TbRegistroEntradas[[#This Row],[Data do Caixa Realizado]]=""),"Vencida","Não Vencida")</f>
        <v>Vencida</v>
      </c>
    </row>
    <row r="183" spans="2:15" x14ac:dyDescent="0.25">
      <c r="B183" s="13">
        <v>43494</v>
      </c>
      <c r="C183" s="13">
        <v>43494</v>
      </c>
      <c r="D183" s="13">
        <v>43494</v>
      </c>
      <c r="E183" t="s">
        <v>26</v>
      </c>
      <c r="F183" t="s">
        <v>35</v>
      </c>
      <c r="G183" t="s">
        <v>238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  <c r="M183" s="50">
        <f>IF(TbRegistroEntradas[[#This Row],[Data do Caixa Previsto]]="",0,MONTH(TbRegistroEntradas[[#This Row],[Data do Caixa Previsto]]))</f>
        <v>1</v>
      </c>
      <c r="N183" s="50">
        <f>IF(TbRegistroEntradas[[#This Row],[Data do Caixa Previsto]]="",0,YEAR(TbRegistroEntradas[[#This Row],[Data do Caixa Previsto]]))</f>
        <v>2019</v>
      </c>
      <c r="O183" s="50" t="str">
        <f ca="1">IF(AND(TbRegistroEntradas[[#This Row],[Data do Caixa Previsto]]&lt;TODAY(),TbRegistroEntradas[[#This Row],[Data do Caixa Realizado]]=""),"Vencida","Não Vencida")</f>
        <v>Não Vencida</v>
      </c>
    </row>
    <row r="184" spans="2:15" x14ac:dyDescent="0.25">
      <c r="B184" s="13">
        <v>43535</v>
      </c>
      <c r="C184" s="13">
        <v>43498</v>
      </c>
      <c r="D184" s="13">
        <v>43534</v>
      </c>
      <c r="E184" t="s">
        <v>26</v>
      </c>
      <c r="F184" t="s">
        <v>34</v>
      </c>
      <c r="G184" t="s">
        <v>239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  <c r="M184" s="50">
        <f>IF(TbRegistroEntradas[[#This Row],[Data do Caixa Previsto]]="",0,MONTH(TbRegistroEntradas[[#This Row],[Data do Caixa Previsto]]))</f>
        <v>3</v>
      </c>
      <c r="N184" s="50">
        <f>IF(TbRegistroEntradas[[#This Row],[Data do Caixa Previsto]]="",0,YEAR(TbRegistroEntradas[[#This Row],[Data do Caixa Previsto]]))</f>
        <v>2019</v>
      </c>
      <c r="O184" s="50" t="str">
        <f ca="1">IF(AND(TbRegistroEntradas[[#This Row],[Data do Caixa Previsto]]&lt;TODAY(),TbRegistroEntradas[[#This Row],[Data do Caixa Realizado]]=""),"Vencida","Não Vencida")</f>
        <v>Não Vencida</v>
      </c>
    </row>
    <row r="185" spans="2:15" x14ac:dyDescent="0.25">
      <c r="B185" s="13">
        <v>43512</v>
      </c>
      <c r="C185" s="13">
        <v>43501</v>
      </c>
      <c r="D185" s="13">
        <v>43512</v>
      </c>
      <c r="E185" t="s">
        <v>26</v>
      </c>
      <c r="F185" t="s">
        <v>34</v>
      </c>
      <c r="G185" t="s">
        <v>240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  <c r="M185" s="50">
        <f>IF(TbRegistroEntradas[[#This Row],[Data do Caixa Previsto]]="",0,MONTH(TbRegistroEntradas[[#This Row],[Data do Caixa Previsto]]))</f>
        <v>2</v>
      </c>
      <c r="N185" s="50">
        <f>IF(TbRegistroEntradas[[#This Row],[Data do Caixa Previsto]]="",0,YEAR(TbRegistroEntradas[[#This Row],[Data do Caixa Previsto]]))</f>
        <v>2019</v>
      </c>
      <c r="O185" s="50" t="str">
        <f ca="1">IF(AND(TbRegistroEntradas[[#This Row],[Data do Caixa Previsto]]&lt;TODAY(),TbRegistroEntradas[[#This Row],[Data do Caixa Realizado]]=""),"Vencida","Não Vencida")</f>
        <v>Não Vencida</v>
      </c>
    </row>
    <row r="186" spans="2:15" x14ac:dyDescent="0.25">
      <c r="B186" s="13">
        <v>43532</v>
      </c>
      <c r="C186" s="13">
        <v>43502</v>
      </c>
      <c r="D186" s="13">
        <v>43532</v>
      </c>
      <c r="E186" t="s">
        <v>26</v>
      </c>
      <c r="F186" t="s">
        <v>33</v>
      </c>
      <c r="G186" t="s">
        <v>241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  <c r="M186" s="50">
        <f>IF(TbRegistroEntradas[[#This Row],[Data do Caixa Previsto]]="",0,MONTH(TbRegistroEntradas[[#This Row],[Data do Caixa Previsto]]))</f>
        <v>3</v>
      </c>
      <c r="N186" s="50">
        <f>IF(TbRegistroEntradas[[#This Row],[Data do Caixa Previsto]]="",0,YEAR(TbRegistroEntradas[[#This Row],[Data do Caixa Previsto]]))</f>
        <v>2019</v>
      </c>
      <c r="O186" s="50" t="str">
        <f ca="1">IF(AND(TbRegistroEntradas[[#This Row],[Data do Caixa Previsto]]&lt;TODAY(),TbRegistroEntradas[[#This Row],[Data do Caixa Realizado]]=""),"Vencida","Não Vencida")</f>
        <v>Não Vencida</v>
      </c>
    </row>
    <row r="187" spans="2:15" x14ac:dyDescent="0.25">
      <c r="B187" s="13">
        <v>43540</v>
      </c>
      <c r="C187" s="13">
        <v>43505</v>
      </c>
      <c r="D187" s="13">
        <v>43540</v>
      </c>
      <c r="E187" t="s">
        <v>26</v>
      </c>
      <c r="F187" t="s">
        <v>36</v>
      </c>
      <c r="G187" t="s">
        <v>242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  <c r="M187" s="50">
        <f>IF(TbRegistroEntradas[[#This Row],[Data do Caixa Previsto]]="",0,MONTH(TbRegistroEntradas[[#This Row],[Data do Caixa Previsto]]))</f>
        <v>3</v>
      </c>
      <c r="N187" s="50">
        <f>IF(TbRegistroEntradas[[#This Row],[Data do Caixa Previsto]]="",0,YEAR(TbRegistroEntradas[[#This Row],[Data do Caixa Previsto]]))</f>
        <v>2019</v>
      </c>
      <c r="O187" s="50" t="str">
        <f ca="1">IF(AND(TbRegistroEntradas[[#This Row],[Data do Caixa Previsto]]&lt;TODAY(),TbRegistroEntradas[[#This Row],[Data do Caixa Realizado]]=""),"Vencida","Não Vencida")</f>
        <v>Não Vencida</v>
      </c>
    </row>
    <row r="188" spans="2:15" x14ac:dyDescent="0.25">
      <c r="B188" s="13">
        <v>43541</v>
      </c>
      <c r="C188" s="13">
        <v>43506</v>
      </c>
      <c r="D188" s="13">
        <v>43541</v>
      </c>
      <c r="E188" t="s">
        <v>26</v>
      </c>
      <c r="F188" t="s">
        <v>32</v>
      </c>
      <c r="G188" t="s">
        <v>243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  <c r="M188" s="50">
        <f>IF(TbRegistroEntradas[[#This Row],[Data do Caixa Previsto]]="",0,MONTH(TbRegistroEntradas[[#This Row],[Data do Caixa Previsto]]))</f>
        <v>3</v>
      </c>
      <c r="N188" s="50">
        <f>IF(TbRegistroEntradas[[#This Row],[Data do Caixa Previsto]]="",0,YEAR(TbRegistroEntradas[[#This Row],[Data do Caixa Previsto]]))</f>
        <v>2019</v>
      </c>
      <c r="O188" s="50" t="str">
        <f ca="1">IF(AND(TbRegistroEntradas[[#This Row],[Data do Caixa Previsto]]&lt;TODAY(),TbRegistroEntradas[[#This Row],[Data do Caixa Realizado]]=""),"Vencida","Não Vencida")</f>
        <v>Não Vencida</v>
      </c>
    </row>
    <row r="189" spans="2:15" x14ac:dyDescent="0.25">
      <c r="B189" s="13">
        <v>43549</v>
      </c>
      <c r="C189" s="13">
        <v>43508</v>
      </c>
      <c r="D189" s="13">
        <v>43508</v>
      </c>
      <c r="E189" t="s">
        <v>26</v>
      </c>
      <c r="F189" t="s">
        <v>35</v>
      </c>
      <c r="G189" t="s">
        <v>244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  <c r="M189" s="50">
        <f>IF(TbRegistroEntradas[[#This Row],[Data do Caixa Previsto]]="",0,MONTH(TbRegistroEntradas[[#This Row],[Data do Caixa Previsto]]))</f>
        <v>2</v>
      </c>
      <c r="N189" s="50">
        <f>IF(TbRegistroEntradas[[#This Row],[Data do Caixa Previsto]]="",0,YEAR(TbRegistroEntradas[[#This Row],[Data do Caixa Previsto]]))</f>
        <v>2019</v>
      </c>
      <c r="O189" s="50" t="str">
        <f ca="1">IF(AND(TbRegistroEntradas[[#This Row],[Data do Caixa Previsto]]&lt;TODAY(),TbRegistroEntradas[[#This Row],[Data do Caixa Realizado]]=""),"Vencida","Não Vencida")</f>
        <v>Não Vencida</v>
      </c>
    </row>
    <row r="190" spans="2:15" x14ac:dyDescent="0.25">
      <c r="B190" s="13">
        <v>43509</v>
      </c>
      <c r="C190" s="13">
        <v>43509</v>
      </c>
      <c r="D190" s="13">
        <v>43509</v>
      </c>
      <c r="E190" t="s">
        <v>26</v>
      </c>
      <c r="F190" t="s">
        <v>36</v>
      </c>
      <c r="G190" t="s">
        <v>245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  <c r="M190" s="50">
        <f>IF(TbRegistroEntradas[[#This Row],[Data do Caixa Previsto]]="",0,MONTH(TbRegistroEntradas[[#This Row],[Data do Caixa Previsto]]))</f>
        <v>2</v>
      </c>
      <c r="N190" s="50">
        <f>IF(TbRegistroEntradas[[#This Row],[Data do Caixa Previsto]]="",0,YEAR(TbRegistroEntradas[[#This Row],[Data do Caixa Previsto]]))</f>
        <v>2019</v>
      </c>
      <c r="O190" s="50" t="str">
        <f ca="1">IF(AND(TbRegistroEntradas[[#This Row],[Data do Caixa Previsto]]&lt;TODAY(),TbRegistroEntradas[[#This Row],[Data do Caixa Realizado]]=""),"Vencida","Não Vencida")</f>
        <v>Não Vencida</v>
      </c>
    </row>
    <row r="191" spans="2:15" x14ac:dyDescent="0.25">
      <c r="B191" s="13">
        <v>43512</v>
      </c>
      <c r="C191" s="13">
        <v>43512</v>
      </c>
      <c r="D191" s="13">
        <v>43512</v>
      </c>
      <c r="E191" t="s">
        <v>26</v>
      </c>
      <c r="F191" t="s">
        <v>35</v>
      </c>
      <c r="G191" t="s">
        <v>246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  <c r="M191" s="50">
        <f>IF(TbRegistroEntradas[[#This Row],[Data do Caixa Previsto]]="",0,MONTH(TbRegistroEntradas[[#This Row],[Data do Caixa Previsto]]))</f>
        <v>2</v>
      </c>
      <c r="N191" s="50">
        <f>IF(TbRegistroEntradas[[#This Row],[Data do Caixa Previsto]]="",0,YEAR(TbRegistroEntradas[[#This Row],[Data do Caixa Previsto]]))</f>
        <v>2019</v>
      </c>
      <c r="O191" s="50" t="str">
        <f ca="1">IF(AND(TbRegistroEntradas[[#This Row],[Data do Caixa Previsto]]&lt;TODAY(),TbRegistroEntradas[[#This Row],[Data do Caixa Realizado]]=""),"Vencida","Não Vencida")</f>
        <v>Não Vencida</v>
      </c>
    </row>
    <row r="192" spans="2:15" x14ac:dyDescent="0.25">
      <c r="B192" s="13">
        <v>43533</v>
      </c>
      <c r="C192" s="13">
        <v>43513</v>
      </c>
      <c r="D192" s="13">
        <v>43513</v>
      </c>
      <c r="E192" t="s">
        <v>26</v>
      </c>
      <c r="F192" t="s">
        <v>35</v>
      </c>
      <c r="G192" t="s">
        <v>247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  <c r="M192" s="50">
        <f>IF(TbRegistroEntradas[[#This Row],[Data do Caixa Previsto]]="",0,MONTH(TbRegistroEntradas[[#This Row],[Data do Caixa Previsto]]))</f>
        <v>2</v>
      </c>
      <c r="N192" s="50">
        <f>IF(TbRegistroEntradas[[#This Row],[Data do Caixa Previsto]]="",0,YEAR(TbRegistroEntradas[[#This Row],[Data do Caixa Previsto]]))</f>
        <v>2019</v>
      </c>
      <c r="O192" s="50" t="str">
        <f ca="1">IF(AND(TbRegistroEntradas[[#This Row],[Data do Caixa Previsto]]&lt;TODAY(),TbRegistroEntradas[[#This Row],[Data do Caixa Realizado]]=""),"Vencida","Não Vencida")</f>
        <v>Não Vencida</v>
      </c>
    </row>
    <row r="193" spans="2:15" x14ac:dyDescent="0.25">
      <c r="B193" s="13">
        <v>43540</v>
      </c>
      <c r="C193" s="13">
        <v>43514</v>
      </c>
      <c r="D193" s="13">
        <v>43540</v>
      </c>
      <c r="E193" t="s">
        <v>26</v>
      </c>
      <c r="F193" t="s">
        <v>36</v>
      </c>
      <c r="G193" t="s">
        <v>248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  <c r="M193" s="50">
        <f>IF(TbRegistroEntradas[[#This Row],[Data do Caixa Previsto]]="",0,MONTH(TbRegistroEntradas[[#This Row],[Data do Caixa Previsto]]))</f>
        <v>3</v>
      </c>
      <c r="N193" s="50">
        <f>IF(TbRegistroEntradas[[#This Row],[Data do Caixa Previsto]]="",0,YEAR(TbRegistroEntradas[[#This Row],[Data do Caixa Previsto]]))</f>
        <v>2019</v>
      </c>
      <c r="O193" s="50" t="str">
        <f ca="1">IF(AND(TbRegistroEntradas[[#This Row],[Data do Caixa Previsto]]&lt;TODAY(),TbRegistroEntradas[[#This Row],[Data do Caixa Realizado]]=""),"Vencida","Não Vencida")</f>
        <v>Não Vencida</v>
      </c>
    </row>
    <row r="194" spans="2:15" x14ac:dyDescent="0.25">
      <c r="B194" s="13">
        <v>43548</v>
      </c>
      <c r="C194" s="13">
        <v>43517</v>
      </c>
      <c r="D194" s="13">
        <v>43548</v>
      </c>
      <c r="E194" t="s">
        <v>26</v>
      </c>
      <c r="F194" t="s">
        <v>36</v>
      </c>
      <c r="G194" t="s">
        <v>249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  <c r="M194" s="50">
        <f>IF(TbRegistroEntradas[[#This Row],[Data do Caixa Previsto]]="",0,MONTH(TbRegistroEntradas[[#This Row],[Data do Caixa Previsto]]))</f>
        <v>3</v>
      </c>
      <c r="N194" s="50">
        <f>IF(TbRegistroEntradas[[#This Row],[Data do Caixa Previsto]]="",0,YEAR(TbRegistroEntradas[[#This Row],[Data do Caixa Previsto]]))</f>
        <v>2019</v>
      </c>
      <c r="O194" s="50" t="str">
        <f ca="1">IF(AND(TbRegistroEntradas[[#This Row],[Data do Caixa Previsto]]&lt;TODAY(),TbRegistroEntradas[[#This Row],[Data do Caixa Realizado]]=""),"Vencida","Não Vencida")</f>
        <v>Não Vencida</v>
      </c>
    </row>
    <row r="195" spans="2:15" x14ac:dyDescent="0.25">
      <c r="B195" s="13">
        <v>43522</v>
      </c>
      <c r="C195" s="13">
        <v>43522</v>
      </c>
      <c r="D195" s="13">
        <v>43522</v>
      </c>
      <c r="E195" t="s">
        <v>26</v>
      </c>
      <c r="F195" t="s">
        <v>35</v>
      </c>
      <c r="G195" t="s">
        <v>250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  <c r="M195" s="50">
        <f>IF(TbRegistroEntradas[[#This Row],[Data do Caixa Previsto]]="",0,MONTH(TbRegistroEntradas[[#This Row],[Data do Caixa Previsto]]))</f>
        <v>2</v>
      </c>
      <c r="N195" s="50">
        <f>IF(TbRegistroEntradas[[#This Row],[Data do Caixa Previsto]]="",0,YEAR(TbRegistroEntradas[[#This Row],[Data do Caixa Previsto]]))</f>
        <v>2019</v>
      </c>
      <c r="O195" s="50" t="str">
        <f ca="1">IF(AND(TbRegistroEntradas[[#This Row],[Data do Caixa Previsto]]&lt;TODAY(),TbRegistroEntradas[[#This Row],[Data do Caixa Realizado]]=""),"Vencida","Não Vencida")</f>
        <v>Não Vencida</v>
      </c>
    </row>
    <row r="196" spans="2:15" x14ac:dyDescent="0.25">
      <c r="B196" s="13">
        <v>43525</v>
      </c>
      <c r="C196" s="13">
        <v>43525</v>
      </c>
      <c r="D196" s="13">
        <v>43525</v>
      </c>
      <c r="E196" t="s">
        <v>26</v>
      </c>
      <c r="F196" t="s">
        <v>33</v>
      </c>
      <c r="G196" t="s">
        <v>251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  <c r="M196" s="50">
        <f>IF(TbRegistroEntradas[[#This Row],[Data do Caixa Previsto]]="",0,MONTH(TbRegistroEntradas[[#This Row],[Data do Caixa Previsto]]))</f>
        <v>3</v>
      </c>
      <c r="N196" s="50">
        <f>IF(TbRegistroEntradas[[#This Row],[Data do Caixa Previsto]]="",0,YEAR(TbRegistroEntradas[[#This Row],[Data do Caixa Previsto]]))</f>
        <v>2019</v>
      </c>
      <c r="O196" s="50" t="str">
        <f ca="1">IF(AND(TbRegistroEntradas[[#This Row],[Data do Caixa Previsto]]&lt;TODAY(),TbRegistroEntradas[[#This Row],[Data do Caixa Realizado]]=""),"Vencida","Não Vencida")</f>
        <v>Não Vencida</v>
      </c>
    </row>
    <row r="197" spans="2:15" x14ac:dyDescent="0.25">
      <c r="B197" s="13">
        <v>43527</v>
      </c>
      <c r="C197" s="13">
        <v>43527</v>
      </c>
      <c r="D197" s="13">
        <v>43527</v>
      </c>
      <c r="E197" t="s">
        <v>26</v>
      </c>
      <c r="F197" t="s">
        <v>33</v>
      </c>
      <c r="G197" t="s">
        <v>252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  <c r="M197" s="50">
        <f>IF(TbRegistroEntradas[[#This Row],[Data do Caixa Previsto]]="",0,MONTH(TbRegistroEntradas[[#This Row],[Data do Caixa Previsto]]))</f>
        <v>3</v>
      </c>
      <c r="N197" s="50">
        <f>IF(TbRegistroEntradas[[#This Row],[Data do Caixa Previsto]]="",0,YEAR(TbRegistroEntradas[[#This Row],[Data do Caixa Previsto]]))</f>
        <v>2019</v>
      </c>
      <c r="O197" s="50" t="str">
        <f ca="1">IF(AND(TbRegistroEntradas[[#This Row],[Data do Caixa Previsto]]&lt;TODAY(),TbRegistroEntradas[[#This Row],[Data do Caixa Realizado]]=""),"Vencida","Não Vencida")</f>
        <v>Não Vencida</v>
      </c>
    </row>
    <row r="198" spans="2:15" x14ac:dyDescent="0.25">
      <c r="B198" s="13">
        <v>43563</v>
      </c>
      <c r="C198" s="13">
        <v>43534</v>
      </c>
      <c r="D198" s="13">
        <v>43563</v>
      </c>
      <c r="E198" t="s">
        <v>26</v>
      </c>
      <c r="F198" t="s">
        <v>33</v>
      </c>
      <c r="G198" t="s">
        <v>253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  <c r="M198" s="50">
        <f>IF(TbRegistroEntradas[[#This Row],[Data do Caixa Previsto]]="",0,MONTH(TbRegistroEntradas[[#This Row],[Data do Caixa Previsto]]))</f>
        <v>4</v>
      </c>
      <c r="N198" s="50">
        <f>IF(TbRegistroEntradas[[#This Row],[Data do Caixa Previsto]]="",0,YEAR(TbRegistroEntradas[[#This Row],[Data do Caixa Previsto]]))</f>
        <v>2019</v>
      </c>
      <c r="O198" s="50" t="str">
        <f ca="1">IF(AND(TbRegistroEntradas[[#This Row],[Data do Caixa Previsto]]&lt;TODAY(),TbRegistroEntradas[[#This Row],[Data do Caixa Realizado]]=""),"Vencida","Não Vencida")</f>
        <v>Não Vencida</v>
      </c>
    </row>
    <row r="199" spans="2:15" x14ac:dyDescent="0.25">
      <c r="B199" s="13">
        <v>43578</v>
      </c>
      <c r="C199" s="13">
        <v>43537</v>
      </c>
      <c r="D199" s="13">
        <v>43578</v>
      </c>
      <c r="E199" t="s">
        <v>26</v>
      </c>
      <c r="F199" t="s">
        <v>35</v>
      </c>
      <c r="G199" t="s">
        <v>254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  <c r="M199" s="50">
        <f>IF(TbRegistroEntradas[[#This Row],[Data do Caixa Previsto]]="",0,MONTH(TbRegistroEntradas[[#This Row],[Data do Caixa Previsto]]))</f>
        <v>4</v>
      </c>
      <c r="N199" s="50">
        <f>IF(TbRegistroEntradas[[#This Row],[Data do Caixa Previsto]]="",0,YEAR(TbRegistroEntradas[[#This Row],[Data do Caixa Previsto]]))</f>
        <v>2019</v>
      </c>
      <c r="O199" s="50" t="str">
        <f ca="1">IF(AND(TbRegistroEntradas[[#This Row],[Data do Caixa Previsto]]&lt;TODAY(),TbRegistroEntradas[[#This Row],[Data do Caixa Realizado]]=""),"Vencida","Não Vencida")</f>
        <v>Não Vencida</v>
      </c>
    </row>
    <row r="200" spans="2:15" x14ac:dyDescent="0.25">
      <c r="B200" s="13">
        <v>43543</v>
      </c>
      <c r="C200" s="13">
        <v>43543</v>
      </c>
      <c r="D200" s="13">
        <v>43543</v>
      </c>
      <c r="E200" t="s">
        <v>26</v>
      </c>
      <c r="F200" t="s">
        <v>34</v>
      </c>
      <c r="G200" t="s">
        <v>255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  <c r="M200" s="50">
        <f>IF(TbRegistroEntradas[[#This Row],[Data do Caixa Previsto]]="",0,MONTH(TbRegistroEntradas[[#This Row],[Data do Caixa Previsto]]))</f>
        <v>3</v>
      </c>
      <c r="N200" s="50">
        <f>IF(TbRegistroEntradas[[#This Row],[Data do Caixa Previsto]]="",0,YEAR(TbRegistroEntradas[[#This Row],[Data do Caixa Previsto]]))</f>
        <v>2019</v>
      </c>
      <c r="O200" s="50" t="str">
        <f ca="1">IF(AND(TbRegistroEntradas[[#This Row],[Data do Caixa Previsto]]&lt;TODAY(),TbRegistroEntradas[[#This Row],[Data do Caixa Realizado]]=""),"Vencida","Não Vencida")</f>
        <v>Não Vencida</v>
      </c>
    </row>
    <row r="201" spans="2:15" x14ac:dyDescent="0.25">
      <c r="B201" s="13">
        <v>43545</v>
      </c>
      <c r="C201" s="13">
        <v>43545</v>
      </c>
      <c r="D201" s="13">
        <v>43545</v>
      </c>
      <c r="E201" t="s">
        <v>26</v>
      </c>
      <c r="F201" t="s">
        <v>34</v>
      </c>
      <c r="G201" t="s">
        <v>256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  <c r="M201" s="50">
        <f>IF(TbRegistroEntradas[[#This Row],[Data do Caixa Previsto]]="",0,MONTH(TbRegistroEntradas[[#This Row],[Data do Caixa Previsto]]))</f>
        <v>3</v>
      </c>
      <c r="N201" s="50">
        <f>IF(TbRegistroEntradas[[#This Row],[Data do Caixa Previsto]]="",0,YEAR(TbRegistroEntradas[[#This Row],[Data do Caixa Previsto]]))</f>
        <v>2019</v>
      </c>
      <c r="O201" s="50" t="str">
        <f ca="1">IF(AND(TbRegistroEntradas[[#This Row],[Data do Caixa Previsto]]&lt;TODAY(),TbRegistroEntradas[[#This Row],[Data do Caixa Realizado]]=""),"Vencida","Não Vencida")</f>
        <v>Não Vencida</v>
      </c>
    </row>
    <row r="202" spans="2:15" x14ac:dyDescent="0.25">
      <c r="B202" s="13" t="s">
        <v>69</v>
      </c>
      <c r="C202" s="13">
        <v>43551</v>
      </c>
      <c r="D202" s="13">
        <v>43586</v>
      </c>
      <c r="E202" t="s">
        <v>26</v>
      </c>
      <c r="F202" t="s">
        <v>36</v>
      </c>
      <c r="G202" t="s">
        <v>257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  <c r="M202" s="50">
        <f>IF(TbRegistroEntradas[[#This Row],[Data do Caixa Previsto]]="",0,MONTH(TbRegistroEntradas[[#This Row],[Data do Caixa Previsto]]))</f>
        <v>5</v>
      </c>
      <c r="N202" s="50">
        <f>IF(TbRegistroEntradas[[#This Row],[Data do Caixa Previsto]]="",0,YEAR(TbRegistroEntradas[[#This Row],[Data do Caixa Previsto]]))</f>
        <v>2019</v>
      </c>
      <c r="O202" s="50" t="str">
        <f ca="1">IF(AND(TbRegistroEntradas[[#This Row],[Data do Caixa Previsto]]&lt;TODAY(),TbRegistroEntradas[[#This Row],[Data do Caixa Realizado]]=""),"Vencida","Não Vencida")</f>
        <v>Vencida</v>
      </c>
    </row>
    <row r="203" spans="2:15" x14ac:dyDescent="0.25">
      <c r="B203" s="13">
        <v>43643</v>
      </c>
      <c r="C203" s="13">
        <v>43552</v>
      </c>
      <c r="D203" s="13">
        <v>43586</v>
      </c>
      <c r="E203" t="s">
        <v>26</v>
      </c>
      <c r="F203" t="s">
        <v>36</v>
      </c>
      <c r="G203" t="s">
        <v>258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  <c r="M203" s="50">
        <f>IF(TbRegistroEntradas[[#This Row],[Data do Caixa Previsto]]="",0,MONTH(TbRegistroEntradas[[#This Row],[Data do Caixa Previsto]]))</f>
        <v>5</v>
      </c>
      <c r="N203" s="50">
        <f>IF(TbRegistroEntradas[[#This Row],[Data do Caixa Previsto]]="",0,YEAR(TbRegistroEntradas[[#This Row],[Data do Caixa Previsto]]))</f>
        <v>2019</v>
      </c>
      <c r="O203" s="50" t="str">
        <f ca="1">IF(AND(TbRegistroEntradas[[#This Row],[Data do Caixa Previsto]]&lt;TODAY(),TbRegistroEntradas[[#This Row],[Data do Caixa Realizado]]=""),"Vencida","Não Vencida")</f>
        <v>Não Vencida</v>
      </c>
    </row>
    <row r="204" spans="2:15" x14ac:dyDescent="0.25">
      <c r="B204" s="13">
        <v>43558</v>
      </c>
      <c r="C204" s="13">
        <v>43558</v>
      </c>
      <c r="D204" s="13">
        <v>43558</v>
      </c>
      <c r="E204" t="s">
        <v>26</v>
      </c>
      <c r="F204" t="s">
        <v>35</v>
      </c>
      <c r="G204" t="s">
        <v>259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  <c r="M204" s="50">
        <f>IF(TbRegistroEntradas[[#This Row],[Data do Caixa Previsto]]="",0,MONTH(TbRegistroEntradas[[#This Row],[Data do Caixa Previsto]]))</f>
        <v>4</v>
      </c>
      <c r="N204" s="50">
        <f>IF(TbRegistroEntradas[[#This Row],[Data do Caixa Previsto]]="",0,YEAR(TbRegistroEntradas[[#This Row],[Data do Caixa Previsto]]))</f>
        <v>2019</v>
      </c>
      <c r="O204" s="50" t="str">
        <f ca="1">IF(AND(TbRegistroEntradas[[#This Row],[Data do Caixa Previsto]]&lt;TODAY(),TbRegistroEntradas[[#This Row],[Data do Caixa Realizado]]=""),"Vencida","Não Vencida")</f>
        <v>Não Vencida</v>
      </c>
    </row>
    <row r="205" spans="2:15" x14ac:dyDescent="0.25">
      <c r="B205" s="13">
        <v>43561</v>
      </c>
      <c r="C205" s="13">
        <v>43561</v>
      </c>
      <c r="D205" s="13">
        <v>43561</v>
      </c>
      <c r="E205" t="s">
        <v>26</v>
      </c>
      <c r="F205" t="s">
        <v>35</v>
      </c>
      <c r="G205" t="s">
        <v>260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  <c r="M205" s="50">
        <f>IF(TbRegistroEntradas[[#This Row],[Data do Caixa Previsto]]="",0,MONTH(TbRegistroEntradas[[#This Row],[Data do Caixa Previsto]]))</f>
        <v>4</v>
      </c>
      <c r="N205" s="50">
        <f>IF(TbRegistroEntradas[[#This Row],[Data do Caixa Previsto]]="",0,YEAR(TbRegistroEntradas[[#This Row],[Data do Caixa Previsto]]))</f>
        <v>2019</v>
      </c>
      <c r="O205" s="50" t="str">
        <f ca="1">IF(AND(TbRegistroEntradas[[#This Row],[Data do Caixa Previsto]]&lt;TODAY(),TbRegistroEntradas[[#This Row],[Data do Caixa Realizado]]=""),"Vencida","Não Vencida")</f>
        <v>Não Vencida</v>
      </c>
    </row>
    <row r="206" spans="2:15" x14ac:dyDescent="0.25">
      <c r="B206" s="13">
        <v>43625</v>
      </c>
      <c r="C206" s="13">
        <v>43562</v>
      </c>
      <c r="D206" s="13">
        <v>43586</v>
      </c>
      <c r="E206" t="s">
        <v>26</v>
      </c>
      <c r="F206" t="s">
        <v>36</v>
      </c>
      <c r="G206" t="s">
        <v>261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  <c r="M206" s="50">
        <f>IF(TbRegistroEntradas[[#This Row],[Data do Caixa Previsto]]="",0,MONTH(TbRegistroEntradas[[#This Row],[Data do Caixa Previsto]]))</f>
        <v>5</v>
      </c>
      <c r="N206" s="50">
        <f>IF(TbRegistroEntradas[[#This Row],[Data do Caixa Previsto]]="",0,YEAR(TbRegistroEntradas[[#This Row],[Data do Caixa Previsto]]))</f>
        <v>2019</v>
      </c>
      <c r="O206" s="50" t="str">
        <f ca="1">IF(AND(TbRegistroEntradas[[#This Row],[Data do Caixa Previsto]]&lt;TODAY(),TbRegistroEntradas[[#This Row],[Data do Caixa Realizado]]=""),"Vencida","Não Vencida")</f>
        <v>Não Vencida</v>
      </c>
    </row>
    <row r="207" spans="2:15" x14ac:dyDescent="0.25">
      <c r="B207" s="13">
        <v>43609</v>
      </c>
      <c r="C207" s="13">
        <v>43564</v>
      </c>
      <c r="D207" s="13">
        <v>43609</v>
      </c>
      <c r="E207" t="s">
        <v>26</v>
      </c>
      <c r="F207" t="s">
        <v>33</v>
      </c>
      <c r="G207" t="s">
        <v>262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  <c r="M207" s="50">
        <f>IF(TbRegistroEntradas[[#This Row],[Data do Caixa Previsto]]="",0,MONTH(TbRegistroEntradas[[#This Row],[Data do Caixa Previsto]]))</f>
        <v>5</v>
      </c>
      <c r="N207" s="50">
        <f>IF(TbRegistroEntradas[[#This Row],[Data do Caixa Previsto]]="",0,YEAR(TbRegistroEntradas[[#This Row],[Data do Caixa Previsto]]))</f>
        <v>2019</v>
      </c>
      <c r="O207" s="50" t="str">
        <f ca="1">IF(AND(TbRegistroEntradas[[#This Row],[Data do Caixa Previsto]]&lt;TODAY(),TbRegistroEntradas[[#This Row],[Data do Caixa Realizado]]=""),"Vencida","Não Vencida")</f>
        <v>Não Vencida</v>
      </c>
    </row>
    <row r="208" spans="2:15" x14ac:dyDescent="0.25">
      <c r="B208" s="13">
        <v>43615</v>
      </c>
      <c r="C208" s="13">
        <v>43567</v>
      </c>
      <c r="D208" s="13">
        <v>43615</v>
      </c>
      <c r="E208" t="s">
        <v>26</v>
      </c>
      <c r="F208" t="s">
        <v>35</v>
      </c>
      <c r="G208" t="s">
        <v>263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  <c r="M208" s="50">
        <f>IF(TbRegistroEntradas[[#This Row],[Data do Caixa Previsto]]="",0,MONTH(TbRegistroEntradas[[#This Row],[Data do Caixa Previsto]]))</f>
        <v>5</v>
      </c>
      <c r="N208" s="50">
        <f>IF(TbRegistroEntradas[[#This Row],[Data do Caixa Previsto]]="",0,YEAR(TbRegistroEntradas[[#This Row],[Data do Caixa Previsto]]))</f>
        <v>2019</v>
      </c>
      <c r="O208" s="50" t="str">
        <f ca="1">IF(AND(TbRegistroEntradas[[#This Row],[Data do Caixa Previsto]]&lt;TODAY(),TbRegistroEntradas[[#This Row],[Data do Caixa Realizado]]=""),"Vencida","Não Vencida")</f>
        <v>Não Vencida</v>
      </c>
    </row>
    <row r="209" spans="2:15" x14ac:dyDescent="0.25">
      <c r="B209" s="13">
        <v>43569</v>
      </c>
      <c r="C209" s="13">
        <v>43569</v>
      </c>
      <c r="D209" s="13">
        <v>43569</v>
      </c>
      <c r="E209" t="s">
        <v>26</v>
      </c>
      <c r="F209" t="s">
        <v>33</v>
      </c>
      <c r="G209" t="s">
        <v>264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  <c r="M209" s="50">
        <f>IF(TbRegistroEntradas[[#This Row],[Data do Caixa Previsto]]="",0,MONTH(TbRegistroEntradas[[#This Row],[Data do Caixa Previsto]]))</f>
        <v>4</v>
      </c>
      <c r="N209" s="50">
        <f>IF(TbRegistroEntradas[[#This Row],[Data do Caixa Previsto]]="",0,YEAR(TbRegistroEntradas[[#This Row],[Data do Caixa Previsto]]))</f>
        <v>2019</v>
      </c>
      <c r="O209" s="50" t="str">
        <f ca="1">IF(AND(TbRegistroEntradas[[#This Row],[Data do Caixa Previsto]]&lt;TODAY(),TbRegistroEntradas[[#This Row],[Data do Caixa Realizado]]=""),"Vencida","Não Vencida")</f>
        <v>Não Vencida</v>
      </c>
    </row>
    <row r="210" spans="2:15" x14ac:dyDescent="0.25">
      <c r="B210" s="13" t="s">
        <v>69</v>
      </c>
      <c r="C210" s="13">
        <v>43573</v>
      </c>
      <c r="D210" s="13">
        <v>43579</v>
      </c>
      <c r="E210" t="s">
        <v>26</v>
      </c>
      <c r="F210" t="s">
        <v>33</v>
      </c>
      <c r="G210" t="s">
        <v>265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  <c r="M210" s="50">
        <f>IF(TbRegistroEntradas[[#This Row],[Data do Caixa Previsto]]="",0,MONTH(TbRegistroEntradas[[#This Row],[Data do Caixa Previsto]]))</f>
        <v>4</v>
      </c>
      <c r="N210" s="50">
        <f>IF(TbRegistroEntradas[[#This Row],[Data do Caixa Previsto]]="",0,YEAR(TbRegistroEntradas[[#This Row],[Data do Caixa Previsto]]))</f>
        <v>2019</v>
      </c>
      <c r="O210" s="50" t="str">
        <f ca="1">IF(AND(TbRegistroEntradas[[#This Row],[Data do Caixa Previsto]]&lt;TODAY(),TbRegistroEntradas[[#This Row],[Data do Caixa Realizado]]=""),"Vencida","Não Vencida")</f>
        <v>Vencida</v>
      </c>
    </row>
    <row r="211" spans="2:15" x14ac:dyDescent="0.25">
      <c r="B211" s="13">
        <v>43598</v>
      </c>
      <c r="C211" s="13">
        <v>43575</v>
      </c>
      <c r="D211" s="13">
        <v>43598</v>
      </c>
      <c r="E211" t="s">
        <v>26</v>
      </c>
      <c r="F211" t="s">
        <v>34</v>
      </c>
      <c r="G211" t="s">
        <v>266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  <c r="M211" s="50">
        <f>IF(TbRegistroEntradas[[#This Row],[Data do Caixa Previsto]]="",0,MONTH(TbRegistroEntradas[[#This Row],[Data do Caixa Previsto]]))</f>
        <v>5</v>
      </c>
      <c r="N211" s="50">
        <f>IF(TbRegistroEntradas[[#This Row],[Data do Caixa Previsto]]="",0,YEAR(TbRegistroEntradas[[#This Row],[Data do Caixa Previsto]]))</f>
        <v>2019</v>
      </c>
      <c r="O211" s="50" t="str">
        <f ca="1">IF(AND(TbRegistroEntradas[[#This Row],[Data do Caixa Previsto]]&lt;TODAY(),TbRegistroEntradas[[#This Row],[Data do Caixa Realizado]]=""),"Vencida","Não Vencida")</f>
        <v>Não Vencida</v>
      </c>
    </row>
    <row r="212" spans="2:15" x14ac:dyDescent="0.25">
      <c r="B212" s="13">
        <v>43683</v>
      </c>
      <c r="C212" s="13">
        <v>43582</v>
      </c>
      <c r="D212" s="13">
        <v>43625</v>
      </c>
      <c r="E212" t="s">
        <v>26</v>
      </c>
      <c r="F212" t="s">
        <v>36</v>
      </c>
      <c r="G212" t="s">
        <v>267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  <c r="M212" s="50">
        <f>IF(TbRegistroEntradas[[#This Row],[Data do Caixa Previsto]]="",0,MONTH(TbRegistroEntradas[[#This Row],[Data do Caixa Previsto]]))</f>
        <v>6</v>
      </c>
      <c r="N212" s="50">
        <f>IF(TbRegistroEntradas[[#This Row],[Data do Caixa Previsto]]="",0,YEAR(TbRegistroEntradas[[#This Row],[Data do Caixa Previsto]]))</f>
        <v>2019</v>
      </c>
      <c r="O212" s="50" t="str">
        <f ca="1">IF(AND(TbRegistroEntradas[[#This Row],[Data do Caixa Previsto]]&lt;TODAY(),TbRegistroEntradas[[#This Row],[Data do Caixa Realizado]]=""),"Vencida","Não Vencida")</f>
        <v>Não Vencida</v>
      </c>
    </row>
    <row r="213" spans="2:15" x14ac:dyDescent="0.25">
      <c r="B213" s="13">
        <v>43595</v>
      </c>
      <c r="C213" s="13">
        <v>43584</v>
      </c>
      <c r="D213" s="13">
        <v>43595</v>
      </c>
      <c r="E213" t="s">
        <v>26</v>
      </c>
      <c r="F213" t="s">
        <v>35</v>
      </c>
      <c r="G213" t="s">
        <v>268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  <c r="M213" s="50">
        <f>IF(TbRegistroEntradas[[#This Row],[Data do Caixa Previsto]]="",0,MONTH(TbRegistroEntradas[[#This Row],[Data do Caixa Previsto]]))</f>
        <v>5</v>
      </c>
      <c r="N213" s="50">
        <f>IF(TbRegistroEntradas[[#This Row],[Data do Caixa Previsto]]="",0,YEAR(TbRegistroEntradas[[#This Row],[Data do Caixa Previsto]]))</f>
        <v>2019</v>
      </c>
      <c r="O213" s="50" t="str">
        <f ca="1">IF(AND(TbRegistroEntradas[[#This Row],[Data do Caixa Previsto]]&lt;TODAY(),TbRegistroEntradas[[#This Row],[Data do Caixa Realizado]]=""),"Vencida","Não Vencida")</f>
        <v>Não Vencida</v>
      </c>
    </row>
    <row r="214" spans="2:15" x14ac:dyDescent="0.25">
      <c r="B214" s="13">
        <v>43594</v>
      </c>
      <c r="C214" s="13">
        <v>43585</v>
      </c>
      <c r="D214" s="13">
        <v>43594</v>
      </c>
      <c r="E214" t="s">
        <v>26</v>
      </c>
      <c r="F214" t="s">
        <v>35</v>
      </c>
      <c r="G214" t="s">
        <v>269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  <c r="M214" s="50">
        <f>IF(TbRegistroEntradas[[#This Row],[Data do Caixa Previsto]]="",0,MONTH(TbRegistroEntradas[[#This Row],[Data do Caixa Previsto]]))</f>
        <v>5</v>
      </c>
      <c r="N214" s="50">
        <f>IF(TbRegistroEntradas[[#This Row],[Data do Caixa Previsto]]="",0,YEAR(TbRegistroEntradas[[#This Row],[Data do Caixa Previsto]]))</f>
        <v>2019</v>
      </c>
      <c r="O214" s="50" t="str">
        <f ca="1">IF(AND(TbRegistroEntradas[[#This Row],[Data do Caixa Previsto]]&lt;TODAY(),TbRegistroEntradas[[#This Row],[Data do Caixa Realizado]]=""),"Vencida","Não Vencida")</f>
        <v>Não Vencida</v>
      </c>
    </row>
    <row r="215" spans="2:15" x14ac:dyDescent="0.25">
      <c r="B215" s="13">
        <v>43587</v>
      </c>
      <c r="C215" s="13">
        <v>43587</v>
      </c>
      <c r="D215" s="13">
        <v>43587</v>
      </c>
      <c r="E215" t="s">
        <v>26</v>
      </c>
      <c r="F215" t="s">
        <v>36</v>
      </c>
      <c r="G215" t="s">
        <v>270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  <c r="M215" s="50">
        <f>IF(TbRegistroEntradas[[#This Row],[Data do Caixa Previsto]]="",0,MONTH(TbRegistroEntradas[[#This Row],[Data do Caixa Previsto]]))</f>
        <v>5</v>
      </c>
      <c r="N215" s="50">
        <f>IF(TbRegistroEntradas[[#This Row],[Data do Caixa Previsto]]="",0,YEAR(TbRegistroEntradas[[#This Row],[Data do Caixa Previsto]]))</f>
        <v>2019</v>
      </c>
      <c r="O215" s="50" t="str">
        <f ca="1">IF(AND(TbRegistroEntradas[[#This Row],[Data do Caixa Previsto]]&lt;TODAY(),TbRegistroEntradas[[#This Row],[Data do Caixa Realizado]]=""),"Vencida","Não Vencida")</f>
        <v>Não Vencida</v>
      </c>
    </row>
    <row r="216" spans="2:15" x14ac:dyDescent="0.25">
      <c r="B216" s="13">
        <v>43626</v>
      </c>
      <c r="C216" s="13">
        <v>43590</v>
      </c>
      <c r="D216" s="13">
        <v>43626</v>
      </c>
      <c r="E216" t="s">
        <v>26</v>
      </c>
      <c r="F216" t="s">
        <v>35</v>
      </c>
      <c r="G216" t="s">
        <v>271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  <c r="M216" s="50">
        <f>IF(TbRegistroEntradas[[#This Row],[Data do Caixa Previsto]]="",0,MONTH(TbRegistroEntradas[[#This Row],[Data do Caixa Previsto]]))</f>
        <v>6</v>
      </c>
      <c r="N216" s="50">
        <f>IF(TbRegistroEntradas[[#This Row],[Data do Caixa Previsto]]="",0,YEAR(TbRegistroEntradas[[#This Row],[Data do Caixa Previsto]]))</f>
        <v>2019</v>
      </c>
      <c r="O216" s="50" t="str">
        <f ca="1">IF(AND(TbRegistroEntradas[[#This Row],[Data do Caixa Previsto]]&lt;TODAY(),TbRegistroEntradas[[#This Row],[Data do Caixa Realizado]]=""),"Vencida","Não Vencida")</f>
        <v>Não Vencida</v>
      </c>
    </row>
    <row r="217" spans="2:15" x14ac:dyDescent="0.25">
      <c r="B217" s="13">
        <v>43592</v>
      </c>
      <c r="C217" s="13">
        <v>43592</v>
      </c>
      <c r="D217" s="13">
        <v>43592</v>
      </c>
      <c r="E217" t="s">
        <v>26</v>
      </c>
      <c r="F217" t="s">
        <v>35</v>
      </c>
      <c r="G217" t="s">
        <v>272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  <c r="M217" s="50">
        <f>IF(TbRegistroEntradas[[#This Row],[Data do Caixa Previsto]]="",0,MONTH(TbRegistroEntradas[[#This Row],[Data do Caixa Previsto]]))</f>
        <v>5</v>
      </c>
      <c r="N217" s="50">
        <f>IF(TbRegistroEntradas[[#This Row],[Data do Caixa Previsto]]="",0,YEAR(TbRegistroEntradas[[#This Row],[Data do Caixa Previsto]]))</f>
        <v>2019</v>
      </c>
      <c r="O217" s="50" t="str">
        <f ca="1">IF(AND(TbRegistroEntradas[[#This Row],[Data do Caixa Previsto]]&lt;TODAY(),TbRegistroEntradas[[#This Row],[Data do Caixa Realizado]]=""),"Vencida","Não Vencida")</f>
        <v>Não Vencida</v>
      </c>
    </row>
    <row r="218" spans="2:15" x14ac:dyDescent="0.25">
      <c r="B218" s="13">
        <v>43603</v>
      </c>
      <c r="C218" s="13">
        <v>43593</v>
      </c>
      <c r="D218" s="13">
        <v>43603</v>
      </c>
      <c r="E218" t="s">
        <v>26</v>
      </c>
      <c r="F218" t="s">
        <v>33</v>
      </c>
      <c r="G218" t="s">
        <v>273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  <c r="M218" s="50">
        <f>IF(TbRegistroEntradas[[#This Row],[Data do Caixa Previsto]]="",0,MONTH(TbRegistroEntradas[[#This Row],[Data do Caixa Previsto]]))</f>
        <v>5</v>
      </c>
      <c r="N218" s="50">
        <f>IF(TbRegistroEntradas[[#This Row],[Data do Caixa Previsto]]="",0,YEAR(TbRegistroEntradas[[#This Row],[Data do Caixa Previsto]]))</f>
        <v>2019</v>
      </c>
      <c r="O218" s="50" t="str">
        <f ca="1">IF(AND(TbRegistroEntradas[[#This Row],[Data do Caixa Previsto]]&lt;TODAY(),TbRegistroEntradas[[#This Row],[Data do Caixa Realizado]]=""),"Vencida","Não Vencida")</f>
        <v>Não Vencida</v>
      </c>
    </row>
    <row r="219" spans="2:15" x14ac:dyDescent="0.25">
      <c r="B219" s="13">
        <v>43597</v>
      </c>
      <c r="C219" s="13">
        <v>43597</v>
      </c>
      <c r="D219" s="13">
        <v>43597</v>
      </c>
      <c r="E219" t="s">
        <v>26</v>
      </c>
      <c r="F219" t="s">
        <v>35</v>
      </c>
      <c r="G219" t="s">
        <v>274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  <c r="M219" s="50">
        <f>IF(TbRegistroEntradas[[#This Row],[Data do Caixa Previsto]]="",0,MONTH(TbRegistroEntradas[[#This Row],[Data do Caixa Previsto]]))</f>
        <v>5</v>
      </c>
      <c r="N219" s="50">
        <f>IF(TbRegistroEntradas[[#This Row],[Data do Caixa Previsto]]="",0,YEAR(TbRegistroEntradas[[#This Row],[Data do Caixa Previsto]]))</f>
        <v>2019</v>
      </c>
      <c r="O219" s="50" t="str">
        <f ca="1">IF(AND(TbRegistroEntradas[[#This Row],[Data do Caixa Previsto]]&lt;TODAY(),TbRegistroEntradas[[#This Row],[Data do Caixa Realizado]]=""),"Vencida","Não Vencida")</f>
        <v>Não Vencida</v>
      </c>
    </row>
    <row r="220" spans="2:15" x14ac:dyDescent="0.25">
      <c r="B220" s="13">
        <v>43631</v>
      </c>
      <c r="C220" s="13">
        <v>43600</v>
      </c>
      <c r="D220" s="13">
        <v>43631</v>
      </c>
      <c r="E220" t="s">
        <v>26</v>
      </c>
      <c r="F220" t="s">
        <v>35</v>
      </c>
      <c r="G220" t="s">
        <v>275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  <c r="M220" s="50">
        <f>IF(TbRegistroEntradas[[#This Row],[Data do Caixa Previsto]]="",0,MONTH(TbRegistroEntradas[[#This Row],[Data do Caixa Previsto]]))</f>
        <v>6</v>
      </c>
      <c r="N220" s="50">
        <f>IF(TbRegistroEntradas[[#This Row],[Data do Caixa Previsto]]="",0,YEAR(TbRegistroEntradas[[#This Row],[Data do Caixa Previsto]]))</f>
        <v>2019</v>
      </c>
      <c r="O220" s="50" t="str">
        <f ca="1">IF(AND(TbRegistroEntradas[[#This Row],[Data do Caixa Previsto]]&lt;TODAY(),TbRegistroEntradas[[#This Row],[Data do Caixa Realizado]]=""),"Vencida","Não Vencida")</f>
        <v>Não Vencida</v>
      </c>
    </row>
    <row r="221" spans="2:15" x14ac:dyDescent="0.25">
      <c r="B221" s="13">
        <v>43635</v>
      </c>
      <c r="C221" s="13">
        <v>43604</v>
      </c>
      <c r="D221" s="13">
        <v>43635</v>
      </c>
      <c r="E221" t="s">
        <v>26</v>
      </c>
      <c r="F221" t="s">
        <v>36</v>
      </c>
      <c r="G221" t="s">
        <v>276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  <c r="M221" s="50">
        <f>IF(TbRegistroEntradas[[#This Row],[Data do Caixa Previsto]]="",0,MONTH(TbRegistroEntradas[[#This Row],[Data do Caixa Previsto]]))</f>
        <v>6</v>
      </c>
      <c r="N221" s="50">
        <f>IF(TbRegistroEntradas[[#This Row],[Data do Caixa Previsto]]="",0,YEAR(TbRegistroEntradas[[#This Row],[Data do Caixa Previsto]]))</f>
        <v>2019</v>
      </c>
      <c r="O221" s="50" t="str">
        <f ca="1">IF(AND(TbRegistroEntradas[[#This Row],[Data do Caixa Previsto]]&lt;TODAY(),TbRegistroEntradas[[#This Row],[Data do Caixa Realizado]]=""),"Vencida","Não Vencida")</f>
        <v>Não Vencida</v>
      </c>
    </row>
    <row r="222" spans="2:15" x14ac:dyDescent="0.25">
      <c r="B222" s="13">
        <v>43630</v>
      </c>
      <c r="C222" s="13">
        <v>43609</v>
      </c>
      <c r="D222" s="13">
        <v>43630</v>
      </c>
      <c r="E222" t="s">
        <v>26</v>
      </c>
      <c r="F222" t="s">
        <v>34</v>
      </c>
      <c r="G222" t="s">
        <v>277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  <c r="M222" s="50">
        <f>IF(TbRegistroEntradas[[#This Row],[Data do Caixa Previsto]]="",0,MONTH(TbRegistroEntradas[[#This Row],[Data do Caixa Previsto]]))</f>
        <v>6</v>
      </c>
      <c r="N222" s="50">
        <f>IF(TbRegistroEntradas[[#This Row],[Data do Caixa Previsto]]="",0,YEAR(TbRegistroEntradas[[#This Row],[Data do Caixa Previsto]]))</f>
        <v>2019</v>
      </c>
      <c r="O222" s="50" t="str">
        <f ca="1">IF(AND(TbRegistroEntradas[[#This Row],[Data do Caixa Previsto]]&lt;TODAY(),TbRegistroEntradas[[#This Row],[Data do Caixa Realizado]]=""),"Vencida","Não Vencida")</f>
        <v>Não Vencida</v>
      </c>
    </row>
    <row r="223" spans="2:15" x14ac:dyDescent="0.25">
      <c r="B223" s="13" t="s">
        <v>69</v>
      </c>
      <c r="C223" s="13">
        <v>43611</v>
      </c>
      <c r="D223" s="13">
        <v>43611</v>
      </c>
      <c r="E223" t="s">
        <v>26</v>
      </c>
      <c r="F223" t="s">
        <v>35</v>
      </c>
      <c r="G223" t="s">
        <v>278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  <c r="M223" s="50">
        <f>IF(TbRegistroEntradas[[#This Row],[Data do Caixa Previsto]]="",0,MONTH(TbRegistroEntradas[[#This Row],[Data do Caixa Previsto]]))</f>
        <v>5</v>
      </c>
      <c r="N223" s="50">
        <f>IF(TbRegistroEntradas[[#This Row],[Data do Caixa Previsto]]="",0,YEAR(TbRegistroEntradas[[#This Row],[Data do Caixa Previsto]]))</f>
        <v>2019</v>
      </c>
      <c r="O223" s="50" t="str">
        <f ca="1">IF(AND(TbRegistroEntradas[[#This Row],[Data do Caixa Previsto]]&lt;TODAY(),TbRegistroEntradas[[#This Row],[Data do Caixa Realizado]]=""),"Vencida","Não Vencida")</f>
        <v>Vencida</v>
      </c>
    </row>
    <row r="224" spans="2:15" x14ac:dyDescent="0.25">
      <c r="B224" s="13">
        <v>43655</v>
      </c>
      <c r="C224" s="13">
        <v>43614</v>
      </c>
      <c r="D224" s="13">
        <v>43655</v>
      </c>
      <c r="E224" t="s">
        <v>26</v>
      </c>
      <c r="F224" t="s">
        <v>33</v>
      </c>
      <c r="G224" t="s">
        <v>279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  <c r="M224" s="50">
        <f>IF(TbRegistroEntradas[[#This Row],[Data do Caixa Previsto]]="",0,MONTH(TbRegistroEntradas[[#This Row],[Data do Caixa Previsto]]))</f>
        <v>7</v>
      </c>
      <c r="N224" s="50">
        <f>IF(TbRegistroEntradas[[#This Row],[Data do Caixa Previsto]]="",0,YEAR(TbRegistroEntradas[[#This Row],[Data do Caixa Previsto]]))</f>
        <v>2019</v>
      </c>
      <c r="O224" s="50" t="str">
        <f ca="1">IF(AND(TbRegistroEntradas[[#This Row],[Data do Caixa Previsto]]&lt;TODAY(),TbRegistroEntradas[[#This Row],[Data do Caixa Realizado]]=""),"Vencida","Não Vencida")</f>
        <v>Não Vencida</v>
      </c>
    </row>
    <row r="225" spans="2:15" x14ac:dyDescent="0.25">
      <c r="B225" s="13" t="s">
        <v>69</v>
      </c>
      <c r="C225" s="13">
        <v>43615</v>
      </c>
      <c r="D225" s="13">
        <v>43648</v>
      </c>
      <c r="E225" t="s">
        <v>26</v>
      </c>
      <c r="F225" t="s">
        <v>32</v>
      </c>
      <c r="G225" t="s">
        <v>280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  <c r="M225" s="50">
        <f>IF(TbRegistroEntradas[[#This Row],[Data do Caixa Previsto]]="",0,MONTH(TbRegistroEntradas[[#This Row],[Data do Caixa Previsto]]))</f>
        <v>7</v>
      </c>
      <c r="N225" s="50">
        <f>IF(TbRegistroEntradas[[#This Row],[Data do Caixa Previsto]]="",0,YEAR(TbRegistroEntradas[[#This Row],[Data do Caixa Previsto]]))</f>
        <v>2019</v>
      </c>
      <c r="O225" s="50" t="str">
        <f ca="1">IF(AND(TbRegistroEntradas[[#This Row],[Data do Caixa Previsto]]&lt;TODAY(),TbRegistroEntradas[[#This Row],[Data do Caixa Realizado]]=""),"Vencida","Não Vencida")</f>
        <v>Vencida</v>
      </c>
    </row>
    <row r="226" spans="2:15" x14ac:dyDescent="0.25">
      <c r="B226" s="13">
        <v>43641</v>
      </c>
      <c r="C226" s="13">
        <v>43620</v>
      </c>
      <c r="D226" s="13">
        <v>43641</v>
      </c>
      <c r="E226" t="s">
        <v>26</v>
      </c>
      <c r="F226" t="s">
        <v>35</v>
      </c>
      <c r="G226" t="s">
        <v>281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  <c r="M226" s="50">
        <f>IF(TbRegistroEntradas[[#This Row],[Data do Caixa Previsto]]="",0,MONTH(TbRegistroEntradas[[#This Row],[Data do Caixa Previsto]]))</f>
        <v>6</v>
      </c>
      <c r="N226" s="50">
        <f>IF(TbRegistroEntradas[[#This Row],[Data do Caixa Previsto]]="",0,YEAR(TbRegistroEntradas[[#This Row],[Data do Caixa Previsto]]))</f>
        <v>2019</v>
      </c>
      <c r="O226" s="50" t="str">
        <f ca="1">IF(AND(TbRegistroEntradas[[#This Row],[Data do Caixa Previsto]]&lt;TODAY(),TbRegistroEntradas[[#This Row],[Data do Caixa Realizado]]=""),"Vencida","Não Vencida")</f>
        <v>Não Vencida</v>
      </c>
    </row>
    <row r="227" spans="2:15" x14ac:dyDescent="0.25">
      <c r="B227" s="13">
        <v>43649</v>
      </c>
      <c r="C227" s="13">
        <v>43625</v>
      </c>
      <c r="D227" s="13">
        <v>43632</v>
      </c>
      <c r="E227" t="s">
        <v>26</v>
      </c>
      <c r="F227" t="s">
        <v>35</v>
      </c>
      <c r="G227" t="s">
        <v>282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  <c r="M227" s="50">
        <f>IF(TbRegistroEntradas[[#This Row],[Data do Caixa Previsto]]="",0,MONTH(TbRegistroEntradas[[#This Row],[Data do Caixa Previsto]]))</f>
        <v>6</v>
      </c>
      <c r="N227" s="50">
        <f>IF(TbRegistroEntradas[[#This Row],[Data do Caixa Previsto]]="",0,YEAR(TbRegistroEntradas[[#This Row],[Data do Caixa Previsto]]))</f>
        <v>2019</v>
      </c>
      <c r="O227" s="50" t="str">
        <f ca="1">IF(AND(TbRegistroEntradas[[#This Row],[Data do Caixa Previsto]]&lt;TODAY(),TbRegistroEntradas[[#This Row],[Data do Caixa Realizado]]=""),"Vencida","Não Vencida")</f>
        <v>Não Vencida</v>
      </c>
    </row>
    <row r="228" spans="2:15" x14ac:dyDescent="0.25">
      <c r="B228" s="13">
        <v>43743</v>
      </c>
      <c r="C228" s="13">
        <v>43629</v>
      </c>
      <c r="D228" s="13">
        <v>43668</v>
      </c>
      <c r="E228" t="s">
        <v>26</v>
      </c>
      <c r="F228" t="s">
        <v>32</v>
      </c>
      <c r="G228" t="s">
        <v>283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  <c r="M228" s="50">
        <f>IF(TbRegistroEntradas[[#This Row],[Data do Caixa Previsto]]="",0,MONTH(TbRegistroEntradas[[#This Row],[Data do Caixa Previsto]]))</f>
        <v>7</v>
      </c>
      <c r="N228" s="50">
        <f>IF(TbRegistroEntradas[[#This Row],[Data do Caixa Previsto]]="",0,YEAR(TbRegistroEntradas[[#This Row],[Data do Caixa Previsto]]))</f>
        <v>2019</v>
      </c>
      <c r="O228" s="50" t="str">
        <f ca="1">IF(AND(TbRegistroEntradas[[#This Row],[Data do Caixa Previsto]]&lt;TODAY(),TbRegistroEntradas[[#This Row],[Data do Caixa Realizado]]=""),"Vencida","Não Vencida")</f>
        <v>Não Vencida</v>
      </c>
    </row>
    <row r="229" spans="2:15" x14ac:dyDescent="0.25">
      <c r="B229" s="13" t="s">
        <v>69</v>
      </c>
      <c r="C229" s="13">
        <v>43631</v>
      </c>
      <c r="D229" s="13">
        <v>43631</v>
      </c>
      <c r="E229" t="s">
        <v>26</v>
      </c>
      <c r="F229" t="s">
        <v>34</v>
      </c>
      <c r="G229" t="s">
        <v>284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  <c r="M229" s="50">
        <f>IF(TbRegistroEntradas[[#This Row],[Data do Caixa Previsto]]="",0,MONTH(TbRegistroEntradas[[#This Row],[Data do Caixa Previsto]]))</f>
        <v>6</v>
      </c>
      <c r="N229" s="50">
        <f>IF(TbRegistroEntradas[[#This Row],[Data do Caixa Previsto]]="",0,YEAR(TbRegistroEntradas[[#This Row],[Data do Caixa Previsto]]))</f>
        <v>2019</v>
      </c>
      <c r="O229" s="50" t="str">
        <f ca="1">IF(AND(TbRegistroEntradas[[#This Row],[Data do Caixa Previsto]]&lt;TODAY(),TbRegistroEntradas[[#This Row],[Data do Caixa Realizado]]=""),"Vencida","Não Vencida")</f>
        <v>Vencida</v>
      </c>
    </row>
    <row r="230" spans="2:15" x14ac:dyDescent="0.25">
      <c r="B230" s="13">
        <v>43647</v>
      </c>
      <c r="C230" s="13">
        <v>43632</v>
      </c>
      <c r="D230" s="13">
        <v>43647</v>
      </c>
      <c r="E230" t="s">
        <v>26</v>
      </c>
      <c r="F230" t="s">
        <v>36</v>
      </c>
      <c r="G230" t="s">
        <v>285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  <c r="M230" s="50">
        <f>IF(TbRegistroEntradas[[#This Row],[Data do Caixa Previsto]]="",0,MONTH(TbRegistroEntradas[[#This Row],[Data do Caixa Previsto]]))</f>
        <v>7</v>
      </c>
      <c r="N230" s="50">
        <f>IF(TbRegistroEntradas[[#This Row],[Data do Caixa Previsto]]="",0,YEAR(TbRegistroEntradas[[#This Row],[Data do Caixa Previsto]]))</f>
        <v>2019</v>
      </c>
      <c r="O230" s="50" t="str">
        <f ca="1">IF(AND(TbRegistroEntradas[[#This Row],[Data do Caixa Previsto]]&lt;TODAY(),TbRegistroEntradas[[#This Row],[Data do Caixa Realizado]]=""),"Vencida","Não Vencida")</f>
        <v>Não Vencida</v>
      </c>
    </row>
    <row r="231" spans="2:15" x14ac:dyDescent="0.25">
      <c r="B231" s="13">
        <v>43687</v>
      </c>
      <c r="C231" s="13">
        <v>43636</v>
      </c>
      <c r="D231" s="13">
        <v>43687</v>
      </c>
      <c r="E231" t="s">
        <v>26</v>
      </c>
      <c r="F231" t="s">
        <v>32</v>
      </c>
      <c r="G231" t="s">
        <v>286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  <c r="M231" s="50">
        <f>IF(TbRegistroEntradas[[#This Row],[Data do Caixa Previsto]]="",0,MONTH(TbRegistroEntradas[[#This Row],[Data do Caixa Previsto]]))</f>
        <v>8</v>
      </c>
      <c r="N231" s="50">
        <f>IF(TbRegistroEntradas[[#This Row],[Data do Caixa Previsto]]="",0,YEAR(TbRegistroEntradas[[#This Row],[Data do Caixa Previsto]]))</f>
        <v>2019</v>
      </c>
      <c r="O231" s="50" t="str">
        <f ca="1">IF(AND(TbRegistroEntradas[[#This Row],[Data do Caixa Previsto]]&lt;TODAY(),TbRegistroEntradas[[#This Row],[Data do Caixa Realizado]]=""),"Vencida","Não Vencida")</f>
        <v>Não Vencida</v>
      </c>
    </row>
    <row r="232" spans="2:15" x14ac:dyDescent="0.25">
      <c r="B232" s="13">
        <v>43702</v>
      </c>
      <c r="C232" s="13">
        <v>43641</v>
      </c>
      <c r="D232" s="13">
        <v>43645</v>
      </c>
      <c r="E232" t="s">
        <v>26</v>
      </c>
      <c r="F232" t="s">
        <v>32</v>
      </c>
      <c r="G232" t="s">
        <v>287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  <c r="M232" s="50">
        <f>IF(TbRegistroEntradas[[#This Row],[Data do Caixa Previsto]]="",0,MONTH(TbRegistroEntradas[[#This Row],[Data do Caixa Previsto]]))</f>
        <v>6</v>
      </c>
      <c r="N232" s="50">
        <f>IF(TbRegistroEntradas[[#This Row],[Data do Caixa Previsto]]="",0,YEAR(TbRegistroEntradas[[#This Row],[Data do Caixa Previsto]]))</f>
        <v>2019</v>
      </c>
      <c r="O232" s="50" t="str">
        <f ca="1">IF(AND(TbRegistroEntradas[[#This Row],[Data do Caixa Previsto]]&lt;TODAY(),TbRegistroEntradas[[#This Row],[Data do Caixa Realizado]]=""),"Vencida","Não Vencida")</f>
        <v>Não Vencida</v>
      </c>
    </row>
    <row r="233" spans="2:15" x14ac:dyDescent="0.25">
      <c r="B233" s="13">
        <v>43710</v>
      </c>
      <c r="C233" s="13">
        <v>43644</v>
      </c>
      <c r="D233" s="13">
        <v>43662</v>
      </c>
      <c r="E233" t="s">
        <v>26</v>
      </c>
      <c r="F233" t="s">
        <v>35</v>
      </c>
      <c r="G233" t="s">
        <v>288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  <c r="M233" s="50">
        <f>IF(TbRegistroEntradas[[#This Row],[Data do Caixa Previsto]]="",0,MONTH(TbRegistroEntradas[[#This Row],[Data do Caixa Previsto]]))</f>
        <v>7</v>
      </c>
      <c r="N233" s="50">
        <f>IF(TbRegistroEntradas[[#This Row],[Data do Caixa Previsto]]="",0,YEAR(TbRegistroEntradas[[#This Row],[Data do Caixa Previsto]]))</f>
        <v>2019</v>
      </c>
      <c r="O233" s="50" t="str">
        <f ca="1">IF(AND(TbRegistroEntradas[[#This Row],[Data do Caixa Previsto]]&lt;TODAY(),TbRegistroEntradas[[#This Row],[Data do Caixa Realizado]]=""),"Vencida","Não Vencida")</f>
        <v>Não Vencida</v>
      </c>
    </row>
    <row r="234" spans="2:15" x14ac:dyDescent="0.25">
      <c r="B234" s="13">
        <v>43647</v>
      </c>
      <c r="C234" s="13">
        <v>43645</v>
      </c>
      <c r="D234" s="13">
        <v>43647</v>
      </c>
      <c r="E234" t="s">
        <v>26</v>
      </c>
      <c r="F234" t="s">
        <v>35</v>
      </c>
      <c r="G234" t="s">
        <v>289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  <c r="M234" s="50">
        <f>IF(TbRegistroEntradas[[#This Row],[Data do Caixa Previsto]]="",0,MONTH(TbRegistroEntradas[[#This Row],[Data do Caixa Previsto]]))</f>
        <v>7</v>
      </c>
      <c r="N234" s="50">
        <f>IF(TbRegistroEntradas[[#This Row],[Data do Caixa Previsto]]="",0,YEAR(TbRegistroEntradas[[#This Row],[Data do Caixa Previsto]]))</f>
        <v>2019</v>
      </c>
      <c r="O234" s="50" t="str">
        <f ca="1">IF(AND(TbRegistroEntradas[[#This Row],[Data do Caixa Previsto]]&lt;TODAY(),TbRegistroEntradas[[#This Row],[Data do Caixa Realizado]]=""),"Vencida","Não Vencida")</f>
        <v>Não Vencida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N232"/>
  <sheetViews>
    <sheetView showGridLines="0" topLeftCell="B1" zoomScale="70" zoomScaleNormal="70" workbookViewId="0">
      <pane ySplit="3" topLeftCell="A4" activePane="bottomLeft" state="frozen"/>
      <selection pane="bottomLeft" activeCell="H47" sqref="H47:H157"/>
    </sheetView>
  </sheetViews>
  <sheetFormatPr defaultColWidth="9.140625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3" width="11.42578125" customWidth="1"/>
    <col min="14" max="14" width="11.85546875" customWidth="1"/>
    <col min="15" max="15" width="9.140625" customWidth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</row>
    <row r="3" spans="2:14" ht="46.5" customHeight="1" x14ac:dyDescent="0.25">
      <c r="B3" s="21" t="s">
        <v>52</v>
      </c>
      <c r="C3" s="21" t="s">
        <v>53</v>
      </c>
      <c r="D3" s="21" t="s">
        <v>54</v>
      </c>
      <c r="E3" s="22" t="s">
        <v>55</v>
      </c>
      <c r="F3" s="22" t="s">
        <v>56</v>
      </c>
      <c r="G3" s="22" t="s">
        <v>57</v>
      </c>
      <c r="H3" s="23" t="s">
        <v>58</v>
      </c>
      <c r="I3" s="22" t="s">
        <v>537</v>
      </c>
      <c r="J3" s="22" t="s">
        <v>538</v>
      </c>
      <c r="K3" s="22" t="s">
        <v>539</v>
      </c>
      <c r="L3" s="22" t="s">
        <v>540</v>
      </c>
      <c r="M3" s="22" t="s">
        <v>545</v>
      </c>
      <c r="N3" s="22" t="s">
        <v>546</v>
      </c>
    </row>
    <row r="4" spans="2:14" ht="20.100000000000001" hidden="1" customHeight="1" x14ac:dyDescent="0.25">
      <c r="B4" s="13">
        <v>43015</v>
      </c>
      <c r="C4" s="13">
        <v>42957</v>
      </c>
      <c r="D4" s="13">
        <v>43015</v>
      </c>
      <c r="E4" t="s">
        <v>38</v>
      </c>
      <c r="F4" t="s">
        <v>36</v>
      </c>
      <c r="G4" t="s">
        <v>290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50">
        <f>IF(TbRegistroSaídas[[#This Row],[Data do Caixa Previsto]]="",0,MONTH(TbRegistroSaídas[[#This Row],[Data do Caixa Previsto]]))</f>
        <v>10</v>
      </c>
      <c r="N4" s="50">
        <f>IF(TbRegistroSaídas[[#This Row],[Data do Caixa Previsto]]="",0,YEAR(TbRegistroSaídas[[#This Row],[Data do Caixa Previsto]]))</f>
        <v>2017</v>
      </c>
    </row>
    <row r="5" spans="2:14" ht="20.100000000000001" hidden="1" customHeight="1" x14ac:dyDescent="0.25">
      <c r="B5" s="13">
        <v>42995</v>
      </c>
      <c r="C5" s="13">
        <v>42960</v>
      </c>
      <c r="D5" s="13">
        <v>42995</v>
      </c>
      <c r="E5" t="s">
        <v>38</v>
      </c>
      <c r="F5" t="s">
        <v>45</v>
      </c>
      <c r="G5" t="s">
        <v>291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50">
        <f>IF(TbRegistroSaídas[[#This Row],[Data do Caixa Previsto]]="",0,MONTH(TbRegistroSaídas[[#This Row],[Data do Caixa Previsto]]))</f>
        <v>9</v>
      </c>
      <c r="N5" s="50">
        <f>IF(TbRegistroSaídas[[#This Row],[Data do Caixa Previsto]]="",0,YEAR(TbRegistroSaídas[[#This Row],[Data do Caixa Previsto]]))</f>
        <v>2017</v>
      </c>
    </row>
    <row r="6" spans="2:14" ht="20.100000000000001" hidden="1" customHeight="1" x14ac:dyDescent="0.25">
      <c r="B6" s="13">
        <v>42983</v>
      </c>
      <c r="C6" s="13">
        <v>42965</v>
      </c>
      <c r="D6" s="13">
        <v>42983</v>
      </c>
      <c r="E6" t="s">
        <v>38</v>
      </c>
      <c r="F6" t="s">
        <v>36</v>
      </c>
      <c r="G6" t="s">
        <v>292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50">
        <f>IF(TbRegistroSaídas[[#This Row],[Data do Caixa Previsto]]="",0,MONTH(TbRegistroSaídas[[#This Row],[Data do Caixa Previsto]]))</f>
        <v>9</v>
      </c>
      <c r="N6" s="50">
        <f>IF(TbRegistroSaídas[[#This Row],[Data do Caixa Previsto]]="",0,YEAR(TbRegistroSaídas[[#This Row],[Data do Caixa Previsto]]))</f>
        <v>2017</v>
      </c>
    </row>
    <row r="7" spans="2:14" ht="20.100000000000001" hidden="1" customHeight="1" x14ac:dyDescent="0.25">
      <c r="B7" s="13">
        <v>43004</v>
      </c>
      <c r="C7" s="13">
        <v>42970</v>
      </c>
      <c r="D7" s="13">
        <v>43004</v>
      </c>
      <c r="E7" t="s">
        <v>38</v>
      </c>
      <c r="F7" t="s">
        <v>36</v>
      </c>
      <c r="G7" t="s">
        <v>293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50">
        <f>IF(TbRegistroSaídas[[#This Row],[Data do Caixa Previsto]]="",0,MONTH(TbRegistroSaídas[[#This Row],[Data do Caixa Previsto]]))</f>
        <v>9</v>
      </c>
      <c r="N7" s="50">
        <f>IF(TbRegistroSaídas[[#This Row],[Data do Caixa Previsto]]="",0,YEAR(TbRegistroSaídas[[#This Row],[Data do Caixa Previsto]]))</f>
        <v>2017</v>
      </c>
    </row>
    <row r="8" spans="2:14" ht="20.100000000000001" hidden="1" customHeight="1" x14ac:dyDescent="0.25">
      <c r="B8" s="13">
        <v>43002</v>
      </c>
      <c r="C8" s="13">
        <v>42971</v>
      </c>
      <c r="D8" s="13">
        <v>43002</v>
      </c>
      <c r="E8" t="s">
        <v>38</v>
      </c>
      <c r="F8" t="s">
        <v>45</v>
      </c>
      <c r="G8" t="s">
        <v>294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50">
        <f>IF(TbRegistroSaídas[[#This Row],[Data do Caixa Previsto]]="",0,MONTH(TbRegistroSaídas[[#This Row],[Data do Caixa Previsto]]))</f>
        <v>9</v>
      </c>
      <c r="N8" s="50">
        <f>IF(TbRegistroSaídas[[#This Row],[Data do Caixa Previsto]]="",0,YEAR(TbRegistroSaídas[[#This Row],[Data do Caixa Previsto]]))</f>
        <v>2017</v>
      </c>
    </row>
    <row r="9" spans="2:14" ht="20.100000000000001" hidden="1" customHeight="1" x14ac:dyDescent="0.25">
      <c r="B9" s="13">
        <v>42980</v>
      </c>
      <c r="C9" s="13">
        <v>42972</v>
      </c>
      <c r="D9" s="13">
        <v>42980</v>
      </c>
      <c r="E9" t="s">
        <v>38</v>
      </c>
      <c r="F9" t="s">
        <v>33</v>
      </c>
      <c r="G9" t="s">
        <v>295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50">
        <f>IF(TbRegistroSaídas[[#This Row],[Data do Caixa Previsto]]="",0,MONTH(TbRegistroSaídas[[#This Row],[Data do Caixa Previsto]]))</f>
        <v>9</v>
      </c>
      <c r="N9" s="50">
        <f>IF(TbRegistroSaídas[[#This Row],[Data do Caixa Previsto]]="",0,YEAR(TbRegistroSaídas[[#This Row],[Data do Caixa Previsto]]))</f>
        <v>2017</v>
      </c>
    </row>
    <row r="10" spans="2:14" ht="20.100000000000001" hidden="1" customHeight="1" x14ac:dyDescent="0.25">
      <c r="B10" s="13">
        <v>43014</v>
      </c>
      <c r="C10" s="13">
        <v>42976</v>
      </c>
      <c r="D10" s="13">
        <v>43014</v>
      </c>
      <c r="E10" t="s">
        <v>38</v>
      </c>
      <c r="F10" t="s">
        <v>45</v>
      </c>
      <c r="G10" t="s">
        <v>296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50">
        <f>IF(TbRegistroSaídas[[#This Row],[Data do Caixa Previsto]]="",0,MONTH(TbRegistroSaídas[[#This Row],[Data do Caixa Previsto]]))</f>
        <v>10</v>
      </c>
      <c r="N10" s="50">
        <f>IF(TbRegistroSaídas[[#This Row],[Data do Caixa Previsto]]="",0,YEAR(TbRegistroSaídas[[#This Row],[Data do Caixa Previsto]]))</f>
        <v>2017</v>
      </c>
    </row>
    <row r="11" spans="2:14" ht="20.100000000000001" hidden="1" customHeight="1" x14ac:dyDescent="0.25">
      <c r="B11" s="13">
        <v>42990</v>
      </c>
      <c r="C11" s="13">
        <v>42979</v>
      </c>
      <c r="D11" s="13">
        <v>42980</v>
      </c>
      <c r="E11" t="s">
        <v>38</v>
      </c>
      <c r="F11" t="s">
        <v>45</v>
      </c>
      <c r="G11" t="s">
        <v>116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50">
        <f>IF(TbRegistroSaídas[[#This Row],[Data do Caixa Previsto]]="",0,MONTH(TbRegistroSaídas[[#This Row],[Data do Caixa Previsto]]))</f>
        <v>9</v>
      </c>
      <c r="N11" s="50">
        <f>IF(TbRegistroSaídas[[#This Row],[Data do Caixa Previsto]]="",0,YEAR(TbRegistroSaídas[[#This Row],[Data do Caixa Previsto]]))</f>
        <v>2017</v>
      </c>
    </row>
    <row r="12" spans="2:14" ht="20.100000000000001" hidden="1" customHeight="1" x14ac:dyDescent="0.25">
      <c r="B12" s="13">
        <v>42987</v>
      </c>
      <c r="C12" s="13">
        <v>42982</v>
      </c>
      <c r="D12" s="13">
        <v>42987</v>
      </c>
      <c r="E12" t="s">
        <v>38</v>
      </c>
      <c r="F12" t="s">
        <v>36</v>
      </c>
      <c r="G12" t="s">
        <v>297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50">
        <f>IF(TbRegistroSaídas[[#This Row],[Data do Caixa Previsto]]="",0,MONTH(TbRegistroSaídas[[#This Row],[Data do Caixa Previsto]]))</f>
        <v>9</v>
      </c>
      <c r="N12" s="50">
        <f>IF(TbRegistroSaídas[[#This Row],[Data do Caixa Previsto]]="",0,YEAR(TbRegistroSaídas[[#This Row],[Data do Caixa Previsto]]))</f>
        <v>2017</v>
      </c>
    </row>
    <row r="13" spans="2:14" ht="20.100000000000001" hidden="1" customHeight="1" x14ac:dyDescent="0.25">
      <c r="B13" s="13" t="s">
        <v>69</v>
      </c>
      <c r="C13" s="13">
        <v>42984</v>
      </c>
      <c r="D13" s="13">
        <v>42984</v>
      </c>
      <c r="E13" t="s">
        <v>38</v>
      </c>
      <c r="F13" t="s">
        <v>33</v>
      </c>
      <c r="G13" t="s">
        <v>298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50">
        <f>IF(TbRegistroSaídas[[#This Row],[Data do Caixa Previsto]]="",0,MONTH(TbRegistroSaídas[[#This Row],[Data do Caixa Previsto]]))</f>
        <v>9</v>
      </c>
      <c r="N13" s="50">
        <f>IF(TbRegistroSaídas[[#This Row],[Data do Caixa Previsto]]="",0,YEAR(TbRegistroSaídas[[#This Row],[Data do Caixa Previsto]]))</f>
        <v>2017</v>
      </c>
    </row>
    <row r="14" spans="2:14" ht="20.100000000000001" hidden="1" customHeight="1" x14ac:dyDescent="0.25">
      <c r="B14" s="13" t="s">
        <v>69</v>
      </c>
      <c r="C14" s="13">
        <v>42990</v>
      </c>
      <c r="D14" s="13">
        <v>43020</v>
      </c>
      <c r="E14" t="s">
        <v>38</v>
      </c>
      <c r="F14" t="s">
        <v>34</v>
      </c>
      <c r="G14" t="s">
        <v>299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50">
        <f>IF(TbRegistroSaídas[[#This Row],[Data do Caixa Previsto]]="",0,MONTH(TbRegistroSaídas[[#This Row],[Data do Caixa Previsto]]))</f>
        <v>10</v>
      </c>
      <c r="N14" s="50">
        <f>IF(TbRegistroSaídas[[#This Row],[Data do Caixa Previsto]]="",0,YEAR(TbRegistroSaídas[[#This Row],[Data do Caixa Previsto]]))</f>
        <v>2017</v>
      </c>
    </row>
    <row r="15" spans="2:14" ht="20.100000000000001" hidden="1" customHeight="1" x14ac:dyDescent="0.25">
      <c r="B15" s="13">
        <v>42991</v>
      </c>
      <c r="C15" s="13">
        <v>42991</v>
      </c>
      <c r="D15" s="13">
        <v>42991</v>
      </c>
      <c r="E15" t="s">
        <v>38</v>
      </c>
      <c r="F15" t="s">
        <v>34</v>
      </c>
      <c r="G15" t="s">
        <v>300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50">
        <f>IF(TbRegistroSaídas[[#This Row],[Data do Caixa Previsto]]="",0,MONTH(TbRegistroSaídas[[#This Row],[Data do Caixa Previsto]]))</f>
        <v>9</v>
      </c>
      <c r="N15" s="50">
        <f>IF(TbRegistroSaídas[[#This Row],[Data do Caixa Previsto]]="",0,YEAR(TbRegistroSaídas[[#This Row],[Data do Caixa Previsto]]))</f>
        <v>2017</v>
      </c>
    </row>
    <row r="16" spans="2:14" ht="20.100000000000001" hidden="1" customHeight="1" x14ac:dyDescent="0.25">
      <c r="B16" s="13">
        <v>42992</v>
      </c>
      <c r="C16" s="13">
        <v>42992</v>
      </c>
      <c r="D16" s="13">
        <v>42992</v>
      </c>
      <c r="E16" t="s">
        <v>38</v>
      </c>
      <c r="F16" t="s">
        <v>36</v>
      </c>
      <c r="G16" t="s">
        <v>301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50">
        <f>IF(TbRegistroSaídas[[#This Row],[Data do Caixa Previsto]]="",0,MONTH(TbRegistroSaídas[[#This Row],[Data do Caixa Previsto]]))</f>
        <v>9</v>
      </c>
      <c r="N16" s="50">
        <f>IF(TbRegistroSaídas[[#This Row],[Data do Caixa Previsto]]="",0,YEAR(TbRegistroSaídas[[#This Row],[Data do Caixa Previsto]]))</f>
        <v>2017</v>
      </c>
    </row>
    <row r="17" spans="2:14" ht="20.100000000000001" hidden="1" customHeight="1" x14ac:dyDescent="0.25">
      <c r="B17" s="13">
        <v>43004</v>
      </c>
      <c r="C17" s="13">
        <v>42997</v>
      </c>
      <c r="D17" s="13">
        <v>43004</v>
      </c>
      <c r="E17" t="s">
        <v>38</v>
      </c>
      <c r="F17" t="s">
        <v>45</v>
      </c>
      <c r="G17" t="s">
        <v>302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50">
        <f>IF(TbRegistroSaídas[[#This Row],[Data do Caixa Previsto]]="",0,MONTH(TbRegistroSaídas[[#This Row],[Data do Caixa Previsto]]))</f>
        <v>9</v>
      </c>
      <c r="N17" s="50">
        <f>IF(TbRegistroSaídas[[#This Row],[Data do Caixa Previsto]]="",0,YEAR(TbRegistroSaídas[[#This Row],[Data do Caixa Previsto]]))</f>
        <v>2017</v>
      </c>
    </row>
    <row r="18" spans="2:14" hidden="1" x14ac:dyDescent="0.25">
      <c r="B18" s="13">
        <v>43043</v>
      </c>
      <c r="C18" s="13">
        <v>43002</v>
      </c>
      <c r="D18" s="13">
        <v>43043</v>
      </c>
      <c r="E18" t="s">
        <v>38</v>
      </c>
      <c r="F18" t="s">
        <v>34</v>
      </c>
      <c r="G18" t="s">
        <v>303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50">
        <f>IF(TbRegistroSaídas[[#This Row],[Data do Caixa Previsto]]="",0,MONTH(TbRegistroSaídas[[#This Row],[Data do Caixa Previsto]]))</f>
        <v>11</v>
      </c>
      <c r="N18" s="50">
        <f>IF(TbRegistroSaídas[[#This Row],[Data do Caixa Previsto]]="",0,YEAR(TbRegistroSaídas[[#This Row],[Data do Caixa Previsto]]))</f>
        <v>2017</v>
      </c>
    </row>
    <row r="19" spans="2:14" hidden="1" x14ac:dyDescent="0.25">
      <c r="B19" s="13" t="s">
        <v>69</v>
      </c>
      <c r="C19" s="13">
        <v>43003</v>
      </c>
      <c r="D19" s="13">
        <v>43015</v>
      </c>
      <c r="E19" t="s">
        <v>38</v>
      </c>
      <c r="F19" t="s">
        <v>45</v>
      </c>
      <c r="G19" t="s">
        <v>304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50">
        <f>IF(TbRegistroSaídas[[#This Row],[Data do Caixa Previsto]]="",0,MONTH(TbRegistroSaídas[[#This Row],[Data do Caixa Previsto]]))</f>
        <v>10</v>
      </c>
      <c r="N19" s="50">
        <f>IF(TbRegistroSaídas[[#This Row],[Data do Caixa Previsto]]="",0,YEAR(TbRegistroSaídas[[#This Row],[Data do Caixa Previsto]]))</f>
        <v>2017</v>
      </c>
    </row>
    <row r="20" spans="2:14" hidden="1" x14ac:dyDescent="0.25">
      <c r="B20" s="13">
        <v>43010</v>
      </c>
      <c r="C20" s="13">
        <v>43003</v>
      </c>
      <c r="D20" s="13">
        <v>43010</v>
      </c>
      <c r="E20" t="s">
        <v>38</v>
      </c>
      <c r="F20" t="s">
        <v>33</v>
      </c>
      <c r="G20" t="s">
        <v>305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50">
        <f>IF(TbRegistroSaídas[[#This Row],[Data do Caixa Previsto]]="",0,MONTH(TbRegistroSaídas[[#This Row],[Data do Caixa Previsto]]))</f>
        <v>10</v>
      </c>
      <c r="N20" s="50">
        <f>IF(TbRegistroSaídas[[#This Row],[Data do Caixa Previsto]]="",0,YEAR(TbRegistroSaídas[[#This Row],[Data do Caixa Previsto]]))</f>
        <v>2017</v>
      </c>
    </row>
    <row r="21" spans="2:14" hidden="1" x14ac:dyDescent="0.25">
      <c r="B21" s="13">
        <v>43042</v>
      </c>
      <c r="C21" s="13">
        <v>43006</v>
      </c>
      <c r="D21" s="13">
        <v>43042</v>
      </c>
      <c r="E21" t="s">
        <v>38</v>
      </c>
      <c r="F21" t="s">
        <v>33</v>
      </c>
      <c r="G21" t="s">
        <v>306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50">
        <f>IF(TbRegistroSaídas[[#This Row],[Data do Caixa Previsto]]="",0,MONTH(TbRegistroSaídas[[#This Row],[Data do Caixa Previsto]]))</f>
        <v>11</v>
      </c>
      <c r="N21" s="50">
        <f>IF(TbRegistroSaídas[[#This Row],[Data do Caixa Previsto]]="",0,YEAR(TbRegistroSaídas[[#This Row],[Data do Caixa Previsto]]))</f>
        <v>2017</v>
      </c>
    </row>
    <row r="22" spans="2:14" hidden="1" x14ac:dyDescent="0.25">
      <c r="B22" s="13">
        <v>43009</v>
      </c>
      <c r="C22" s="13">
        <v>43009</v>
      </c>
      <c r="D22" s="13">
        <v>43009</v>
      </c>
      <c r="E22" t="s">
        <v>38</v>
      </c>
      <c r="F22" t="s">
        <v>45</v>
      </c>
      <c r="G22" t="s">
        <v>307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50">
        <f>IF(TbRegistroSaídas[[#This Row],[Data do Caixa Previsto]]="",0,MONTH(TbRegistroSaídas[[#This Row],[Data do Caixa Previsto]]))</f>
        <v>10</v>
      </c>
      <c r="N22" s="50">
        <f>IF(TbRegistroSaídas[[#This Row],[Data do Caixa Previsto]]="",0,YEAR(TbRegistroSaídas[[#This Row],[Data do Caixa Previsto]]))</f>
        <v>2017</v>
      </c>
    </row>
    <row r="23" spans="2:14" hidden="1" x14ac:dyDescent="0.25">
      <c r="B23" s="13">
        <v>43030</v>
      </c>
      <c r="C23" s="13">
        <v>43012</v>
      </c>
      <c r="D23" s="13">
        <v>43030</v>
      </c>
      <c r="E23" t="s">
        <v>38</v>
      </c>
      <c r="F23" t="s">
        <v>34</v>
      </c>
      <c r="G23" t="s">
        <v>308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50">
        <f>IF(TbRegistroSaídas[[#This Row],[Data do Caixa Previsto]]="",0,MONTH(TbRegistroSaídas[[#This Row],[Data do Caixa Previsto]]))</f>
        <v>10</v>
      </c>
      <c r="N23" s="50">
        <f>IF(TbRegistroSaídas[[#This Row],[Data do Caixa Previsto]]="",0,YEAR(TbRegistroSaídas[[#This Row],[Data do Caixa Previsto]]))</f>
        <v>2017</v>
      </c>
    </row>
    <row r="24" spans="2:14" hidden="1" x14ac:dyDescent="0.25">
      <c r="B24" s="13">
        <v>43031</v>
      </c>
      <c r="C24" s="13">
        <v>43014</v>
      </c>
      <c r="D24" s="13">
        <v>43031</v>
      </c>
      <c r="E24" t="s">
        <v>38</v>
      </c>
      <c r="F24" t="s">
        <v>34</v>
      </c>
      <c r="G24" t="s">
        <v>309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50">
        <f>IF(TbRegistroSaídas[[#This Row],[Data do Caixa Previsto]]="",0,MONTH(TbRegistroSaídas[[#This Row],[Data do Caixa Previsto]]))</f>
        <v>10</v>
      </c>
      <c r="N24" s="50">
        <f>IF(TbRegistroSaídas[[#This Row],[Data do Caixa Previsto]]="",0,YEAR(TbRegistroSaídas[[#This Row],[Data do Caixa Previsto]]))</f>
        <v>2017</v>
      </c>
    </row>
    <row r="25" spans="2:14" hidden="1" x14ac:dyDescent="0.25">
      <c r="B25" s="13">
        <v>43046</v>
      </c>
      <c r="C25" s="13">
        <v>43017</v>
      </c>
      <c r="D25" s="13">
        <v>43046</v>
      </c>
      <c r="E25" t="s">
        <v>38</v>
      </c>
      <c r="F25" t="s">
        <v>32</v>
      </c>
      <c r="G25" t="s">
        <v>310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50">
        <f>IF(TbRegistroSaídas[[#This Row],[Data do Caixa Previsto]]="",0,MONTH(TbRegistroSaídas[[#This Row],[Data do Caixa Previsto]]))</f>
        <v>11</v>
      </c>
      <c r="N25" s="50">
        <f>IF(TbRegistroSaídas[[#This Row],[Data do Caixa Previsto]]="",0,YEAR(TbRegistroSaídas[[#This Row],[Data do Caixa Previsto]]))</f>
        <v>2017</v>
      </c>
    </row>
    <row r="26" spans="2:14" hidden="1" x14ac:dyDescent="0.25">
      <c r="B26" s="13">
        <v>43022</v>
      </c>
      <c r="C26" s="13">
        <v>43022</v>
      </c>
      <c r="D26" s="13">
        <v>43022</v>
      </c>
      <c r="E26" t="s">
        <v>38</v>
      </c>
      <c r="F26" t="s">
        <v>45</v>
      </c>
      <c r="G26" t="s">
        <v>311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50">
        <f>IF(TbRegistroSaídas[[#This Row],[Data do Caixa Previsto]]="",0,MONTH(TbRegistroSaídas[[#This Row],[Data do Caixa Previsto]]))</f>
        <v>10</v>
      </c>
      <c r="N26" s="50">
        <f>IF(TbRegistroSaídas[[#This Row],[Data do Caixa Previsto]]="",0,YEAR(TbRegistroSaídas[[#This Row],[Data do Caixa Previsto]]))</f>
        <v>2017</v>
      </c>
    </row>
    <row r="27" spans="2:14" hidden="1" x14ac:dyDescent="0.25">
      <c r="B27" s="13">
        <v>43031</v>
      </c>
      <c r="C27" s="13">
        <v>43024</v>
      </c>
      <c r="D27" s="13">
        <v>43031</v>
      </c>
      <c r="E27" t="s">
        <v>38</v>
      </c>
      <c r="F27" t="s">
        <v>45</v>
      </c>
      <c r="G27" t="s">
        <v>312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50">
        <f>IF(TbRegistroSaídas[[#This Row],[Data do Caixa Previsto]]="",0,MONTH(TbRegistroSaídas[[#This Row],[Data do Caixa Previsto]]))</f>
        <v>10</v>
      </c>
      <c r="N27" s="50">
        <f>IF(TbRegistroSaídas[[#This Row],[Data do Caixa Previsto]]="",0,YEAR(TbRegistroSaídas[[#This Row],[Data do Caixa Previsto]]))</f>
        <v>2017</v>
      </c>
    </row>
    <row r="28" spans="2:14" hidden="1" x14ac:dyDescent="0.25">
      <c r="B28" s="13">
        <v>43026</v>
      </c>
      <c r="C28" s="13">
        <v>43026</v>
      </c>
      <c r="D28" s="13">
        <v>43026</v>
      </c>
      <c r="E28" t="s">
        <v>38</v>
      </c>
      <c r="F28" t="s">
        <v>45</v>
      </c>
      <c r="G28" t="s">
        <v>313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50">
        <f>IF(TbRegistroSaídas[[#This Row],[Data do Caixa Previsto]]="",0,MONTH(TbRegistroSaídas[[#This Row],[Data do Caixa Previsto]]))</f>
        <v>10</v>
      </c>
      <c r="N28" s="50">
        <f>IF(TbRegistroSaídas[[#This Row],[Data do Caixa Previsto]]="",0,YEAR(TbRegistroSaídas[[#This Row],[Data do Caixa Previsto]]))</f>
        <v>2017</v>
      </c>
    </row>
    <row r="29" spans="2:14" hidden="1" x14ac:dyDescent="0.25">
      <c r="B29" s="13">
        <v>43065</v>
      </c>
      <c r="C29" s="13">
        <v>43032</v>
      </c>
      <c r="D29" s="13">
        <v>43037</v>
      </c>
      <c r="E29" t="s">
        <v>38</v>
      </c>
      <c r="F29" t="s">
        <v>33</v>
      </c>
      <c r="G29" t="s">
        <v>314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50">
        <f>IF(TbRegistroSaídas[[#This Row],[Data do Caixa Previsto]]="",0,MONTH(TbRegistroSaídas[[#This Row],[Data do Caixa Previsto]]))</f>
        <v>10</v>
      </c>
      <c r="N29" s="50">
        <f>IF(TbRegistroSaídas[[#This Row],[Data do Caixa Previsto]]="",0,YEAR(TbRegistroSaídas[[#This Row],[Data do Caixa Previsto]]))</f>
        <v>2017</v>
      </c>
    </row>
    <row r="30" spans="2:14" hidden="1" x14ac:dyDescent="0.25">
      <c r="B30" s="13">
        <v>43071</v>
      </c>
      <c r="C30" s="13">
        <v>43037</v>
      </c>
      <c r="D30" s="13">
        <v>43068</v>
      </c>
      <c r="E30" t="s">
        <v>38</v>
      </c>
      <c r="F30" t="s">
        <v>32</v>
      </c>
      <c r="G30" t="s">
        <v>315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50">
        <f>IF(TbRegistroSaídas[[#This Row],[Data do Caixa Previsto]]="",0,MONTH(TbRegistroSaídas[[#This Row],[Data do Caixa Previsto]]))</f>
        <v>11</v>
      </c>
      <c r="N30" s="50">
        <f>IF(TbRegistroSaídas[[#This Row],[Data do Caixa Previsto]]="",0,YEAR(TbRegistroSaídas[[#This Row],[Data do Caixa Previsto]]))</f>
        <v>2017</v>
      </c>
    </row>
    <row r="31" spans="2:14" hidden="1" x14ac:dyDescent="0.25">
      <c r="B31" s="13">
        <v>43089</v>
      </c>
      <c r="C31" s="13">
        <v>43042</v>
      </c>
      <c r="D31" s="13">
        <v>43089</v>
      </c>
      <c r="E31" t="s">
        <v>38</v>
      </c>
      <c r="F31" t="s">
        <v>34</v>
      </c>
      <c r="G31" t="s">
        <v>316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50">
        <f>IF(TbRegistroSaídas[[#This Row],[Data do Caixa Previsto]]="",0,MONTH(TbRegistroSaídas[[#This Row],[Data do Caixa Previsto]]))</f>
        <v>12</v>
      </c>
      <c r="N31" s="50">
        <f>IF(TbRegistroSaídas[[#This Row],[Data do Caixa Previsto]]="",0,YEAR(TbRegistroSaídas[[#This Row],[Data do Caixa Previsto]]))</f>
        <v>2017</v>
      </c>
    </row>
    <row r="32" spans="2:14" hidden="1" x14ac:dyDescent="0.25">
      <c r="B32" s="13">
        <v>43044</v>
      </c>
      <c r="C32" s="13">
        <v>43044</v>
      </c>
      <c r="D32" s="13">
        <v>43044</v>
      </c>
      <c r="E32" t="s">
        <v>38</v>
      </c>
      <c r="F32" t="s">
        <v>45</v>
      </c>
      <c r="G32" t="s">
        <v>317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50">
        <f>IF(TbRegistroSaídas[[#This Row],[Data do Caixa Previsto]]="",0,MONTH(TbRegistroSaídas[[#This Row],[Data do Caixa Previsto]]))</f>
        <v>11</v>
      </c>
      <c r="N32" s="50">
        <f>IF(TbRegistroSaídas[[#This Row],[Data do Caixa Previsto]]="",0,YEAR(TbRegistroSaídas[[#This Row],[Data do Caixa Previsto]]))</f>
        <v>2017</v>
      </c>
    </row>
    <row r="33" spans="2:14" hidden="1" x14ac:dyDescent="0.25">
      <c r="B33" s="13">
        <v>43047</v>
      </c>
      <c r="C33" s="13">
        <v>43047</v>
      </c>
      <c r="D33" s="13">
        <v>43047</v>
      </c>
      <c r="E33" t="s">
        <v>38</v>
      </c>
      <c r="F33" t="s">
        <v>36</v>
      </c>
      <c r="G33" t="s">
        <v>318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50">
        <f>IF(TbRegistroSaídas[[#This Row],[Data do Caixa Previsto]]="",0,MONTH(TbRegistroSaídas[[#This Row],[Data do Caixa Previsto]]))</f>
        <v>11</v>
      </c>
      <c r="N33" s="50">
        <f>IF(TbRegistroSaídas[[#This Row],[Data do Caixa Previsto]]="",0,YEAR(TbRegistroSaídas[[#This Row],[Data do Caixa Previsto]]))</f>
        <v>2017</v>
      </c>
    </row>
    <row r="34" spans="2:14" hidden="1" x14ac:dyDescent="0.25">
      <c r="B34" s="13">
        <v>43087</v>
      </c>
      <c r="C34" s="13">
        <v>43051</v>
      </c>
      <c r="D34" s="13">
        <v>43087</v>
      </c>
      <c r="E34" t="s">
        <v>38</v>
      </c>
      <c r="F34" t="s">
        <v>45</v>
      </c>
      <c r="G34" t="s">
        <v>319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50">
        <f>IF(TbRegistroSaídas[[#This Row],[Data do Caixa Previsto]]="",0,MONTH(TbRegistroSaídas[[#This Row],[Data do Caixa Previsto]]))</f>
        <v>12</v>
      </c>
      <c r="N34" s="50">
        <f>IF(TbRegistroSaídas[[#This Row],[Data do Caixa Previsto]]="",0,YEAR(TbRegistroSaídas[[#This Row],[Data do Caixa Previsto]]))</f>
        <v>2017</v>
      </c>
    </row>
    <row r="35" spans="2:14" hidden="1" x14ac:dyDescent="0.25">
      <c r="B35" s="13">
        <v>43095</v>
      </c>
      <c r="C35" s="13">
        <v>43054</v>
      </c>
      <c r="D35" s="13">
        <v>43095</v>
      </c>
      <c r="E35" t="s">
        <v>38</v>
      </c>
      <c r="F35" t="s">
        <v>34</v>
      </c>
      <c r="G35" t="s">
        <v>320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50">
        <f>IF(TbRegistroSaídas[[#This Row],[Data do Caixa Previsto]]="",0,MONTH(TbRegistroSaídas[[#This Row],[Data do Caixa Previsto]]))</f>
        <v>12</v>
      </c>
      <c r="N35" s="50">
        <f>IF(TbRegistroSaídas[[#This Row],[Data do Caixa Previsto]]="",0,YEAR(TbRegistroSaídas[[#This Row],[Data do Caixa Previsto]]))</f>
        <v>2017</v>
      </c>
    </row>
    <row r="36" spans="2:14" hidden="1" x14ac:dyDescent="0.25">
      <c r="B36" s="13">
        <v>43056</v>
      </c>
      <c r="C36" s="13">
        <v>43056</v>
      </c>
      <c r="D36" s="13">
        <v>43056</v>
      </c>
      <c r="E36" t="s">
        <v>38</v>
      </c>
      <c r="F36" t="s">
        <v>34</v>
      </c>
      <c r="G36" t="s">
        <v>321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50">
        <f>IF(TbRegistroSaídas[[#This Row],[Data do Caixa Previsto]]="",0,MONTH(TbRegistroSaídas[[#This Row],[Data do Caixa Previsto]]))</f>
        <v>11</v>
      </c>
      <c r="N36" s="50">
        <f>IF(TbRegistroSaídas[[#This Row],[Data do Caixa Previsto]]="",0,YEAR(TbRegistroSaídas[[#This Row],[Data do Caixa Previsto]]))</f>
        <v>2017</v>
      </c>
    </row>
    <row r="37" spans="2:14" hidden="1" x14ac:dyDescent="0.25">
      <c r="B37" s="13">
        <v>43112</v>
      </c>
      <c r="C37" s="13">
        <v>43057</v>
      </c>
      <c r="D37" s="13">
        <v>43112</v>
      </c>
      <c r="E37" t="s">
        <v>38</v>
      </c>
      <c r="F37" t="s">
        <v>45</v>
      </c>
      <c r="G37" t="s">
        <v>322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50">
        <f>IF(TbRegistroSaídas[[#This Row],[Data do Caixa Previsto]]="",0,MONTH(TbRegistroSaídas[[#This Row],[Data do Caixa Previsto]]))</f>
        <v>1</v>
      </c>
      <c r="N37" s="50">
        <f>IF(TbRegistroSaídas[[#This Row],[Data do Caixa Previsto]]="",0,YEAR(TbRegistroSaídas[[#This Row],[Data do Caixa Previsto]]))</f>
        <v>2018</v>
      </c>
    </row>
    <row r="38" spans="2:14" hidden="1" x14ac:dyDescent="0.25">
      <c r="B38" s="13">
        <v>43101</v>
      </c>
      <c r="C38" s="13">
        <v>43058</v>
      </c>
      <c r="D38" s="13">
        <v>43058</v>
      </c>
      <c r="E38" t="s">
        <v>38</v>
      </c>
      <c r="F38" t="s">
        <v>36</v>
      </c>
      <c r="G38" t="s">
        <v>323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50">
        <f>IF(TbRegistroSaídas[[#This Row],[Data do Caixa Previsto]]="",0,MONTH(TbRegistroSaídas[[#This Row],[Data do Caixa Previsto]]))</f>
        <v>11</v>
      </c>
      <c r="N38" s="50">
        <f>IF(TbRegistroSaídas[[#This Row],[Data do Caixa Previsto]]="",0,YEAR(TbRegistroSaídas[[#This Row],[Data do Caixa Previsto]]))</f>
        <v>2017</v>
      </c>
    </row>
    <row r="39" spans="2:14" hidden="1" x14ac:dyDescent="0.25">
      <c r="B39" s="13">
        <v>43061</v>
      </c>
      <c r="C39" s="13">
        <v>43061</v>
      </c>
      <c r="D39" s="13">
        <v>43061</v>
      </c>
      <c r="E39" t="s">
        <v>38</v>
      </c>
      <c r="F39" t="s">
        <v>45</v>
      </c>
      <c r="G39" t="s">
        <v>324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50">
        <f>IF(TbRegistroSaídas[[#This Row],[Data do Caixa Previsto]]="",0,MONTH(TbRegistroSaídas[[#This Row],[Data do Caixa Previsto]]))</f>
        <v>11</v>
      </c>
      <c r="N39" s="50">
        <f>IF(TbRegistroSaídas[[#This Row],[Data do Caixa Previsto]]="",0,YEAR(TbRegistroSaídas[[#This Row],[Data do Caixa Previsto]]))</f>
        <v>2017</v>
      </c>
    </row>
    <row r="40" spans="2:14" hidden="1" x14ac:dyDescent="0.25">
      <c r="B40" s="13">
        <v>43103</v>
      </c>
      <c r="C40" s="13">
        <v>43062</v>
      </c>
      <c r="D40" s="13">
        <v>43103</v>
      </c>
      <c r="E40" t="s">
        <v>38</v>
      </c>
      <c r="F40" t="s">
        <v>45</v>
      </c>
      <c r="G40" t="s">
        <v>325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50">
        <f>IF(TbRegistroSaídas[[#This Row],[Data do Caixa Previsto]]="",0,MONTH(TbRegistroSaídas[[#This Row],[Data do Caixa Previsto]]))</f>
        <v>1</v>
      </c>
      <c r="N40" s="50">
        <f>IF(TbRegistroSaídas[[#This Row],[Data do Caixa Previsto]]="",0,YEAR(TbRegistroSaídas[[#This Row],[Data do Caixa Previsto]]))</f>
        <v>2018</v>
      </c>
    </row>
    <row r="41" spans="2:14" hidden="1" x14ac:dyDescent="0.25">
      <c r="B41" s="13">
        <v>43070</v>
      </c>
      <c r="C41" s="13">
        <v>43069</v>
      </c>
      <c r="D41" s="13">
        <v>43070</v>
      </c>
      <c r="E41" t="s">
        <v>38</v>
      </c>
      <c r="F41" t="s">
        <v>45</v>
      </c>
      <c r="G41" t="s">
        <v>294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50">
        <f>IF(TbRegistroSaídas[[#This Row],[Data do Caixa Previsto]]="",0,MONTH(TbRegistroSaídas[[#This Row],[Data do Caixa Previsto]]))</f>
        <v>12</v>
      </c>
      <c r="N41" s="50">
        <f>IF(TbRegistroSaídas[[#This Row],[Data do Caixa Previsto]]="",0,YEAR(TbRegistroSaídas[[#This Row],[Data do Caixa Previsto]]))</f>
        <v>2017</v>
      </c>
    </row>
    <row r="42" spans="2:14" hidden="1" x14ac:dyDescent="0.25">
      <c r="B42" s="13">
        <v>43096</v>
      </c>
      <c r="C42" s="13">
        <v>43070</v>
      </c>
      <c r="D42" s="13">
        <v>43096</v>
      </c>
      <c r="E42" t="s">
        <v>38</v>
      </c>
      <c r="F42" t="s">
        <v>32</v>
      </c>
      <c r="G42" t="s">
        <v>326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50">
        <f>IF(TbRegistroSaídas[[#This Row],[Data do Caixa Previsto]]="",0,MONTH(TbRegistroSaídas[[#This Row],[Data do Caixa Previsto]]))</f>
        <v>12</v>
      </c>
      <c r="N42" s="50">
        <f>IF(TbRegistroSaídas[[#This Row],[Data do Caixa Previsto]]="",0,YEAR(TbRegistroSaídas[[#This Row],[Data do Caixa Previsto]]))</f>
        <v>2017</v>
      </c>
    </row>
    <row r="43" spans="2:14" hidden="1" x14ac:dyDescent="0.25">
      <c r="B43" s="13">
        <v>43125</v>
      </c>
      <c r="C43" s="13">
        <v>43071</v>
      </c>
      <c r="D43" s="13">
        <v>43125</v>
      </c>
      <c r="E43" t="s">
        <v>38</v>
      </c>
      <c r="F43" t="s">
        <v>33</v>
      </c>
      <c r="G43" t="s">
        <v>327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50">
        <f>IF(TbRegistroSaídas[[#This Row],[Data do Caixa Previsto]]="",0,MONTH(TbRegistroSaídas[[#This Row],[Data do Caixa Previsto]]))</f>
        <v>1</v>
      </c>
      <c r="N43" s="50">
        <f>IF(TbRegistroSaídas[[#This Row],[Data do Caixa Previsto]]="",0,YEAR(TbRegistroSaídas[[#This Row],[Data do Caixa Previsto]]))</f>
        <v>2018</v>
      </c>
    </row>
    <row r="44" spans="2:14" hidden="1" x14ac:dyDescent="0.25">
      <c r="B44" s="13">
        <v>43075</v>
      </c>
      <c r="C44" s="13">
        <v>43075</v>
      </c>
      <c r="D44" s="13">
        <v>43075</v>
      </c>
      <c r="E44" t="s">
        <v>38</v>
      </c>
      <c r="F44" t="s">
        <v>34</v>
      </c>
      <c r="G44" t="s">
        <v>328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50">
        <f>IF(TbRegistroSaídas[[#This Row],[Data do Caixa Previsto]]="",0,MONTH(TbRegistroSaídas[[#This Row],[Data do Caixa Previsto]]))</f>
        <v>12</v>
      </c>
      <c r="N44" s="50">
        <f>IF(TbRegistroSaídas[[#This Row],[Data do Caixa Previsto]]="",0,YEAR(TbRegistroSaídas[[#This Row],[Data do Caixa Previsto]]))</f>
        <v>2017</v>
      </c>
    </row>
    <row r="45" spans="2:14" hidden="1" x14ac:dyDescent="0.25">
      <c r="B45" s="13">
        <v>43077</v>
      </c>
      <c r="C45" s="13">
        <v>43077</v>
      </c>
      <c r="D45" s="13">
        <v>43077</v>
      </c>
      <c r="E45" t="s">
        <v>38</v>
      </c>
      <c r="F45" t="s">
        <v>32</v>
      </c>
      <c r="G45" t="s">
        <v>290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50">
        <f>IF(TbRegistroSaídas[[#This Row],[Data do Caixa Previsto]]="",0,MONTH(TbRegistroSaídas[[#This Row],[Data do Caixa Previsto]]))</f>
        <v>12</v>
      </c>
      <c r="N45" s="50">
        <f>IF(TbRegistroSaídas[[#This Row],[Data do Caixa Previsto]]="",0,YEAR(TbRegistroSaídas[[#This Row],[Data do Caixa Previsto]]))</f>
        <v>2017</v>
      </c>
    </row>
    <row r="46" spans="2:14" hidden="1" x14ac:dyDescent="0.25">
      <c r="B46" s="13">
        <v>43099</v>
      </c>
      <c r="C46" s="13">
        <v>43079</v>
      </c>
      <c r="D46" s="13">
        <v>43099</v>
      </c>
      <c r="E46" t="s">
        <v>38</v>
      </c>
      <c r="F46" t="s">
        <v>45</v>
      </c>
      <c r="G46" t="s">
        <v>329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50">
        <f>IF(TbRegistroSaídas[[#This Row],[Data do Caixa Previsto]]="",0,MONTH(TbRegistroSaídas[[#This Row],[Data do Caixa Previsto]]))</f>
        <v>12</v>
      </c>
      <c r="N46" s="50">
        <f>IF(TbRegistroSaídas[[#This Row],[Data do Caixa Previsto]]="",0,YEAR(TbRegistroSaídas[[#This Row],[Data do Caixa Previsto]]))</f>
        <v>2017</v>
      </c>
    </row>
    <row r="47" spans="2:14" x14ac:dyDescent="0.25">
      <c r="B47" s="13" t="s">
        <v>69</v>
      </c>
      <c r="C47" s="13">
        <v>43084</v>
      </c>
      <c r="D47" s="13">
        <v>43142</v>
      </c>
      <c r="E47" t="s">
        <v>38</v>
      </c>
      <c r="F47" t="s">
        <v>33</v>
      </c>
      <c r="G47" t="s">
        <v>330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50">
        <f>IF(TbRegistroSaídas[[#This Row],[Data do Caixa Previsto]]="",0,MONTH(TbRegistroSaídas[[#This Row],[Data do Caixa Previsto]]))</f>
        <v>2</v>
      </c>
      <c r="N47" s="50">
        <f>IF(TbRegistroSaídas[[#This Row],[Data do Caixa Previsto]]="",0,YEAR(TbRegistroSaídas[[#This Row],[Data do Caixa Previsto]]))</f>
        <v>2018</v>
      </c>
    </row>
    <row r="48" spans="2:14" hidden="1" x14ac:dyDescent="0.25">
      <c r="B48" s="13">
        <v>43098</v>
      </c>
      <c r="C48" s="13">
        <v>43086</v>
      </c>
      <c r="D48" s="13">
        <v>43098</v>
      </c>
      <c r="E48" t="s">
        <v>38</v>
      </c>
      <c r="F48" t="s">
        <v>32</v>
      </c>
      <c r="G48" t="s">
        <v>331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50">
        <f>IF(TbRegistroSaídas[[#This Row],[Data do Caixa Previsto]]="",0,MONTH(TbRegistroSaídas[[#This Row],[Data do Caixa Previsto]]))</f>
        <v>12</v>
      </c>
      <c r="N48" s="50">
        <f>IF(TbRegistroSaídas[[#This Row],[Data do Caixa Previsto]]="",0,YEAR(TbRegistroSaídas[[#This Row],[Data do Caixa Previsto]]))</f>
        <v>2017</v>
      </c>
    </row>
    <row r="49" spans="2:14" hidden="1" x14ac:dyDescent="0.25">
      <c r="B49" s="13">
        <v>43111</v>
      </c>
      <c r="C49" s="13">
        <v>43089</v>
      </c>
      <c r="D49" s="13">
        <v>43111</v>
      </c>
      <c r="E49" t="s">
        <v>38</v>
      </c>
      <c r="F49" t="s">
        <v>45</v>
      </c>
      <c r="G49" t="s">
        <v>332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50">
        <f>IF(TbRegistroSaídas[[#This Row],[Data do Caixa Previsto]]="",0,MONTH(TbRegistroSaídas[[#This Row],[Data do Caixa Previsto]]))</f>
        <v>1</v>
      </c>
      <c r="N49" s="50">
        <f>IF(TbRegistroSaídas[[#This Row],[Data do Caixa Previsto]]="",0,YEAR(TbRegistroSaídas[[#This Row],[Data do Caixa Previsto]]))</f>
        <v>2018</v>
      </c>
    </row>
    <row r="50" spans="2:14" hidden="1" x14ac:dyDescent="0.25">
      <c r="B50" s="13">
        <v>43151</v>
      </c>
      <c r="C50" s="13">
        <v>43090</v>
      </c>
      <c r="D50" s="13">
        <v>43148</v>
      </c>
      <c r="E50" t="s">
        <v>38</v>
      </c>
      <c r="F50" t="s">
        <v>45</v>
      </c>
      <c r="G50" t="s">
        <v>333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50">
        <f>IF(TbRegistroSaídas[[#This Row],[Data do Caixa Previsto]]="",0,MONTH(TbRegistroSaídas[[#This Row],[Data do Caixa Previsto]]))</f>
        <v>2</v>
      </c>
      <c r="N50" s="50">
        <f>IF(TbRegistroSaídas[[#This Row],[Data do Caixa Previsto]]="",0,YEAR(TbRegistroSaídas[[#This Row],[Data do Caixa Previsto]]))</f>
        <v>2018</v>
      </c>
    </row>
    <row r="51" spans="2:14" hidden="1" x14ac:dyDescent="0.25">
      <c r="B51" s="13">
        <v>43094</v>
      </c>
      <c r="C51" s="13">
        <v>43094</v>
      </c>
      <c r="D51" s="13">
        <v>43094</v>
      </c>
      <c r="E51" t="s">
        <v>38</v>
      </c>
      <c r="F51" t="s">
        <v>32</v>
      </c>
      <c r="G51" t="s">
        <v>334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50">
        <f>IF(TbRegistroSaídas[[#This Row],[Data do Caixa Previsto]]="",0,MONTH(TbRegistroSaídas[[#This Row],[Data do Caixa Previsto]]))</f>
        <v>12</v>
      </c>
      <c r="N51" s="50">
        <f>IF(TbRegistroSaídas[[#This Row],[Data do Caixa Previsto]]="",0,YEAR(TbRegistroSaídas[[#This Row],[Data do Caixa Previsto]]))</f>
        <v>2017</v>
      </c>
    </row>
    <row r="52" spans="2:14" hidden="1" x14ac:dyDescent="0.25">
      <c r="B52" s="13">
        <v>43124</v>
      </c>
      <c r="C52" s="13">
        <v>43096</v>
      </c>
      <c r="D52" s="13">
        <v>43124</v>
      </c>
      <c r="E52" t="s">
        <v>38</v>
      </c>
      <c r="F52" t="s">
        <v>36</v>
      </c>
      <c r="G52" t="s">
        <v>335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50">
        <f>IF(TbRegistroSaídas[[#This Row],[Data do Caixa Previsto]]="",0,MONTH(TbRegistroSaídas[[#This Row],[Data do Caixa Previsto]]))</f>
        <v>1</v>
      </c>
      <c r="N52" s="50">
        <f>IF(TbRegistroSaídas[[#This Row],[Data do Caixa Previsto]]="",0,YEAR(TbRegistroSaídas[[#This Row],[Data do Caixa Previsto]]))</f>
        <v>2018</v>
      </c>
    </row>
    <row r="53" spans="2:14" hidden="1" x14ac:dyDescent="0.25">
      <c r="B53" s="13">
        <v>43098</v>
      </c>
      <c r="C53" s="13">
        <v>43098</v>
      </c>
      <c r="D53" s="13">
        <v>43098</v>
      </c>
      <c r="E53" t="s">
        <v>38</v>
      </c>
      <c r="F53" t="s">
        <v>33</v>
      </c>
      <c r="G53" t="s">
        <v>336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50">
        <f>IF(TbRegistroSaídas[[#This Row],[Data do Caixa Previsto]]="",0,MONTH(TbRegistroSaídas[[#This Row],[Data do Caixa Previsto]]))</f>
        <v>12</v>
      </c>
      <c r="N53" s="50">
        <f>IF(TbRegistroSaídas[[#This Row],[Data do Caixa Previsto]]="",0,YEAR(TbRegistroSaídas[[#This Row],[Data do Caixa Previsto]]))</f>
        <v>2017</v>
      </c>
    </row>
    <row r="54" spans="2:14" x14ac:dyDescent="0.25">
      <c r="B54" s="13" t="s">
        <v>69</v>
      </c>
      <c r="C54" s="13">
        <v>43100</v>
      </c>
      <c r="D54" s="13">
        <v>43151</v>
      </c>
      <c r="E54" t="s">
        <v>38</v>
      </c>
      <c r="F54" t="s">
        <v>34</v>
      </c>
      <c r="G54" t="s">
        <v>337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50">
        <f>IF(TbRegistroSaídas[[#This Row],[Data do Caixa Previsto]]="",0,MONTH(TbRegistroSaídas[[#This Row],[Data do Caixa Previsto]]))</f>
        <v>2</v>
      </c>
      <c r="N54" s="50">
        <f>IF(TbRegistroSaídas[[#This Row],[Data do Caixa Previsto]]="",0,YEAR(TbRegistroSaídas[[#This Row],[Data do Caixa Previsto]]))</f>
        <v>2018</v>
      </c>
    </row>
    <row r="55" spans="2:14" hidden="1" x14ac:dyDescent="0.25">
      <c r="B55" s="13">
        <v>43108</v>
      </c>
      <c r="C55" s="13">
        <v>43103</v>
      </c>
      <c r="D55" s="13">
        <v>43108</v>
      </c>
      <c r="E55" t="s">
        <v>38</v>
      </c>
      <c r="F55" t="s">
        <v>36</v>
      </c>
      <c r="G55" t="s">
        <v>338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50">
        <f>IF(TbRegistroSaídas[[#This Row],[Data do Caixa Previsto]]="",0,MONTH(TbRegistroSaídas[[#This Row],[Data do Caixa Previsto]]))</f>
        <v>1</v>
      </c>
      <c r="N55" s="50">
        <f>IF(TbRegistroSaídas[[#This Row],[Data do Caixa Previsto]]="",0,YEAR(TbRegistroSaídas[[#This Row],[Data do Caixa Previsto]]))</f>
        <v>2018</v>
      </c>
    </row>
    <row r="56" spans="2:14" hidden="1" x14ac:dyDescent="0.25">
      <c r="B56" s="13">
        <v>43117</v>
      </c>
      <c r="C56" s="13">
        <v>43106</v>
      </c>
      <c r="D56" s="13">
        <v>43117</v>
      </c>
      <c r="E56" t="s">
        <v>38</v>
      </c>
      <c r="F56" t="s">
        <v>45</v>
      </c>
      <c r="G56" t="s">
        <v>339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50">
        <f>IF(TbRegistroSaídas[[#This Row],[Data do Caixa Previsto]]="",0,MONTH(TbRegistroSaídas[[#This Row],[Data do Caixa Previsto]]))</f>
        <v>1</v>
      </c>
      <c r="N56" s="50">
        <f>IF(TbRegistroSaídas[[#This Row],[Data do Caixa Previsto]]="",0,YEAR(TbRegistroSaídas[[#This Row],[Data do Caixa Previsto]]))</f>
        <v>2018</v>
      </c>
    </row>
    <row r="57" spans="2:14" x14ac:dyDescent="0.25">
      <c r="B57" s="13" t="s">
        <v>69</v>
      </c>
      <c r="C57" s="13">
        <v>43109</v>
      </c>
      <c r="D57" s="13">
        <v>43109</v>
      </c>
      <c r="E57" t="s">
        <v>38</v>
      </c>
      <c r="F57" t="s">
        <v>33</v>
      </c>
      <c r="G57" t="s">
        <v>340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50">
        <f>IF(TbRegistroSaídas[[#This Row],[Data do Caixa Previsto]]="",0,MONTH(TbRegistroSaídas[[#This Row],[Data do Caixa Previsto]]))</f>
        <v>1</v>
      </c>
      <c r="N57" s="50">
        <f>IF(TbRegistroSaídas[[#This Row],[Data do Caixa Previsto]]="",0,YEAR(TbRegistroSaídas[[#This Row],[Data do Caixa Previsto]]))</f>
        <v>2018</v>
      </c>
    </row>
    <row r="58" spans="2:14" hidden="1" x14ac:dyDescent="0.25">
      <c r="B58" s="13">
        <v>43110</v>
      </c>
      <c r="C58" s="13">
        <v>43110</v>
      </c>
      <c r="D58" s="13">
        <v>43110</v>
      </c>
      <c r="E58" t="s">
        <v>38</v>
      </c>
      <c r="F58" t="s">
        <v>45</v>
      </c>
      <c r="G58" t="s">
        <v>341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50">
        <f>IF(TbRegistroSaídas[[#This Row],[Data do Caixa Previsto]]="",0,MONTH(TbRegistroSaídas[[#This Row],[Data do Caixa Previsto]]))</f>
        <v>1</v>
      </c>
      <c r="N58" s="50">
        <f>IF(TbRegistroSaídas[[#This Row],[Data do Caixa Previsto]]="",0,YEAR(TbRegistroSaídas[[#This Row],[Data do Caixa Previsto]]))</f>
        <v>2018</v>
      </c>
    </row>
    <row r="59" spans="2:14" x14ac:dyDescent="0.25">
      <c r="B59" s="13" t="s">
        <v>69</v>
      </c>
      <c r="C59" s="13">
        <v>43112</v>
      </c>
      <c r="D59" s="13">
        <v>43112</v>
      </c>
      <c r="E59" t="s">
        <v>38</v>
      </c>
      <c r="F59" t="s">
        <v>45</v>
      </c>
      <c r="G59" t="s">
        <v>342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50">
        <f>IF(TbRegistroSaídas[[#This Row],[Data do Caixa Previsto]]="",0,MONTH(TbRegistroSaídas[[#This Row],[Data do Caixa Previsto]]))</f>
        <v>1</v>
      </c>
      <c r="N59" s="50">
        <f>IF(TbRegistroSaídas[[#This Row],[Data do Caixa Previsto]]="",0,YEAR(TbRegistroSaídas[[#This Row],[Data do Caixa Previsto]]))</f>
        <v>2018</v>
      </c>
    </row>
    <row r="60" spans="2:14" hidden="1" x14ac:dyDescent="0.25">
      <c r="B60" s="13">
        <v>43137</v>
      </c>
      <c r="C60" s="13">
        <v>43113</v>
      </c>
      <c r="D60" s="13">
        <v>43137</v>
      </c>
      <c r="E60" t="s">
        <v>38</v>
      </c>
      <c r="F60" t="s">
        <v>36</v>
      </c>
      <c r="G60" t="s">
        <v>343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50">
        <f>IF(TbRegistroSaídas[[#This Row],[Data do Caixa Previsto]]="",0,MONTH(TbRegistroSaídas[[#This Row],[Data do Caixa Previsto]]))</f>
        <v>2</v>
      </c>
      <c r="N60" s="50">
        <f>IF(TbRegistroSaídas[[#This Row],[Data do Caixa Previsto]]="",0,YEAR(TbRegistroSaídas[[#This Row],[Data do Caixa Previsto]]))</f>
        <v>2018</v>
      </c>
    </row>
    <row r="61" spans="2:14" hidden="1" x14ac:dyDescent="0.25">
      <c r="B61" s="13">
        <v>43144</v>
      </c>
      <c r="C61" s="13">
        <v>43114</v>
      </c>
      <c r="D61" s="13">
        <v>43144</v>
      </c>
      <c r="E61" t="s">
        <v>38</v>
      </c>
      <c r="F61" t="s">
        <v>36</v>
      </c>
      <c r="G61" t="s">
        <v>344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50">
        <f>IF(TbRegistroSaídas[[#This Row],[Data do Caixa Previsto]]="",0,MONTH(TbRegistroSaídas[[#This Row],[Data do Caixa Previsto]]))</f>
        <v>2</v>
      </c>
      <c r="N61" s="50">
        <f>IF(TbRegistroSaídas[[#This Row],[Data do Caixa Previsto]]="",0,YEAR(TbRegistroSaídas[[#This Row],[Data do Caixa Previsto]]))</f>
        <v>2018</v>
      </c>
    </row>
    <row r="62" spans="2:14" hidden="1" x14ac:dyDescent="0.25">
      <c r="B62" s="13">
        <v>43116</v>
      </c>
      <c r="C62" s="13">
        <v>43116</v>
      </c>
      <c r="D62" s="13">
        <v>43116</v>
      </c>
      <c r="E62" t="s">
        <v>38</v>
      </c>
      <c r="F62" t="s">
        <v>45</v>
      </c>
      <c r="G62" t="s">
        <v>297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50">
        <f>IF(TbRegistroSaídas[[#This Row],[Data do Caixa Previsto]]="",0,MONTH(TbRegistroSaídas[[#This Row],[Data do Caixa Previsto]]))</f>
        <v>1</v>
      </c>
      <c r="N62" s="50">
        <f>IF(TbRegistroSaídas[[#This Row],[Data do Caixa Previsto]]="",0,YEAR(TbRegistroSaídas[[#This Row],[Data do Caixa Previsto]]))</f>
        <v>2018</v>
      </c>
    </row>
    <row r="63" spans="2:14" hidden="1" x14ac:dyDescent="0.25">
      <c r="B63" s="13">
        <v>43133</v>
      </c>
      <c r="C63" s="13">
        <v>43120</v>
      </c>
      <c r="D63" s="13">
        <v>43120</v>
      </c>
      <c r="E63" t="s">
        <v>38</v>
      </c>
      <c r="F63" t="s">
        <v>45</v>
      </c>
      <c r="G63" t="s">
        <v>345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50">
        <f>IF(TbRegistroSaídas[[#This Row],[Data do Caixa Previsto]]="",0,MONTH(TbRegistroSaídas[[#This Row],[Data do Caixa Previsto]]))</f>
        <v>1</v>
      </c>
      <c r="N63" s="50">
        <f>IF(TbRegistroSaídas[[#This Row],[Data do Caixa Previsto]]="",0,YEAR(TbRegistroSaídas[[#This Row],[Data do Caixa Previsto]]))</f>
        <v>2018</v>
      </c>
    </row>
    <row r="64" spans="2:14" hidden="1" x14ac:dyDescent="0.25">
      <c r="B64" s="13">
        <v>43141</v>
      </c>
      <c r="C64" s="13">
        <v>43121</v>
      </c>
      <c r="D64" s="13">
        <v>43141</v>
      </c>
      <c r="E64" t="s">
        <v>38</v>
      </c>
      <c r="F64" t="s">
        <v>32</v>
      </c>
      <c r="G64" t="s">
        <v>346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50">
        <f>IF(TbRegistroSaídas[[#This Row],[Data do Caixa Previsto]]="",0,MONTH(TbRegistroSaídas[[#This Row],[Data do Caixa Previsto]]))</f>
        <v>2</v>
      </c>
      <c r="N64" s="50">
        <f>IF(TbRegistroSaídas[[#This Row],[Data do Caixa Previsto]]="",0,YEAR(TbRegistroSaídas[[#This Row],[Data do Caixa Previsto]]))</f>
        <v>2018</v>
      </c>
    </row>
    <row r="65" spans="2:14" hidden="1" x14ac:dyDescent="0.25">
      <c r="B65" s="13">
        <v>43140</v>
      </c>
      <c r="C65" s="13">
        <v>43123</v>
      </c>
      <c r="D65" s="13">
        <v>43140</v>
      </c>
      <c r="E65" t="s">
        <v>38</v>
      </c>
      <c r="F65" t="s">
        <v>36</v>
      </c>
      <c r="G65" t="s">
        <v>347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50">
        <f>IF(TbRegistroSaídas[[#This Row],[Data do Caixa Previsto]]="",0,MONTH(TbRegistroSaídas[[#This Row],[Data do Caixa Previsto]]))</f>
        <v>2</v>
      </c>
      <c r="N65" s="50">
        <f>IF(TbRegistroSaídas[[#This Row],[Data do Caixa Previsto]]="",0,YEAR(TbRegistroSaídas[[#This Row],[Data do Caixa Previsto]]))</f>
        <v>2018</v>
      </c>
    </row>
    <row r="66" spans="2:14" x14ac:dyDescent="0.25">
      <c r="B66" s="13" t="s">
        <v>69</v>
      </c>
      <c r="C66" s="13">
        <v>43125</v>
      </c>
      <c r="D66" s="13">
        <v>43125</v>
      </c>
      <c r="E66" t="s">
        <v>38</v>
      </c>
      <c r="F66" t="s">
        <v>34</v>
      </c>
      <c r="G66" t="s">
        <v>348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50">
        <f>IF(TbRegistroSaídas[[#This Row],[Data do Caixa Previsto]]="",0,MONTH(TbRegistroSaídas[[#This Row],[Data do Caixa Previsto]]))</f>
        <v>1</v>
      </c>
      <c r="N66" s="50">
        <f>IF(TbRegistroSaídas[[#This Row],[Data do Caixa Previsto]]="",0,YEAR(TbRegistroSaídas[[#This Row],[Data do Caixa Previsto]]))</f>
        <v>2018</v>
      </c>
    </row>
    <row r="67" spans="2:14" hidden="1" x14ac:dyDescent="0.25">
      <c r="B67" s="13">
        <v>43178</v>
      </c>
      <c r="C67" s="13">
        <v>43127</v>
      </c>
      <c r="D67" s="13">
        <v>43127</v>
      </c>
      <c r="E67" t="s">
        <v>38</v>
      </c>
      <c r="F67" t="s">
        <v>33</v>
      </c>
      <c r="G67" t="s">
        <v>349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50">
        <f>IF(TbRegistroSaídas[[#This Row],[Data do Caixa Previsto]]="",0,MONTH(TbRegistroSaídas[[#This Row],[Data do Caixa Previsto]]))</f>
        <v>1</v>
      </c>
      <c r="N67" s="50">
        <f>IF(TbRegistroSaídas[[#This Row],[Data do Caixa Previsto]]="",0,YEAR(TbRegistroSaídas[[#This Row],[Data do Caixa Previsto]]))</f>
        <v>2018</v>
      </c>
    </row>
    <row r="68" spans="2:14" hidden="1" x14ac:dyDescent="0.25">
      <c r="B68" s="13">
        <v>43215</v>
      </c>
      <c r="C68" s="13">
        <v>43129</v>
      </c>
      <c r="D68" s="13">
        <v>43129</v>
      </c>
      <c r="E68" t="s">
        <v>38</v>
      </c>
      <c r="F68" t="s">
        <v>45</v>
      </c>
      <c r="G68" t="s">
        <v>350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50">
        <f>IF(TbRegistroSaídas[[#This Row],[Data do Caixa Previsto]]="",0,MONTH(TbRegistroSaídas[[#This Row],[Data do Caixa Previsto]]))</f>
        <v>1</v>
      </c>
      <c r="N68" s="50">
        <f>IF(TbRegistroSaídas[[#This Row],[Data do Caixa Previsto]]="",0,YEAR(TbRegistroSaídas[[#This Row],[Data do Caixa Previsto]]))</f>
        <v>2018</v>
      </c>
    </row>
    <row r="69" spans="2:14" hidden="1" x14ac:dyDescent="0.25">
      <c r="B69" s="13">
        <v>43131</v>
      </c>
      <c r="C69" s="13">
        <v>43131</v>
      </c>
      <c r="D69" s="13">
        <v>43131</v>
      </c>
      <c r="E69" t="s">
        <v>38</v>
      </c>
      <c r="F69" t="s">
        <v>36</v>
      </c>
      <c r="G69" t="s">
        <v>351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50">
        <f>IF(TbRegistroSaídas[[#This Row],[Data do Caixa Previsto]]="",0,MONTH(TbRegistroSaídas[[#This Row],[Data do Caixa Previsto]]))</f>
        <v>1</v>
      </c>
      <c r="N69" s="50">
        <f>IF(TbRegistroSaídas[[#This Row],[Data do Caixa Previsto]]="",0,YEAR(TbRegistroSaídas[[#This Row],[Data do Caixa Previsto]]))</f>
        <v>2018</v>
      </c>
    </row>
    <row r="70" spans="2:14" x14ac:dyDescent="0.25">
      <c r="B70" s="13" t="s">
        <v>69</v>
      </c>
      <c r="C70" s="13">
        <v>43135</v>
      </c>
      <c r="D70" s="13">
        <v>43135</v>
      </c>
      <c r="E70" t="s">
        <v>38</v>
      </c>
      <c r="F70" t="s">
        <v>32</v>
      </c>
      <c r="G70" t="s">
        <v>352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50">
        <f>IF(TbRegistroSaídas[[#This Row],[Data do Caixa Previsto]]="",0,MONTH(TbRegistroSaídas[[#This Row],[Data do Caixa Previsto]]))</f>
        <v>2</v>
      </c>
      <c r="N70" s="50">
        <f>IF(TbRegistroSaídas[[#This Row],[Data do Caixa Previsto]]="",0,YEAR(TbRegistroSaídas[[#This Row],[Data do Caixa Previsto]]))</f>
        <v>2018</v>
      </c>
    </row>
    <row r="71" spans="2:14" hidden="1" x14ac:dyDescent="0.25">
      <c r="B71" s="13">
        <v>43136</v>
      </c>
      <c r="C71" s="13">
        <v>43136</v>
      </c>
      <c r="D71" s="13">
        <v>43136</v>
      </c>
      <c r="E71" t="s">
        <v>38</v>
      </c>
      <c r="F71" t="s">
        <v>45</v>
      </c>
      <c r="G71" t="s">
        <v>353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50">
        <f>IF(TbRegistroSaídas[[#This Row],[Data do Caixa Previsto]]="",0,MONTH(TbRegistroSaídas[[#This Row],[Data do Caixa Previsto]]))</f>
        <v>2</v>
      </c>
      <c r="N71" s="50">
        <f>IF(TbRegistroSaídas[[#This Row],[Data do Caixa Previsto]]="",0,YEAR(TbRegistroSaídas[[#This Row],[Data do Caixa Previsto]]))</f>
        <v>2018</v>
      </c>
    </row>
    <row r="72" spans="2:14" hidden="1" x14ac:dyDescent="0.25">
      <c r="B72" s="13">
        <v>43137</v>
      </c>
      <c r="C72" s="13">
        <v>43137</v>
      </c>
      <c r="D72" s="13">
        <v>43137</v>
      </c>
      <c r="E72" t="s">
        <v>38</v>
      </c>
      <c r="F72" t="s">
        <v>45</v>
      </c>
      <c r="G72" t="s">
        <v>354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50">
        <f>IF(TbRegistroSaídas[[#This Row],[Data do Caixa Previsto]]="",0,MONTH(TbRegistroSaídas[[#This Row],[Data do Caixa Previsto]]))</f>
        <v>2</v>
      </c>
      <c r="N72" s="50">
        <f>IF(TbRegistroSaídas[[#This Row],[Data do Caixa Previsto]]="",0,YEAR(TbRegistroSaídas[[#This Row],[Data do Caixa Previsto]]))</f>
        <v>2018</v>
      </c>
    </row>
    <row r="73" spans="2:14" hidden="1" x14ac:dyDescent="0.25">
      <c r="B73" s="13">
        <v>43177</v>
      </c>
      <c r="C73" s="13">
        <v>43138</v>
      </c>
      <c r="D73" s="13">
        <v>43177</v>
      </c>
      <c r="E73" t="s">
        <v>38</v>
      </c>
      <c r="F73" t="s">
        <v>33</v>
      </c>
      <c r="G73" t="s">
        <v>355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50">
        <f>IF(TbRegistroSaídas[[#This Row],[Data do Caixa Previsto]]="",0,MONTH(TbRegistroSaídas[[#This Row],[Data do Caixa Previsto]]))</f>
        <v>3</v>
      </c>
      <c r="N73" s="50">
        <f>IF(TbRegistroSaídas[[#This Row],[Data do Caixa Previsto]]="",0,YEAR(TbRegistroSaídas[[#This Row],[Data do Caixa Previsto]]))</f>
        <v>2018</v>
      </c>
    </row>
    <row r="74" spans="2:14" hidden="1" x14ac:dyDescent="0.25">
      <c r="B74" s="13">
        <v>43175</v>
      </c>
      <c r="C74" s="13">
        <v>43140</v>
      </c>
      <c r="D74" s="13">
        <v>43175</v>
      </c>
      <c r="E74" t="s">
        <v>38</v>
      </c>
      <c r="F74" t="s">
        <v>34</v>
      </c>
      <c r="G74" t="s">
        <v>356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50">
        <f>IF(TbRegistroSaídas[[#This Row],[Data do Caixa Previsto]]="",0,MONTH(TbRegistroSaídas[[#This Row],[Data do Caixa Previsto]]))</f>
        <v>3</v>
      </c>
      <c r="N74" s="50">
        <f>IF(TbRegistroSaídas[[#This Row],[Data do Caixa Previsto]]="",0,YEAR(TbRegistroSaídas[[#This Row],[Data do Caixa Previsto]]))</f>
        <v>2018</v>
      </c>
    </row>
    <row r="75" spans="2:14" hidden="1" x14ac:dyDescent="0.25">
      <c r="B75" s="13">
        <v>43150</v>
      </c>
      <c r="C75" s="13">
        <v>43145</v>
      </c>
      <c r="D75" s="13">
        <v>43150</v>
      </c>
      <c r="E75" t="s">
        <v>38</v>
      </c>
      <c r="F75" t="s">
        <v>34</v>
      </c>
      <c r="G75" t="s">
        <v>357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50">
        <f>IF(TbRegistroSaídas[[#This Row],[Data do Caixa Previsto]]="",0,MONTH(TbRegistroSaídas[[#This Row],[Data do Caixa Previsto]]))</f>
        <v>2</v>
      </c>
      <c r="N75" s="50">
        <f>IF(TbRegistroSaídas[[#This Row],[Data do Caixa Previsto]]="",0,YEAR(TbRegistroSaídas[[#This Row],[Data do Caixa Previsto]]))</f>
        <v>2018</v>
      </c>
    </row>
    <row r="76" spans="2:14" hidden="1" x14ac:dyDescent="0.25">
      <c r="B76" s="13">
        <v>43219</v>
      </c>
      <c r="C76" s="13">
        <v>43146</v>
      </c>
      <c r="D76" s="13">
        <v>43169</v>
      </c>
      <c r="E76" t="s">
        <v>38</v>
      </c>
      <c r="F76" t="s">
        <v>45</v>
      </c>
      <c r="G76" t="s">
        <v>358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50">
        <f>IF(TbRegistroSaídas[[#This Row],[Data do Caixa Previsto]]="",0,MONTH(TbRegistroSaídas[[#This Row],[Data do Caixa Previsto]]))</f>
        <v>3</v>
      </c>
      <c r="N76" s="50">
        <f>IF(TbRegistroSaídas[[#This Row],[Data do Caixa Previsto]]="",0,YEAR(TbRegistroSaídas[[#This Row],[Data do Caixa Previsto]]))</f>
        <v>2018</v>
      </c>
    </row>
    <row r="77" spans="2:14" hidden="1" x14ac:dyDescent="0.25">
      <c r="B77" s="13">
        <v>43198</v>
      </c>
      <c r="C77" s="13">
        <v>43151</v>
      </c>
      <c r="D77" s="13">
        <v>43198</v>
      </c>
      <c r="E77" t="s">
        <v>38</v>
      </c>
      <c r="F77" t="s">
        <v>33</v>
      </c>
      <c r="G77" t="s">
        <v>359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50">
        <f>IF(TbRegistroSaídas[[#This Row],[Data do Caixa Previsto]]="",0,MONTH(TbRegistroSaídas[[#This Row],[Data do Caixa Previsto]]))</f>
        <v>4</v>
      </c>
      <c r="N77" s="50">
        <f>IF(TbRegistroSaídas[[#This Row],[Data do Caixa Previsto]]="",0,YEAR(TbRegistroSaídas[[#This Row],[Data do Caixa Previsto]]))</f>
        <v>2018</v>
      </c>
    </row>
    <row r="78" spans="2:14" hidden="1" x14ac:dyDescent="0.25">
      <c r="B78" s="13">
        <v>43160</v>
      </c>
      <c r="C78" s="13">
        <v>43160</v>
      </c>
      <c r="D78" s="13">
        <v>43160</v>
      </c>
      <c r="E78" t="s">
        <v>38</v>
      </c>
      <c r="F78" t="s">
        <v>45</v>
      </c>
      <c r="G78" t="s">
        <v>360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50">
        <f>IF(TbRegistroSaídas[[#This Row],[Data do Caixa Previsto]]="",0,MONTH(TbRegistroSaídas[[#This Row],[Data do Caixa Previsto]]))</f>
        <v>3</v>
      </c>
      <c r="N78" s="50">
        <f>IF(TbRegistroSaídas[[#This Row],[Data do Caixa Previsto]]="",0,YEAR(TbRegistroSaídas[[#This Row],[Data do Caixa Previsto]]))</f>
        <v>2018</v>
      </c>
    </row>
    <row r="79" spans="2:14" hidden="1" x14ac:dyDescent="0.25">
      <c r="B79" s="13">
        <v>43163</v>
      </c>
      <c r="C79" s="13">
        <v>43163</v>
      </c>
      <c r="D79" s="13">
        <v>43163</v>
      </c>
      <c r="E79" t="s">
        <v>38</v>
      </c>
      <c r="F79" t="s">
        <v>45</v>
      </c>
      <c r="G79" t="s">
        <v>224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50">
        <f>IF(TbRegistroSaídas[[#This Row],[Data do Caixa Previsto]]="",0,MONTH(TbRegistroSaídas[[#This Row],[Data do Caixa Previsto]]))</f>
        <v>3</v>
      </c>
      <c r="N79" s="50">
        <f>IF(TbRegistroSaídas[[#This Row],[Data do Caixa Previsto]]="",0,YEAR(TbRegistroSaídas[[#This Row],[Data do Caixa Previsto]]))</f>
        <v>2018</v>
      </c>
    </row>
    <row r="80" spans="2:14" hidden="1" x14ac:dyDescent="0.25">
      <c r="B80" s="13">
        <v>43219</v>
      </c>
      <c r="C80" s="13">
        <v>43164</v>
      </c>
      <c r="D80" s="13">
        <v>43219</v>
      </c>
      <c r="E80" t="s">
        <v>38</v>
      </c>
      <c r="F80" t="s">
        <v>34</v>
      </c>
      <c r="G80" t="s">
        <v>361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50">
        <f>IF(TbRegistroSaídas[[#This Row],[Data do Caixa Previsto]]="",0,MONTH(TbRegistroSaídas[[#This Row],[Data do Caixa Previsto]]))</f>
        <v>4</v>
      </c>
      <c r="N80" s="50">
        <f>IF(TbRegistroSaídas[[#This Row],[Data do Caixa Previsto]]="",0,YEAR(TbRegistroSaídas[[#This Row],[Data do Caixa Previsto]]))</f>
        <v>2018</v>
      </c>
    </row>
    <row r="81" spans="2:14" hidden="1" x14ac:dyDescent="0.25">
      <c r="B81" s="13">
        <v>43188</v>
      </c>
      <c r="C81" s="13">
        <v>43166</v>
      </c>
      <c r="D81" s="13">
        <v>43188</v>
      </c>
      <c r="E81" t="s">
        <v>38</v>
      </c>
      <c r="F81" t="s">
        <v>33</v>
      </c>
      <c r="G81" t="s">
        <v>362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50">
        <f>IF(TbRegistroSaídas[[#This Row],[Data do Caixa Previsto]]="",0,MONTH(TbRegistroSaídas[[#This Row],[Data do Caixa Previsto]]))</f>
        <v>3</v>
      </c>
      <c r="N81" s="50">
        <f>IF(TbRegistroSaídas[[#This Row],[Data do Caixa Previsto]]="",0,YEAR(TbRegistroSaídas[[#This Row],[Data do Caixa Previsto]]))</f>
        <v>2018</v>
      </c>
    </row>
    <row r="82" spans="2:14" hidden="1" x14ac:dyDescent="0.25">
      <c r="B82" s="13">
        <v>43168</v>
      </c>
      <c r="C82" s="13">
        <v>43168</v>
      </c>
      <c r="D82" s="13">
        <v>43168</v>
      </c>
      <c r="E82" t="s">
        <v>38</v>
      </c>
      <c r="F82" t="s">
        <v>34</v>
      </c>
      <c r="G82" t="s">
        <v>363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50">
        <f>IF(TbRegistroSaídas[[#This Row],[Data do Caixa Previsto]]="",0,MONTH(TbRegistroSaídas[[#This Row],[Data do Caixa Previsto]]))</f>
        <v>3</v>
      </c>
      <c r="N82" s="50">
        <f>IF(TbRegistroSaídas[[#This Row],[Data do Caixa Previsto]]="",0,YEAR(TbRegistroSaídas[[#This Row],[Data do Caixa Previsto]]))</f>
        <v>2018</v>
      </c>
    </row>
    <row r="83" spans="2:14" hidden="1" x14ac:dyDescent="0.25">
      <c r="B83" s="13">
        <v>43173</v>
      </c>
      <c r="C83" s="13">
        <v>43173</v>
      </c>
      <c r="D83" s="13">
        <v>43173</v>
      </c>
      <c r="E83" t="s">
        <v>38</v>
      </c>
      <c r="F83" t="s">
        <v>45</v>
      </c>
      <c r="G83" t="s">
        <v>364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50">
        <f>IF(TbRegistroSaídas[[#This Row],[Data do Caixa Previsto]]="",0,MONTH(TbRegistroSaídas[[#This Row],[Data do Caixa Previsto]]))</f>
        <v>3</v>
      </c>
      <c r="N83" s="50">
        <f>IF(TbRegistroSaídas[[#This Row],[Data do Caixa Previsto]]="",0,YEAR(TbRegistroSaídas[[#This Row],[Data do Caixa Previsto]]))</f>
        <v>2018</v>
      </c>
    </row>
    <row r="84" spans="2:14" hidden="1" x14ac:dyDescent="0.25">
      <c r="B84" s="13">
        <v>43201</v>
      </c>
      <c r="C84" s="13">
        <v>43176</v>
      </c>
      <c r="D84" s="13">
        <v>43201</v>
      </c>
      <c r="E84" t="s">
        <v>38</v>
      </c>
      <c r="F84" t="s">
        <v>32</v>
      </c>
      <c r="G84" t="s">
        <v>365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50">
        <f>IF(TbRegistroSaídas[[#This Row],[Data do Caixa Previsto]]="",0,MONTH(TbRegistroSaídas[[#This Row],[Data do Caixa Previsto]]))</f>
        <v>4</v>
      </c>
      <c r="N84" s="50">
        <f>IF(TbRegistroSaídas[[#This Row],[Data do Caixa Previsto]]="",0,YEAR(TbRegistroSaídas[[#This Row],[Data do Caixa Previsto]]))</f>
        <v>2018</v>
      </c>
    </row>
    <row r="85" spans="2:14" hidden="1" x14ac:dyDescent="0.25">
      <c r="B85" s="13">
        <v>43272</v>
      </c>
      <c r="C85" s="13">
        <v>43180</v>
      </c>
      <c r="D85" s="13">
        <v>43191</v>
      </c>
      <c r="E85" t="s">
        <v>38</v>
      </c>
      <c r="F85" t="s">
        <v>32</v>
      </c>
      <c r="G85" t="s">
        <v>366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50">
        <f>IF(TbRegistroSaídas[[#This Row],[Data do Caixa Previsto]]="",0,MONTH(TbRegistroSaídas[[#This Row],[Data do Caixa Previsto]]))</f>
        <v>4</v>
      </c>
      <c r="N85" s="50">
        <f>IF(TbRegistroSaídas[[#This Row],[Data do Caixa Previsto]]="",0,YEAR(TbRegistroSaídas[[#This Row],[Data do Caixa Previsto]]))</f>
        <v>2018</v>
      </c>
    </row>
    <row r="86" spans="2:14" hidden="1" x14ac:dyDescent="0.25">
      <c r="B86" s="13">
        <v>43187</v>
      </c>
      <c r="C86" s="13">
        <v>43183</v>
      </c>
      <c r="D86" s="13">
        <v>43187</v>
      </c>
      <c r="E86" t="s">
        <v>38</v>
      </c>
      <c r="F86" t="s">
        <v>45</v>
      </c>
      <c r="G86" t="s">
        <v>367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50">
        <f>IF(TbRegistroSaídas[[#This Row],[Data do Caixa Previsto]]="",0,MONTH(TbRegistroSaídas[[#This Row],[Data do Caixa Previsto]]))</f>
        <v>3</v>
      </c>
      <c r="N86" s="50">
        <f>IF(TbRegistroSaídas[[#This Row],[Data do Caixa Previsto]]="",0,YEAR(TbRegistroSaídas[[#This Row],[Data do Caixa Previsto]]))</f>
        <v>2018</v>
      </c>
    </row>
    <row r="87" spans="2:14" hidden="1" x14ac:dyDescent="0.25">
      <c r="B87" s="13">
        <v>43184</v>
      </c>
      <c r="C87" s="13">
        <v>43184</v>
      </c>
      <c r="D87" s="13">
        <v>43184</v>
      </c>
      <c r="E87" t="s">
        <v>38</v>
      </c>
      <c r="F87" t="s">
        <v>32</v>
      </c>
      <c r="G87" t="s">
        <v>368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50">
        <f>IF(TbRegistroSaídas[[#This Row],[Data do Caixa Previsto]]="",0,MONTH(TbRegistroSaídas[[#This Row],[Data do Caixa Previsto]]))</f>
        <v>3</v>
      </c>
      <c r="N87" s="50">
        <f>IF(TbRegistroSaídas[[#This Row],[Data do Caixa Previsto]]="",0,YEAR(TbRegistroSaídas[[#This Row],[Data do Caixa Previsto]]))</f>
        <v>2018</v>
      </c>
    </row>
    <row r="88" spans="2:14" hidden="1" x14ac:dyDescent="0.25">
      <c r="B88" s="13">
        <v>43234</v>
      </c>
      <c r="C88" s="13">
        <v>43191</v>
      </c>
      <c r="D88" s="13">
        <v>43234</v>
      </c>
      <c r="E88" t="s">
        <v>38</v>
      </c>
      <c r="F88" t="s">
        <v>32</v>
      </c>
      <c r="G88" t="s">
        <v>369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50">
        <f>IF(TbRegistroSaídas[[#This Row],[Data do Caixa Previsto]]="",0,MONTH(TbRegistroSaídas[[#This Row],[Data do Caixa Previsto]]))</f>
        <v>5</v>
      </c>
      <c r="N88" s="50">
        <f>IF(TbRegistroSaídas[[#This Row],[Data do Caixa Previsto]]="",0,YEAR(TbRegistroSaídas[[#This Row],[Data do Caixa Previsto]]))</f>
        <v>2018</v>
      </c>
    </row>
    <row r="89" spans="2:14" hidden="1" x14ac:dyDescent="0.25">
      <c r="B89" s="13">
        <v>43202</v>
      </c>
      <c r="C89" s="13">
        <v>43193</v>
      </c>
      <c r="D89" s="13">
        <v>43202</v>
      </c>
      <c r="E89" t="s">
        <v>38</v>
      </c>
      <c r="F89" t="s">
        <v>33</v>
      </c>
      <c r="G89" t="s">
        <v>370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50">
        <f>IF(TbRegistroSaídas[[#This Row],[Data do Caixa Previsto]]="",0,MONTH(TbRegistroSaídas[[#This Row],[Data do Caixa Previsto]]))</f>
        <v>4</v>
      </c>
      <c r="N89" s="50">
        <f>IF(TbRegistroSaídas[[#This Row],[Data do Caixa Previsto]]="",0,YEAR(TbRegistroSaídas[[#This Row],[Data do Caixa Previsto]]))</f>
        <v>2018</v>
      </c>
    </row>
    <row r="90" spans="2:14" hidden="1" x14ac:dyDescent="0.25">
      <c r="B90" s="13">
        <v>43195</v>
      </c>
      <c r="C90" s="13">
        <v>43195</v>
      </c>
      <c r="D90" s="13">
        <v>43195</v>
      </c>
      <c r="E90" t="s">
        <v>38</v>
      </c>
      <c r="F90" t="s">
        <v>34</v>
      </c>
      <c r="G90" t="s">
        <v>371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50">
        <f>IF(TbRegistroSaídas[[#This Row],[Data do Caixa Previsto]]="",0,MONTH(TbRegistroSaídas[[#This Row],[Data do Caixa Previsto]]))</f>
        <v>4</v>
      </c>
      <c r="N90" s="50">
        <f>IF(TbRegistroSaídas[[#This Row],[Data do Caixa Previsto]]="",0,YEAR(TbRegistroSaídas[[#This Row],[Data do Caixa Previsto]]))</f>
        <v>2018</v>
      </c>
    </row>
    <row r="91" spans="2:14" hidden="1" x14ac:dyDescent="0.25">
      <c r="B91" s="13">
        <v>43196</v>
      </c>
      <c r="C91" s="13">
        <v>43196</v>
      </c>
      <c r="D91" s="13">
        <v>43196</v>
      </c>
      <c r="E91" t="s">
        <v>38</v>
      </c>
      <c r="F91" t="s">
        <v>45</v>
      </c>
      <c r="G91" t="s">
        <v>372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50">
        <f>IF(TbRegistroSaídas[[#This Row],[Data do Caixa Previsto]]="",0,MONTH(TbRegistroSaídas[[#This Row],[Data do Caixa Previsto]]))</f>
        <v>4</v>
      </c>
      <c r="N91" s="50">
        <f>IF(TbRegistroSaídas[[#This Row],[Data do Caixa Previsto]]="",0,YEAR(TbRegistroSaídas[[#This Row],[Data do Caixa Previsto]]))</f>
        <v>2018</v>
      </c>
    </row>
    <row r="92" spans="2:14" hidden="1" x14ac:dyDescent="0.25">
      <c r="B92" s="13">
        <v>43240</v>
      </c>
      <c r="C92" s="13">
        <v>43200</v>
      </c>
      <c r="D92" s="13">
        <v>43240</v>
      </c>
      <c r="E92" t="s">
        <v>38</v>
      </c>
      <c r="F92" t="s">
        <v>34</v>
      </c>
      <c r="G92" t="s">
        <v>373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50">
        <f>IF(TbRegistroSaídas[[#This Row],[Data do Caixa Previsto]]="",0,MONTH(TbRegistroSaídas[[#This Row],[Data do Caixa Previsto]]))</f>
        <v>5</v>
      </c>
      <c r="N92" s="50">
        <f>IF(TbRegistroSaídas[[#This Row],[Data do Caixa Previsto]]="",0,YEAR(TbRegistroSaídas[[#This Row],[Data do Caixa Previsto]]))</f>
        <v>2018</v>
      </c>
    </row>
    <row r="93" spans="2:14" hidden="1" x14ac:dyDescent="0.25">
      <c r="B93" s="13">
        <v>43206</v>
      </c>
      <c r="C93" s="13">
        <v>43206</v>
      </c>
      <c r="D93" s="13">
        <v>43206</v>
      </c>
      <c r="E93" t="s">
        <v>38</v>
      </c>
      <c r="F93" t="s">
        <v>45</v>
      </c>
      <c r="G93" t="s">
        <v>374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50">
        <f>IF(TbRegistroSaídas[[#This Row],[Data do Caixa Previsto]]="",0,MONTH(TbRegistroSaídas[[#This Row],[Data do Caixa Previsto]]))</f>
        <v>4</v>
      </c>
      <c r="N93" s="50">
        <f>IF(TbRegistroSaídas[[#This Row],[Data do Caixa Previsto]]="",0,YEAR(TbRegistroSaídas[[#This Row],[Data do Caixa Previsto]]))</f>
        <v>2018</v>
      </c>
    </row>
    <row r="94" spans="2:14" x14ac:dyDescent="0.25">
      <c r="B94" s="13" t="s">
        <v>69</v>
      </c>
      <c r="C94" s="13">
        <v>43212</v>
      </c>
      <c r="D94" s="13">
        <v>43222</v>
      </c>
      <c r="E94" t="s">
        <v>38</v>
      </c>
      <c r="F94" t="s">
        <v>32</v>
      </c>
      <c r="G94" t="s">
        <v>375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50">
        <f>IF(TbRegistroSaídas[[#This Row],[Data do Caixa Previsto]]="",0,MONTH(TbRegistroSaídas[[#This Row],[Data do Caixa Previsto]]))</f>
        <v>5</v>
      </c>
      <c r="N94" s="50">
        <f>IF(TbRegistroSaídas[[#This Row],[Data do Caixa Previsto]]="",0,YEAR(TbRegistroSaídas[[#This Row],[Data do Caixa Previsto]]))</f>
        <v>2018</v>
      </c>
    </row>
    <row r="95" spans="2:14" hidden="1" x14ac:dyDescent="0.25">
      <c r="B95" s="13">
        <v>43218</v>
      </c>
      <c r="C95" s="13">
        <v>43218</v>
      </c>
      <c r="D95" s="13">
        <v>43218</v>
      </c>
      <c r="E95" t="s">
        <v>38</v>
      </c>
      <c r="F95" t="s">
        <v>34</v>
      </c>
      <c r="G95" t="s">
        <v>376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50">
        <f>IF(TbRegistroSaídas[[#This Row],[Data do Caixa Previsto]]="",0,MONTH(TbRegistroSaídas[[#This Row],[Data do Caixa Previsto]]))</f>
        <v>4</v>
      </c>
      <c r="N95" s="50">
        <f>IF(TbRegistroSaídas[[#This Row],[Data do Caixa Previsto]]="",0,YEAR(TbRegistroSaídas[[#This Row],[Data do Caixa Previsto]]))</f>
        <v>2018</v>
      </c>
    </row>
    <row r="96" spans="2:14" hidden="1" x14ac:dyDescent="0.25">
      <c r="B96" s="13">
        <v>43223</v>
      </c>
      <c r="C96" s="13">
        <v>43219</v>
      </c>
      <c r="D96" s="13">
        <v>43223</v>
      </c>
      <c r="E96" t="s">
        <v>38</v>
      </c>
      <c r="F96" t="s">
        <v>34</v>
      </c>
      <c r="G96" t="s">
        <v>377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50">
        <f>IF(TbRegistroSaídas[[#This Row],[Data do Caixa Previsto]]="",0,MONTH(TbRegistroSaídas[[#This Row],[Data do Caixa Previsto]]))</f>
        <v>5</v>
      </c>
      <c r="N96" s="50">
        <f>IF(TbRegistroSaídas[[#This Row],[Data do Caixa Previsto]]="",0,YEAR(TbRegistroSaídas[[#This Row],[Data do Caixa Previsto]]))</f>
        <v>2018</v>
      </c>
    </row>
    <row r="97" spans="2:14" x14ac:dyDescent="0.25">
      <c r="B97" s="13" t="s">
        <v>69</v>
      </c>
      <c r="C97" s="13">
        <v>43222</v>
      </c>
      <c r="D97" s="13">
        <v>43251</v>
      </c>
      <c r="E97" t="s">
        <v>38</v>
      </c>
      <c r="F97" t="s">
        <v>33</v>
      </c>
      <c r="G97" t="s">
        <v>378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50">
        <f>IF(TbRegistroSaídas[[#This Row],[Data do Caixa Previsto]]="",0,MONTH(TbRegistroSaídas[[#This Row],[Data do Caixa Previsto]]))</f>
        <v>5</v>
      </c>
      <c r="N97" s="50">
        <f>IF(TbRegistroSaídas[[#This Row],[Data do Caixa Previsto]]="",0,YEAR(TbRegistroSaídas[[#This Row],[Data do Caixa Previsto]]))</f>
        <v>2018</v>
      </c>
    </row>
    <row r="98" spans="2:14" x14ac:dyDescent="0.25">
      <c r="B98" s="13" t="s">
        <v>69</v>
      </c>
      <c r="C98" s="13">
        <v>43223</v>
      </c>
      <c r="D98" s="13">
        <v>43228</v>
      </c>
      <c r="E98" t="s">
        <v>38</v>
      </c>
      <c r="F98" t="s">
        <v>45</v>
      </c>
      <c r="G98" t="s">
        <v>379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50">
        <f>IF(TbRegistroSaídas[[#This Row],[Data do Caixa Previsto]]="",0,MONTH(TbRegistroSaídas[[#This Row],[Data do Caixa Previsto]]))</f>
        <v>5</v>
      </c>
      <c r="N98" s="50">
        <f>IF(TbRegistroSaídas[[#This Row],[Data do Caixa Previsto]]="",0,YEAR(TbRegistroSaídas[[#This Row],[Data do Caixa Previsto]]))</f>
        <v>2018</v>
      </c>
    </row>
    <row r="99" spans="2:14" hidden="1" x14ac:dyDescent="0.25">
      <c r="B99" s="13">
        <v>43264</v>
      </c>
      <c r="C99" s="13">
        <v>43230</v>
      </c>
      <c r="D99" s="13">
        <v>43264</v>
      </c>
      <c r="E99" t="s">
        <v>38</v>
      </c>
      <c r="F99" t="s">
        <v>32</v>
      </c>
      <c r="G99" t="s">
        <v>380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50">
        <f>IF(TbRegistroSaídas[[#This Row],[Data do Caixa Previsto]]="",0,MONTH(TbRegistroSaídas[[#This Row],[Data do Caixa Previsto]]))</f>
        <v>6</v>
      </c>
      <c r="N99" s="50">
        <f>IF(TbRegistroSaídas[[#This Row],[Data do Caixa Previsto]]="",0,YEAR(TbRegistroSaídas[[#This Row],[Data do Caixa Previsto]]))</f>
        <v>2018</v>
      </c>
    </row>
    <row r="100" spans="2:14" hidden="1" x14ac:dyDescent="0.25">
      <c r="B100" s="13">
        <v>43278</v>
      </c>
      <c r="C100" s="13">
        <v>43235</v>
      </c>
      <c r="D100" s="13">
        <v>43278</v>
      </c>
      <c r="E100" t="s">
        <v>38</v>
      </c>
      <c r="F100" t="s">
        <v>36</v>
      </c>
      <c r="G100" t="s">
        <v>381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50">
        <f>IF(TbRegistroSaídas[[#This Row],[Data do Caixa Previsto]]="",0,MONTH(TbRegistroSaídas[[#This Row],[Data do Caixa Previsto]]))</f>
        <v>6</v>
      </c>
      <c r="N100" s="50">
        <f>IF(TbRegistroSaídas[[#This Row],[Data do Caixa Previsto]]="",0,YEAR(TbRegistroSaídas[[#This Row],[Data do Caixa Previsto]]))</f>
        <v>2018</v>
      </c>
    </row>
    <row r="101" spans="2:14" hidden="1" x14ac:dyDescent="0.25">
      <c r="B101" s="13">
        <v>43238</v>
      </c>
      <c r="C101" s="13">
        <v>43238</v>
      </c>
      <c r="D101" s="13">
        <v>43238</v>
      </c>
      <c r="E101" t="s">
        <v>38</v>
      </c>
      <c r="F101" t="s">
        <v>45</v>
      </c>
      <c r="G101" t="s">
        <v>382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50">
        <f>IF(TbRegistroSaídas[[#This Row],[Data do Caixa Previsto]]="",0,MONTH(TbRegistroSaídas[[#This Row],[Data do Caixa Previsto]]))</f>
        <v>5</v>
      </c>
      <c r="N101" s="50">
        <f>IF(TbRegistroSaídas[[#This Row],[Data do Caixa Previsto]]="",0,YEAR(TbRegistroSaídas[[#This Row],[Data do Caixa Previsto]]))</f>
        <v>2018</v>
      </c>
    </row>
    <row r="102" spans="2:14" x14ac:dyDescent="0.25">
      <c r="B102" s="13" t="s">
        <v>69</v>
      </c>
      <c r="C102" s="13">
        <v>43239</v>
      </c>
      <c r="D102" s="13">
        <v>43278</v>
      </c>
      <c r="E102" t="s">
        <v>38</v>
      </c>
      <c r="F102" t="s">
        <v>45</v>
      </c>
      <c r="G102" t="s">
        <v>383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50">
        <f>IF(TbRegistroSaídas[[#This Row],[Data do Caixa Previsto]]="",0,MONTH(TbRegistroSaídas[[#This Row],[Data do Caixa Previsto]]))</f>
        <v>6</v>
      </c>
      <c r="N102" s="50">
        <f>IF(TbRegistroSaídas[[#This Row],[Data do Caixa Previsto]]="",0,YEAR(TbRegistroSaídas[[#This Row],[Data do Caixa Previsto]]))</f>
        <v>2018</v>
      </c>
    </row>
    <row r="103" spans="2:14" hidden="1" x14ac:dyDescent="0.25">
      <c r="B103" s="13">
        <v>43282</v>
      </c>
      <c r="C103" s="13">
        <v>43246</v>
      </c>
      <c r="D103" s="13">
        <v>43282</v>
      </c>
      <c r="E103" t="s">
        <v>38</v>
      </c>
      <c r="F103" t="s">
        <v>45</v>
      </c>
      <c r="G103" t="s">
        <v>384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50">
        <f>IF(TbRegistroSaídas[[#This Row],[Data do Caixa Previsto]]="",0,MONTH(TbRegistroSaídas[[#This Row],[Data do Caixa Previsto]]))</f>
        <v>7</v>
      </c>
      <c r="N103" s="50">
        <f>IF(TbRegistroSaídas[[#This Row],[Data do Caixa Previsto]]="",0,YEAR(TbRegistroSaídas[[#This Row],[Data do Caixa Previsto]]))</f>
        <v>2018</v>
      </c>
    </row>
    <row r="104" spans="2:14" hidden="1" x14ac:dyDescent="0.25">
      <c r="B104" s="13">
        <v>43306</v>
      </c>
      <c r="C104" s="13">
        <v>43248</v>
      </c>
      <c r="D104" s="13">
        <v>43306</v>
      </c>
      <c r="E104" t="s">
        <v>38</v>
      </c>
      <c r="F104" t="s">
        <v>36</v>
      </c>
      <c r="G104" t="s">
        <v>385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50">
        <f>IF(TbRegistroSaídas[[#This Row],[Data do Caixa Previsto]]="",0,MONTH(TbRegistroSaídas[[#This Row],[Data do Caixa Previsto]]))</f>
        <v>7</v>
      </c>
      <c r="N104" s="50">
        <f>IF(TbRegistroSaídas[[#This Row],[Data do Caixa Previsto]]="",0,YEAR(TbRegistroSaídas[[#This Row],[Data do Caixa Previsto]]))</f>
        <v>2018</v>
      </c>
    </row>
    <row r="105" spans="2:14" hidden="1" x14ac:dyDescent="0.25">
      <c r="B105" s="13">
        <v>43292</v>
      </c>
      <c r="C105" s="13">
        <v>43251</v>
      </c>
      <c r="D105" s="13">
        <v>43292</v>
      </c>
      <c r="E105" t="s">
        <v>38</v>
      </c>
      <c r="F105" t="s">
        <v>33</v>
      </c>
      <c r="G105" t="s">
        <v>386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50">
        <f>IF(TbRegistroSaídas[[#This Row],[Data do Caixa Previsto]]="",0,MONTH(TbRegistroSaídas[[#This Row],[Data do Caixa Previsto]]))</f>
        <v>7</v>
      </c>
      <c r="N105" s="50">
        <f>IF(TbRegistroSaídas[[#This Row],[Data do Caixa Previsto]]="",0,YEAR(TbRegistroSaídas[[#This Row],[Data do Caixa Previsto]]))</f>
        <v>2018</v>
      </c>
    </row>
    <row r="106" spans="2:14" x14ac:dyDescent="0.25">
      <c r="B106" s="13" t="s">
        <v>69</v>
      </c>
      <c r="C106" s="13">
        <v>43253</v>
      </c>
      <c r="D106" s="13">
        <v>43253</v>
      </c>
      <c r="E106" t="s">
        <v>38</v>
      </c>
      <c r="F106" t="s">
        <v>45</v>
      </c>
      <c r="G106" t="s">
        <v>387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50">
        <f>IF(TbRegistroSaídas[[#This Row],[Data do Caixa Previsto]]="",0,MONTH(TbRegistroSaídas[[#This Row],[Data do Caixa Previsto]]))</f>
        <v>6</v>
      </c>
      <c r="N106" s="50">
        <f>IF(TbRegistroSaídas[[#This Row],[Data do Caixa Previsto]]="",0,YEAR(TbRegistroSaídas[[#This Row],[Data do Caixa Previsto]]))</f>
        <v>2018</v>
      </c>
    </row>
    <row r="107" spans="2:14" hidden="1" x14ac:dyDescent="0.25">
      <c r="B107" s="13">
        <v>43259</v>
      </c>
      <c r="C107" s="13">
        <v>43255</v>
      </c>
      <c r="D107" s="13">
        <v>43259</v>
      </c>
      <c r="E107" t="s">
        <v>38</v>
      </c>
      <c r="F107" t="s">
        <v>45</v>
      </c>
      <c r="G107" t="s">
        <v>388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50">
        <f>IF(TbRegistroSaídas[[#This Row],[Data do Caixa Previsto]]="",0,MONTH(TbRegistroSaídas[[#This Row],[Data do Caixa Previsto]]))</f>
        <v>6</v>
      </c>
      <c r="N107" s="50">
        <f>IF(TbRegistroSaídas[[#This Row],[Data do Caixa Previsto]]="",0,YEAR(TbRegistroSaídas[[#This Row],[Data do Caixa Previsto]]))</f>
        <v>2018</v>
      </c>
    </row>
    <row r="108" spans="2:14" hidden="1" x14ac:dyDescent="0.25">
      <c r="B108" s="13">
        <v>43256</v>
      </c>
      <c r="C108" s="13">
        <v>43256</v>
      </c>
      <c r="D108" s="13">
        <v>43256</v>
      </c>
      <c r="E108" t="s">
        <v>38</v>
      </c>
      <c r="F108" t="s">
        <v>33</v>
      </c>
      <c r="G108" t="s">
        <v>389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50">
        <f>IF(TbRegistroSaídas[[#This Row],[Data do Caixa Previsto]]="",0,MONTH(TbRegistroSaídas[[#This Row],[Data do Caixa Previsto]]))</f>
        <v>6</v>
      </c>
      <c r="N108" s="50">
        <f>IF(TbRegistroSaídas[[#This Row],[Data do Caixa Previsto]]="",0,YEAR(TbRegistroSaídas[[#This Row],[Data do Caixa Previsto]]))</f>
        <v>2018</v>
      </c>
    </row>
    <row r="109" spans="2:14" hidden="1" x14ac:dyDescent="0.25">
      <c r="B109" s="13">
        <v>43306</v>
      </c>
      <c r="C109" s="13">
        <v>43258</v>
      </c>
      <c r="D109" s="13">
        <v>43306</v>
      </c>
      <c r="E109" t="s">
        <v>38</v>
      </c>
      <c r="F109" t="s">
        <v>45</v>
      </c>
      <c r="G109" t="s">
        <v>390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50">
        <f>IF(TbRegistroSaídas[[#This Row],[Data do Caixa Previsto]]="",0,MONTH(TbRegistroSaídas[[#This Row],[Data do Caixa Previsto]]))</f>
        <v>7</v>
      </c>
      <c r="N109" s="50">
        <f>IF(TbRegistroSaídas[[#This Row],[Data do Caixa Previsto]]="",0,YEAR(TbRegistroSaídas[[#This Row],[Data do Caixa Previsto]]))</f>
        <v>2018</v>
      </c>
    </row>
    <row r="110" spans="2:14" hidden="1" x14ac:dyDescent="0.25">
      <c r="B110" s="13">
        <v>43262</v>
      </c>
      <c r="C110" s="13">
        <v>43262</v>
      </c>
      <c r="D110" s="13">
        <v>43262</v>
      </c>
      <c r="E110" t="s">
        <v>38</v>
      </c>
      <c r="F110" t="s">
        <v>32</v>
      </c>
      <c r="G110" t="s">
        <v>391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50">
        <f>IF(TbRegistroSaídas[[#This Row],[Data do Caixa Previsto]]="",0,MONTH(TbRegistroSaídas[[#This Row],[Data do Caixa Previsto]]))</f>
        <v>6</v>
      </c>
      <c r="N110" s="50">
        <f>IF(TbRegistroSaídas[[#This Row],[Data do Caixa Previsto]]="",0,YEAR(TbRegistroSaídas[[#This Row],[Data do Caixa Previsto]]))</f>
        <v>2018</v>
      </c>
    </row>
    <row r="111" spans="2:14" hidden="1" x14ac:dyDescent="0.25">
      <c r="B111" s="13">
        <v>43309</v>
      </c>
      <c r="C111" s="13">
        <v>43268</v>
      </c>
      <c r="D111" s="13">
        <v>43309</v>
      </c>
      <c r="E111" t="s">
        <v>38</v>
      </c>
      <c r="F111" t="s">
        <v>36</v>
      </c>
      <c r="G111" t="s">
        <v>392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50">
        <f>IF(TbRegistroSaídas[[#This Row],[Data do Caixa Previsto]]="",0,MONTH(TbRegistroSaídas[[#This Row],[Data do Caixa Previsto]]))</f>
        <v>7</v>
      </c>
      <c r="N111" s="50">
        <f>IF(TbRegistroSaídas[[#This Row],[Data do Caixa Previsto]]="",0,YEAR(TbRegistroSaídas[[#This Row],[Data do Caixa Previsto]]))</f>
        <v>2018</v>
      </c>
    </row>
    <row r="112" spans="2:14" hidden="1" x14ac:dyDescent="0.25">
      <c r="B112" s="13">
        <v>43271</v>
      </c>
      <c r="C112" s="13">
        <v>43271</v>
      </c>
      <c r="D112" s="13">
        <v>43271</v>
      </c>
      <c r="E112" t="s">
        <v>38</v>
      </c>
      <c r="F112" t="s">
        <v>33</v>
      </c>
      <c r="G112" t="s">
        <v>393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50">
        <f>IF(TbRegistroSaídas[[#This Row],[Data do Caixa Previsto]]="",0,MONTH(TbRegistroSaídas[[#This Row],[Data do Caixa Previsto]]))</f>
        <v>6</v>
      </c>
      <c r="N112" s="50">
        <f>IF(TbRegistroSaídas[[#This Row],[Data do Caixa Previsto]]="",0,YEAR(TbRegistroSaídas[[#This Row],[Data do Caixa Previsto]]))</f>
        <v>2018</v>
      </c>
    </row>
    <row r="113" spans="2:14" x14ac:dyDescent="0.25">
      <c r="B113" s="13" t="s">
        <v>69</v>
      </c>
      <c r="C113" s="13">
        <v>43277</v>
      </c>
      <c r="D113" s="13">
        <v>43288</v>
      </c>
      <c r="E113" t="s">
        <v>38</v>
      </c>
      <c r="F113" t="s">
        <v>45</v>
      </c>
      <c r="G113" t="s">
        <v>394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50">
        <f>IF(TbRegistroSaídas[[#This Row],[Data do Caixa Previsto]]="",0,MONTH(TbRegistroSaídas[[#This Row],[Data do Caixa Previsto]]))</f>
        <v>7</v>
      </c>
      <c r="N113" s="50">
        <f>IF(TbRegistroSaídas[[#This Row],[Data do Caixa Previsto]]="",0,YEAR(TbRegistroSaídas[[#This Row],[Data do Caixa Previsto]]))</f>
        <v>2018</v>
      </c>
    </row>
    <row r="114" spans="2:14" hidden="1" x14ac:dyDescent="0.25">
      <c r="B114" s="13">
        <v>43336</v>
      </c>
      <c r="C114" s="13">
        <v>43280</v>
      </c>
      <c r="D114" s="13">
        <v>43336</v>
      </c>
      <c r="E114" t="s">
        <v>38</v>
      </c>
      <c r="F114" t="s">
        <v>33</v>
      </c>
      <c r="G114" t="s">
        <v>395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50">
        <f>IF(TbRegistroSaídas[[#This Row],[Data do Caixa Previsto]]="",0,MONTH(TbRegistroSaídas[[#This Row],[Data do Caixa Previsto]]))</f>
        <v>8</v>
      </c>
      <c r="N114" s="50">
        <f>IF(TbRegistroSaídas[[#This Row],[Data do Caixa Previsto]]="",0,YEAR(TbRegistroSaídas[[#This Row],[Data do Caixa Previsto]]))</f>
        <v>2018</v>
      </c>
    </row>
    <row r="115" spans="2:14" hidden="1" x14ac:dyDescent="0.25">
      <c r="B115" s="13">
        <v>43290</v>
      </c>
      <c r="C115" s="13">
        <v>43283</v>
      </c>
      <c r="D115" s="13">
        <v>43290</v>
      </c>
      <c r="E115" t="s">
        <v>38</v>
      </c>
      <c r="F115" t="s">
        <v>36</v>
      </c>
      <c r="G115" t="s">
        <v>396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50">
        <f>IF(TbRegistroSaídas[[#This Row],[Data do Caixa Previsto]]="",0,MONTH(TbRegistroSaídas[[#This Row],[Data do Caixa Previsto]]))</f>
        <v>7</v>
      </c>
      <c r="N115" s="50">
        <f>IF(TbRegistroSaídas[[#This Row],[Data do Caixa Previsto]]="",0,YEAR(TbRegistroSaídas[[#This Row],[Data do Caixa Previsto]]))</f>
        <v>2018</v>
      </c>
    </row>
    <row r="116" spans="2:14" x14ac:dyDescent="0.25">
      <c r="B116" s="13" t="s">
        <v>69</v>
      </c>
      <c r="C116" s="13">
        <v>43284</v>
      </c>
      <c r="D116" s="13">
        <v>43305</v>
      </c>
      <c r="E116" t="s">
        <v>38</v>
      </c>
      <c r="F116" t="s">
        <v>33</v>
      </c>
      <c r="G116" t="s">
        <v>397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50">
        <f>IF(TbRegistroSaídas[[#This Row],[Data do Caixa Previsto]]="",0,MONTH(TbRegistroSaídas[[#This Row],[Data do Caixa Previsto]]))</f>
        <v>7</v>
      </c>
      <c r="N116" s="50">
        <f>IF(TbRegistroSaídas[[#This Row],[Data do Caixa Previsto]]="",0,YEAR(TbRegistroSaídas[[#This Row],[Data do Caixa Previsto]]))</f>
        <v>2018</v>
      </c>
    </row>
    <row r="117" spans="2:14" hidden="1" x14ac:dyDescent="0.25">
      <c r="B117" s="13">
        <v>43305</v>
      </c>
      <c r="C117" s="13">
        <v>43289</v>
      </c>
      <c r="D117" s="13">
        <v>43305</v>
      </c>
      <c r="E117" t="s">
        <v>38</v>
      </c>
      <c r="F117" t="s">
        <v>33</v>
      </c>
      <c r="G117" t="s">
        <v>398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50">
        <f>IF(TbRegistroSaídas[[#This Row],[Data do Caixa Previsto]]="",0,MONTH(TbRegistroSaídas[[#This Row],[Data do Caixa Previsto]]))</f>
        <v>7</v>
      </c>
      <c r="N117" s="50">
        <f>IF(TbRegistroSaídas[[#This Row],[Data do Caixa Previsto]]="",0,YEAR(TbRegistroSaídas[[#This Row],[Data do Caixa Previsto]]))</f>
        <v>2018</v>
      </c>
    </row>
    <row r="118" spans="2:14" hidden="1" x14ac:dyDescent="0.25">
      <c r="B118" s="13">
        <v>43313</v>
      </c>
      <c r="C118" s="13">
        <v>43291</v>
      </c>
      <c r="D118" s="13">
        <v>43313</v>
      </c>
      <c r="E118" t="s">
        <v>38</v>
      </c>
      <c r="F118" t="s">
        <v>36</v>
      </c>
      <c r="G118" t="s">
        <v>399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50">
        <f>IF(TbRegistroSaídas[[#This Row],[Data do Caixa Previsto]]="",0,MONTH(TbRegistroSaídas[[#This Row],[Data do Caixa Previsto]]))</f>
        <v>8</v>
      </c>
      <c r="N118" s="50">
        <f>IF(TbRegistroSaídas[[#This Row],[Data do Caixa Previsto]]="",0,YEAR(TbRegistroSaídas[[#This Row],[Data do Caixa Previsto]]))</f>
        <v>2018</v>
      </c>
    </row>
    <row r="119" spans="2:14" hidden="1" x14ac:dyDescent="0.25">
      <c r="B119" s="13">
        <v>43296</v>
      </c>
      <c r="C119" s="13">
        <v>43296</v>
      </c>
      <c r="D119" s="13">
        <v>43296</v>
      </c>
      <c r="E119" t="s">
        <v>38</v>
      </c>
      <c r="F119" t="s">
        <v>45</v>
      </c>
      <c r="G119" t="s">
        <v>400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50">
        <f>IF(TbRegistroSaídas[[#This Row],[Data do Caixa Previsto]]="",0,MONTH(TbRegistroSaídas[[#This Row],[Data do Caixa Previsto]]))</f>
        <v>7</v>
      </c>
      <c r="N119" s="50">
        <f>IF(TbRegistroSaídas[[#This Row],[Data do Caixa Previsto]]="",0,YEAR(TbRegistroSaídas[[#This Row],[Data do Caixa Previsto]]))</f>
        <v>2018</v>
      </c>
    </row>
    <row r="120" spans="2:14" hidden="1" x14ac:dyDescent="0.25">
      <c r="B120" s="13">
        <v>43350</v>
      </c>
      <c r="C120" s="13">
        <v>43297</v>
      </c>
      <c r="D120" s="13">
        <v>43297</v>
      </c>
      <c r="E120" t="s">
        <v>38</v>
      </c>
      <c r="F120" t="s">
        <v>34</v>
      </c>
      <c r="G120" t="s">
        <v>401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50">
        <f>IF(TbRegistroSaídas[[#This Row],[Data do Caixa Previsto]]="",0,MONTH(TbRegistroSaídas[[#This Row],[Data do Caixa Previsto]]))</f>
        <v>7</v>
      </c>
      <c r="N120" s="50">
        <f>IF(TbRegistroSaídas[[#This Row],[Data do Caixa Previsto]]="",0,YEAR(TbRegistroSaídas[[#This Row],[Data do Caixa Previsto]]))</f>
        <v>2018</v>
      </c>
    </row>
    <row r="121" spans="2:14" x14ac:dyDescent="0.25">
      <c r="B121" s="13" t="s">
        <v>69</v>
      </c>
      <c r="C121" s="13">
        <v>43298</v>
      </c>
      <c r="D121" s="13">
        <v>43298</v>
      </c>
      <c r="E121" t="s">
        <v>38</v>
      </c>
      <c r="F121" t="s">
        <v>45</v>
      </c>
      <c r="G121" t="s">
        <v>402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50">
        <f>IF(TbRegistroSaídas[[#This Row],[Data do Caixa Previsto]]="",0,MONTH(TbRegistroSaídas[[#This Row],[Data do Caixa Previsto]]))</f>
        <v>7</v>
      </c>
      <c r="N121" s="50">
        <f>IF(TbRegistroSaídas[[#This Row],[Data do Caixa Previsto]]="",0,YEAR(TbRegistroSaídas[[#This Row],[Data do Caixa Previsto]]))</f>
        <v>2018</v>
      </c>
    </row>
    <row r="122" spans="2:14" hidden="1" x14ac:dyDescent="0.25">
      <c r="B122" s="13">
        <v>43357</v>
      </c>
      <c r="C122" s="13">
        <v>43300</v>
      </c>
      <c r="D122" s="13">
        <v>43357</v>
      </c>
      <c r="E122" t="s">
        <v>38</v>
      </c>
      <c r="F122" t="s">
        <v>36</v>
      </c>
      <c r="G122" t="s">
        <v>403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50">
        <f>IF(TbRegistroSaídas[[#This Row],[Data do Caixa Previsto]]="",0,MONTH(TbRegistroSaídas[[#This Row],[Data do Caixa Previsto]]))</f>
        <v>9</v>
      </c>
      <c r="N122" s="50">
        <f>IF(TbRegistroSaídas[[#This Row],[Data do Caixa Previsto]]="",0,YEAR(TbRegistroSaídas[[#This Row],[Data do Caixa Previsto]]))</f>
        <v>2018</v>
      </c>
    </row>
    <row r="123" spans="2:14" hidden="1" x14ac:dyDescent="0.25">
      <c r="B123" s="13">
        <v>43324</v>
      </c>
      <c r="C123" s="13">
        <v>43302</v>
      </c>
      <c r="D123" s="13">
        <v>43324</v>
      </c>
      <c r="E123" t="s">
        <v>38</v>
      </c>
      <c r="F123" t="s">
        <v>33</v>
      </c>
      <c r="G123" t="s">
        <v>404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50">
        <f>IF(TbRegistroSaídas[[#This Row],[Data do Caixa Previsto]]="",0,MONTH(TbRegistroSaídas[[#This Row],[Data do Caixa Previsto]]))</f>
        <v>8</v>
      </c>
      <c r="N123" s="50">
        <f>IF(TbRegistroSaídas[[#This Row],[Data do Caixa Previsto]]="",0,YEAR(TbRegistroSaídas[[#This Row],[Data do Caixa Previsto]]))</f>
        <v>2018</v>
      </c>
    </row>
    <row r="124" spans="2:14" hidden="1" x14ac:dyDescent="0.25">
      <c r="B124" s="13">
        <v>43309</v>
      </c>
      <c r="C124" s="13">
        <v>43309</v>
      </c>
      <c r="D124" s="13">
        <v>43309</v>
      </c>
      <c r="E124" t="s">
        <v>38</v>
      </c>
      <c r="F124" t="s">
        <v>45</v>
      </c>
      <c r="G124" t="s">
        <v>405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50">
        <f>IF(TbRegistroSaídas[[#This Row],[Data do Caixa Previsto]]="",0,MONTH(TbRegistroSaídas[[#This Row],[Data do Caixa Previsto]]))</f>
        <v>7</v>
      </c>
      <c r="N124" s="50">
        <f>IF(TbRegistroSaídas[[#This Row],[Data do Caixa Previsto]]="",0,YEAR(TbRegistroSaídas[[#This Row],[Data do Caixa Previsto]]))</f>
        <v>2018</v>
      </c>
    </row>
    <row r="125" spans="2:14" hidden="1" x14ac:dyDescent="0.25">
      <c r="B125" s="13">
        <v>43311</v>
      </c>
      <c r="C125" s="13">
        <v>43311</v>
      </c>
      <c r="D125" s="13">
        <v>43311</v>
      </c>
      <c r="E125" t="s">
        <v>38</v>
      </c>
      <c r="F125" t="s">
        <v>33</v>
      </c>
      <c r="G125" t="s">
        <v>406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50">
        <f>IF(TbRegistroSaídas[[#This Row],[Data do Caixa Previsto]]="",0,MONTH(TbRegistroSaídas[[#This Row],[Data do Caixa Previsto]]))</f>
        <v>7</v>
      </c>
      <c r="N125" s="50">
        <f>IF(TbRegistroSaídas[[#This Row],[Data do Caixa Previsto]]="",0,YEAR(TbRegistroSaídas[[#This Row],[Data do Caixa Previsto]]))</f>
        <v>2018</v>
      </c>
    </row>
    <row r="126" spans="2:14" hidden="1" x14ac:dyDescent="0.25">
      <c r="B126" s="13">
        <v>43314</v>
      </c>
      <c r="C126" s="13">
        <v>43313</v>
      </c>
      <c r="D126" s="13">
        <v>43314</v>
      </c>
      <c r="E126" t="s">
        <v>38</v>
      </c>
      <c r="F126" t="s">
        <v>34</v>
      </c>
      <c r="G126" t="s">
        <v>407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50">
        <f>IF(TbRegistroSaídas[[#This Row],[Data do Caixa Previsto]]="",0,MONTH(TbRegistroSaídas[[#This Row],[Data do Caixa Previsto]]))</f>
        <v>8</v>
      </c>
      <c r="N126" s="50">
        <f>IF(TbRegistroSaídas[[#This Row],[Data do Caixa Previsto]]="",0,YEAR(TbRegistroSaídas[[#This Row],[Data do Caixa Previsto]]))</f>
        <v>2018</v>
      </c>
    </row>
    <row r="127" spans="2:14" hidden="1" x14ac:dyDescent="0.25">
      <c r="B127" s="13">
        <v>43375</v>
      </c>
      <c r="C127" s="13">
        <v>43319</v>
      </c>
      <c r="D127" s="13">
        <v>43375</v>
      </c>
      <c r="E127" t="s">
        <v>38</v>
      </c>
      <c r="F127" t="s">
        <v>32</v>
      </c>
      <c r="G127" t="s">
        <v>408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50">
        <f>IF(TbRegistroSaídas[[#This Row],[Data do Caixa Previsto]]="",0,MONTH(TbRegistroSaídas[[#This Row],[Data do Caixa Previsto]]))</f>
        <v>10</v>
      </c>
      <c r="N127" s="50">
        <f>IF(TbRegistroSaídas[[#This Row],[Data do Caixa Previsto]]="",0,YEAR(TbRegistroSaídas[[#This Row],[Data do Caixa Previsto]]))</f>
        <v>2018</v>
      </c>
    </row>
    <row r="128" spans="2:14" hidden="1" x14ac:dyDescent="0.25">
      <c r="B128" s="13">
        <v>43368</v>
      </c>
      <c r="C128" s="13">
        <v>43322</v>
      </c>
      <c r="D128" s="13">
        <v>43368</v>
      </c>
      <c r="E128" t="s">
        <v>38</v>
      </c>
      <c r="F128" t="s">
        <v>36</v>
      </c>
      <c r="G128" t="s">
        <v>409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50">
        <f>IF(TbRegistroSaídas[[#This Row],[Data do Caixa Previsto]]="",0,MONTH(TbRegistroSaídas[[#This Row],[Data do Caixa Previsto]]))</f>
        <v>9</v>
      </c>
      <c r="N128" s="50">
        <f>IF(TbRegistroSaídas[[#This Row],[Data do Caixa Previsto]]="",0,YEAR(TbRegistroSaídas[[#This Row],[Data do Caixa Previsto]]))</f>
        <v>2018</v>
      </c>
    </row>
    <row r="129" spans="2:14" hidden="1" x14ac:dyDescent="0.25">
      <c r="B129" s="13">
        <v>43366</v>
      </c>
      <c r="C129" s="13">
        <v>43324</v>
      </c>
      <c r="D129" s="13">
        <v>43366</v>
      </c>
      <c r="E129" t="s">
        <v>38</v>
      </c>
      <c r="F129" t="s">
        <v>32</v>
      </c>
      <c r="G129" t="s">
        <v>410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50">
        <f>IF(TbRegistroSaídas[[#This Row],[Data do Caixa Previsto]]="",0,MONTH(TbRegistroSaídas[[#This Row],[Data do Caixa Previsto]]))</f>
        <v>9</v>
      </c>
      <c r="N129" s="50">
        <f>IF(TbRegistroSaídas[[#This Row],[Data do Caixa Previsto]]="",0,YEAR(TbRegistroSaídas[[#This Row],[Data do Caixa Previsto]]))</f>
        <v>2018</v>
      </c>
    </row>
    <row r="130" spans="2:14" hidden="1" x14ac:dyDescent="0.25">
      <c r="B130" s="13">
        <v>43356</v>
      </c>
      <c r="C130" s="13">
        <v>43327</v>
      </c>
      <c r="D130" s="13">
        <v>43356</v>
      </c>
      <c r="E130" t="s">
        <v>38</v>
      </c>
      <c r="F130" t="s">
        <v>33</v>
      </c>
      <c r="G130" t="s">
        <v>411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50">
        <f>IF(TbRegistroSaídas[[#This Row],[Data do Caixa Previsto]]="",0,MONTH(TbRegistroSaídas[[#This Row],[Data do Caixa Previsto]]))</f>
        <v>9</v>
      </c>
      <c r="N130" s="50">
        <f>IF(TbRegistroSaídas[[#This Row],[Data do Caixa Previsto]]="",0,YEAR(TbRegistroSaídas[[#This Row],[Data do Caixa Previsto]]))</f>
        <v>2018</v>
      </c>
    </row>
    <row r="131" spans="2:14" hidden="1" x14ac:dyDescent="0.25">
      <c r="B131" s="13">
        <v>43359</v>
      </c>
      <c r="C131" s="13">
        <v>43334</v>
      </c>
      <c r="D131" s="13">
        <v>43359</v>
      </c>
      <c r="E131" t="s">
        <v>38</v>
      </c>
      <c r="F131" t="s">
        <v>45</v>
      </c>
      <c r="G131" t="s">
        <v>412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50">
        <f>IF(TbRegistroSaídas[[#This Row],[Data do Caixa Previsto]]="",0,MONTH(TbRegistroSaídas[[#This Row],[Data do Caixa Previsto]]))</f>
        <v>9</v>
      </c>
      <c r="N131" s="50">
        <f>IF(TbRegistroSaídas[[#This Row],[Data do Caixa Previsto]]="",0,YEAR(TbRegistroSaídas[[#This Row],[Data do Caixa Previsto]]))</f>
        <v>2018</v>
      </c>
    </row>
    <row r="132" spans="2:14" hidden="1" x14ac:dyDescent="0.25">
      <c r="B132" s="13">
        <v>43352</v>
      </c>
      <c r="C132" s="13">
        <v>43335</v>
      </c>
      <c r="D132" s="13">
        <v>43352</v>
      </c>
      <c r="E132" t="s">
        <v>38</v>
      </c>
      <c r="F132" t="s">
        <v>32</v>
      </c>
      <c r="G132" t="s">
        <v>413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50">
        <f>IF(TbRegistroSaídas[[#This Row],[Data do Caixa Previsto]]="",0,MONTH(TbRegistroSaídas[[#This Row],[Data do Caixa Previsto]]))</f>
        <v>9</v>
      </c>
      <c r="N132" s="50">
        <f>IF(TbRegistroSaídas[[#This Row],[Data do Caixa Previsto]]="",0,YEAR(TbRegistroSaídas[[#This Row],[Data do Caixa Previsto]]))</f>
        <v>2018</v>
      </c>
    </row>
    <row r="133" spans="2:14" hidden="1" x14ac:dyDescent="0.25">
      <c r="B133" s="13">
        <v>43340</v>
      </c>
      <c r="C133" s="13">
        <v>43340</v>
      </c>
      <c r="D133" s="13">
        <v>43340</v>
      </c>
      <c r="E133" t="s">
        <v>38</v>
      </c>
      <c r="F133" t="s">
        <v>36</v>
      </c>
      <c r="G133" t="s">
        <v>414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50">
        <f>IF(TbRegistroSaídas[[#This Row],[Data do Caixa Previsto]]="",0,MONTH(TbRegistroSaídas[[#This Row],[Data do Caixa Previsto]]))</f>
        <v>8</v>
      </c>
      <c r="N133" s="50">
        <f>IF(TbRegistroSaídas[[#This Row],[Data do Caixa Previsto]]="",0,YEAR(TbRegistroSaídas[[#This Row],[Data do Caixa Previsto]]))</f>
        <v>2018</v>
      </c>
    </row>
    <row r="134" spans="2:14" hidden="1" x14ac:dyDescent="0.25">
      <c r="B134" s="13">
        <v>43370</v>
      </c>
      <c r="C134" s="13">
        <v>43346</v>
      </c>
      <c r="D134" s="13">
        <v>43370</v>
      </c>
      <c r="E134" t="s">
        <v>38</v>
      </c>
      <c r="F134" t="s">
        <v>45</v>
      </c>
      <c r="G134" t="s">
        <v>415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50">
        <f>IF(TbRegistroSaídas[[#This Row],[Data do Caixa Previsto]]="",0,MONTH(TbRegistroSaídas[[#This Row],[Data do Caixa Previsto]]))</f>
        <v>9</v>
      </c>
      <c r="N134" s="50">
        <f>IF(TbRegistroSaídas[[#This Row],[Data do Caixa Previsto]]="",0,YEAR(TbRegistroSaídas[[#This Row],[Data do Caixa Previsto]]))</f>
        <v>2018</v>
      </c>
    </row>
    <row r="135" spans="2:14" hidden="1" x14ac:dyDescent="0.25">
      <c r="B135" s="13">
        <v>43402</v>
      </c>
      <c r="C135" s="13">
        <v>43350</v>
      </c>
      <c r="D135" s="13">
        <v>43402</v>
      </c>
      <c r="E135" t="s">
        <v>38</v>
      </c>
      <c r="F135" t="s">
        <v>32</v>
      </c>
      <c r="G135" t="s">
        <v>416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50">
        <f>IF(TbRegistroSaídas[[#This Row],[Data do Caixa Previsto]]="",0,MONTH(TbRegistroSaídas[[#This Row],[Data do Caixa Previsto]]))</f>
        <v>10</v>
      </c>
      <c r="N135" s="50">
        <f>IF(TbRegistroSaídas[[#This Row],[Data do Caixa Previsto]]="",0,YEAR(TbRegistroSaídas[[#This Row],[Data do Caixa Previsto]]))</f>
        <v>2018</v>
      </c>
    </row>
    <row r="136" spans="2:14" hidden="1" x14ac:dyDescent="0.25">
      <c r="B136" s="13">
        <v>43381</v>
      </c>
      <c r="C136" s="13">
        <v>43351</v>
      </c>
      <c r="D136" s="13">
        <v>43381</v>
      </c>
      <c r="E136" t="s">
        <v>38</v>
      </c>
      <c r="F136" t="s">
        <v>45</v>
      </c>
      <c r="G136" t="s">
        <v>417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50">
        <f>IF(TbRegistroSaídas[[#This Row],[Data do Caixa Previsto]]="",0,MONTH(TbRegistroSaídas[[#This Row],[Data do Caixa Previsto]]))</f>
        <v>10</v>
      </c>
      <c r="N136" s="50">
        <f>IF(TbRegistroSaídas[[#This Row],[Data do Caixa Previsto]]="",0,YEAR(TbRegistroSaídas[[#This Row],[Data do Caixa Previsto]]))</f>
        <v>2018</v>
      </c>
    </row>
    <row r="137" spans="2:14" x14ac:dyDescent="0.25">
      <c r="B137" s="13" t="s">
        <v>69</v>
      </c>
      <c r="C137" s="13">
        <v>43353</v>
      </c>
      <c r="D137" s="13">
        <v>43353</v>
      </c>
      <c r="E137" t="s">
        <v>38</v>
      </c>
      <c r="F137" t="s">
        <v>34</v>
      </c>
      <c r="G137" t="s">
        <v>418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50">
        <f>IF(TbRegistroSaídas[[#This Row],[Data do Caixa Previsto]]="",0,MONTH(TbRegistroSaídas[[#This Row],[Data do Caixa Previsto]]))</f>
        <v>9</v>
      </c>
      <c r="N137" s="50">
        <f>IF(TbRegistroSaídas[[#This Row],[Data do Caixa Previsto]]="",0,YEAR(TbRegistroSaídas[[#This Row],[Data do Caixa Previsto]]))</f>
        <v>2018</v>
      </c>
    </row>
    <row r="138" spans="2:14" x14ac:dyDescent="0.25">
      <c r="B138" s="13" t="s">
        <v>69</v>
      </c>
      <c r="C138" s="13">
        <v>43358</v>
      </c>
      <c r="D138" s="13">
        <v>43358</v>
      </c>
      <c r="E138" t="s">
        <v>38</v>
      </c>
      <c r="F138" t="s">
        <v>45</v>
      </c>
      <c r="G138" t="s">
        <v>419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50">
        <f>IF(TbRegistroSaídas[[#This Row],[Data do Caixa Previsto]]="",0,MONTH(TbRegistroSaídas[[#This Row],[Data do Caixa Previsto]]))</f>
        <v>9</v>
      </c>
      <c r="N138" s="50">
        <f>IF(TbRegistroSaídas[[#This Row],[Data do Caixa Previsto]]="",0,YEAR(TbRegistroSaídas[[#This Row],[Data do Caixa Previsto]]))</f>
        <v>2018</v>
      </c>
    </row>
    <row r="139" spans="2:14" hidden="1" x14ac:dyDescent="0.25">
      <c r="B139" s="13">
        <v>43405</v>
      </c>
      <c r="C139" s="13">
        <v>43358</v>
      </c>
      <c r="D139" s="13">
        <v>43405</v>
      </c>
      <c r="E139" t="s">
        <v>38</v>
      </c>
      <c r="F139" t="s">
        <v>45</v>
      </c>
      <c r="G139" t="s">
        <v>420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50">
        <f>IF(TbRegistroSaídas[[#This Row],[Data do Caixa Previsto]]="",0,MONTH(TbRegistroSaídas[[#This Row],[Data do Caixa Previsto]]))</f>
        <v>11</v>
      </c>
      <c r="N139" s="50">
        <f>IF(TbRegistroSaídas[[#This Row],[Data do Caixa Previsto]]="",0,YEAR(TbRegistroSaídas[[#This Row],[Data do Caixa Previsto]]))</f>
        <v>2018</v>
      </c>
    </row>
    <row r="140" spans="2:14" hidden="1" x14ac:dyDescent="0.25">
      <c r="B140" s="13">
        <v>43377</v>
      </c>
      <c r="C140" s="13">
        <v>43362</v>
      </c>
      <c r="D140" s="13">
        <v>43377</v>
      </c>
      <c r="E140" t="s">
        <v>38</v>
      </c>
      <c r="F140" t="s">
        <v>36</v>
      </c>
      <c r="G140" t="s">
        <v>421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50">
        <f>IF(TbRegistroSaídas[[#This Row],[Data do Caixa Previsto]]="",0,MONTH(TbRegistroSaídas[[#This Row],[Data do Caixa Previsto]]))</f>
        <v>10</v>
      </c>
      <c r="N140" s="50">
        <f>IF(TbRegistroSaídas[[#This Row],[Data do Caixa Previsto]]="",0,YEAR(TbRegistroSaídas[[#This Row],[Data do Caixa Previsto]]))</f>
        <v>2018</v>
      </c>
    </row>
    <row r="141" spans="2:14" hidden="1" x14ac:dyDescent="0.25">
      <c r="B141" s="13">
        <v>43375</v>
      </c>
      <c r="C141" s="13">
        <v>43367</v>
      </c>
      <c r="D141" s="13">
        <v>43375</v>
      </c>
      <c r="E141" t="s">
        <v>38</v>
      </c>
      <c r="F141" t="s">
        <v>32</v>
      </c>
      <c r="G141" t="s">
        <v>422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50">
        <f>IF(TbRegistroSaídas[[#This Row],[Data do Caixa Previsto]]="",0,MONTH(TbRegistroSaídas[[#This Row],[Data do Caixa Previsto]]))</f>
        <v>10</v>
      </c>
      <c r="N141" s="50">
        <f>IF(TbRegistroSaídas[[#This Row],[Data do Caixa Previsto]]="",0,YEAR(TbRegistroSaídas[[#This Row],[Data do Caixa Previsto]]))</f>
        <v>2018</v>
      </c>
    </row>
    <row r="142" spans="2:14" hidden="1" x14ac:dyDescent="0.25">
      <c r="B142" s="13">
        <v>43422</v>
      </c>
      <c r="C142" s="13">
        <v>43371</v>
      </c>
      <c r="D142" s="13">
        <v>43422</v>
      </c>
      <c r="E142" t="s">
        <v>38</v>
      </c>
      <c r="F142" t="s">
        <v>33</v>
      </c>
      <c r="G142" t="s">
        <v>423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50">
        <f>IF(TbRegistroSaídas[[#This Row],[Data do Caixa Previsto]]="",0,MONTH(TbRegistroSaídas[[#This Row],[Data do Caixa Previsto]]))</f>
        <v>11</v>
      </c>
      <c r="N142" s="50">
        <f>IF(TbRegistroSaídas[[#This Row],[Data do Caixa Previsto]]="",0,YEAR(TbRegistroSaídas[[#This Row],[Data do Caixa Previsto]]))</f>
        <v>2018</v>
      </c>
    </row>
    <row r="143" spans="2:14" x14ac:dyDescent="0.25">
      <c r="B143" s="13" t="s">
        <v>69</v>
      </c>
      <c r="C143" s="13">
        <v>43374</v>
      </c>
      <c r="D143" s="13">
        <v>43417</v>
      </c>
      <c r="E143" t="s">
        <v>38</v>
      </c>
      <c r="F143" t="s">
        <v>33</v>
      </c>
      <c r="G143" t="s">
        <v>424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50">
        <f>IF(TbRegistroSaídas[[#This Row],[Data do Caixa Previsto]]="",0,MONTH(TbRegistroSaídas[[#This Row],[Data do Caixa Previsto]]))</f>
        <v>11</v>
      </c>
      <c r="N143" s="50">
        <f>IF(TbRegistroSaídas[[#This Row],[Data do Caixa Previsto]]="",0,YEAR(TbRegistroSaídas[[#This Row],[Data do Caixa Previsto]]))</f>
        <v>2018</v>
      </c>
    </row>
    <row r="144" spans="2:14" hidden="1" x14ac:dyDescent="0.25">
      <c r="B144" s="13">
        <v>43377</v>
      </c>
      <c r="C144" s="13">
        <v>43377</v>
      </c>
      <c r="D144" s="13">
        <v>43377</v>
      </c>
      <c r="E144" t="s">
        <v>38</v>
      </c>
      <c r="F144" t="s">
        <v>36</v>
      </c>
      <c r="G144" t="s">
        <v>425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50">
        <f>IF(TbRegistroSaídas[[#This Row],[Data do Caixa Previsto]]="",0,MONTH(TbRegistroSaídas[[#This Row],[Data do Caixa Previsto]]))</f>
        <v>10</v>
      </c>
      <c r="N144" s="50">
        <f>IF(TbRegistroSaídas[[#This Row],[Data do Caixa Previsto]]="",0,YEAR(TbRegistroSaídas[[#This Row],[Data do Caixa Previsto]]))</f>
        <v>2018</v>
      </c>
    </row>
    <row r="145" spans="2:14" hidden="1" x14ac:dyDescent="0.25">
      <c r="B145" s="13">
        <v>43389</v>
      </c>
      <c r="C145" s="13">
        <v>43383</v>
      </c>
      <c r="D145" s="13">
        <v>43389</v>
      </c>
      <c r="E145" t="s">
        <v>38</v>
      </c>
      <c r="F145" t="s">
        <v>32</v>
      </c>
      <c r="G145" t="s">
        <v>426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50">
        <f>IF(TbRegistroSaídas[[#This Row],[Data do Caixa Previsto]]="",0,MONTH(TbRegistroSaídas[[#This Row],[Data do Caixa Previsto]]))</f>
        <v>10</v>
      </c>
      <c r="N145" s="50">
        <f>IF(TbRegistroSaídas[[#This Row],[Data do Caixa Previsto]]="",0,YEAR(TbRegistroSaídas[[#This Row],[Data do Caixa Previsto]]))</f>
        <v>2018</v>
      </c>
    </row>
    <row r="146" spans="2:14" hidden="1" x14ac:dyDescent="0.25">
      <c r="B146" s="13">
        <v>43468</v>
      </c>
      <c r="C146" s="13">
        <v>43385</v>
      </c>
      <c r="D146" s="13">
        <v>43404</v>
      </c>
      <c r="E146" t="s">
        <v>38</v>
      </c>
      <c r="F146" t="s">
        <v>32</v>
      </c>
      <c r="G146" t="s">
        <v>427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50">
        <f>IF(TbRegistroSaídas[[#This Row],[Data do Caixa Previsto]]="",0,MONTH(TbRegistroSaídas[[#This Row],[Data do Caixa Previsto]]))</f>
        <v>10</v>
      </c>
      <c r="N146" s="50">
        <f>IF(TbRegistroSaídas[[#This Row],[Data do Caixa Previsto]]="",0,YEAR(TbRegistroSaídas[[#This Row],[Data do Caixa Previsto]]))</f>
        <v>2018</v>
      </c>
    </row>
    <row r="147" spans="2:14" hidden="1" x14ac:dyDescent="0.25">
      <c r="B147" s="13">
        <v>43448</v>
      </c>
      <c r="C147" s="13">
        <v>43387</v>
      </c>
      <c r="D147" s="13">
        <v>43387</v>
      </c>
      <c r="E147" t="s">
        <v>38</v>
      </c>
      <c r="F147" t="s">
        <v>34</v>
      </c>
      <c r="G147" t="s">
        <v>428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50">
        <f>IF(TbRegistroSaídas[[#This Row],[Data do Caixa Previsto]]="",0,MONTH(TbRegistroSaídas[[#This Row],[Data do Caixa Previsto]]))</f>
        <v>10</v>
      </c>
      <c r="N147" s="50">
        <f>IF(TbRegistroSaídas[[#This Row],[Data do Caixa Previsto]]="",0,YEAR(TbRegistroSaídas[[#This Row],[Data do Caixa Previsto]]))</f>
        <v>2018</v>
      </c>
    </row>
    <row r="148" spans="2:14" hidden="1" x14ac:dyDescent="0.25">
      <c r="B148" s="13">
        <v>43449</v>
      </c>
      <c r="C148" s="13">
        <v>43393</v>
      </c>
      <c r="D148" s="13">
        <v>43449</v>
      </c>
      <c r="E148" t="s">
        <v>38</v>
      </c>
      <c r="F148" t="s">
        <v>34</v>
      </c>
      <c r="G148" t="s">
        <v>429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50">
        <f>IF(TbRegistroSaídas[[#This Row],[Data do Caixa Previsto]]="",0,MONTH(TbRegistroSaídas[[#This Row],[Data do Caixa Previsto]]))</f>
        <v>12</v>
      </c>
      <c r="N148" s="50">
        <f>IF(TbRegistroSaídas[[#This Row],[Data do Caixa Previsto]]="",0,YEAR(TbRegistroSaídas[[#This Row],[Data do Caixa Previsto]]))</f>
        <v>2018</v>
      </c>
    </row>
    <row r="149" spans="2:14" hidden="1" x14ac:dyDescent="0.25">
      <c r="B149" s="13">
        <v>43394</v>
      </c>
      <c r="C149" s="13">
        <v>43394</v>
      </c>
      <c r="D149" s="13">
        <v>43394</v>
      </c>
      <c r="E149" t="s">
        <v>38</v>
      </c>
      <c r="F149" t="s">
        <v>45</v>
      </c>
      <c r="G149" t="s">
        <v>430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50">
        <f>IF(TbRegistroSaídas[[#This Row],[Data do Caixa Previsto]]="",0,MONTH(TbRegistroSaídas[[#This Row],[Data do Caixa Previsto]]))</f>
        <v>10</v>
      </c>
      <c r="N149" s="50">
        <f>IF(TbRegistroSaídas[[#This Row],[Data do Caixa Previsto]]="",0,YEAR(TbRegistroSaídas[[#This Row],[Data do Caixa Previsto]]))</f>
        <v>2018</v>
      </c>
    </row>
    <row r="150" spans="2:14" hidden="1" x14ac:dyDescent="0.25">
      <c r="B150" s="13">
        <v>43449</v>
      </c>
      <c r="C150" s="13">
        <v>43398</v>
      </c>
      <c r="D150" s="13">
        <v>43449</v>
      </c>
      <c r="E150" t="s">
        <v>38</v>
      </c>
      <c r="F150" t="s">
        <v>45</v>
      </c>
      <c r="G150" t="s">
        <v>431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50">
        <f>IF(TbRegistroSaídas[[#This Row],[Data do Caixa Previsto]]="",0,MONTH(TbRegistroSaídas[[#This Row],[Data do Caixa Previsto]]))</f>
        <v>12</v>
      </c>
      <c r="N150" s="50">
        <f>IF(TbRegistroSaídas[[#This Row],[Data do Caixa Previsto]]="",0,YEAR(TbRegistroSaídas[[#This Row],[Data do Caixa Previsto]]))</f>
        <v>2018</v>
      </c>
    </row>
    <row r="151" spans="2:14" hidden="1" x14ac:dyDescent="0.25">
      <c r="B151" s="13">
        <v>43424</v>
      </c>
      <c r="C151" s="13">
        <v>43400</v>
      </c>
      <c r="D151" s="13">
        <v>43424</v>
      </c>
      <c r="E151" t="s">
        <v>38</v>
      </c>
      <c r="F151" t="s">
        <v>34</v>
      </c>
      <c r="G151" t="s">
        <v>432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50">
        <f>IF(TbRegistroSaídas[[#This Row],[Data do Caixa Previsto]]="",0,MONTH(TbRegistroSaídas[[#This Row],[Data do Caixa Previsto]]))</f>
        <v>11</v>
      </c>
      <c r="N151" s="50">
        <f>IF(TbRegistroSaídas[[#This Row],[Data do Caixa Previsto]]="",0,YEAR(TbRegistroSaídas[[#This Row],[Data do Caixa Previsto]]))</f>
        <v>2018</v>
      </c>
    </row>
    <row r="152" spans="2:14" hidden="1" x14ac:dyDescent="0.25">
      <c r="B152" s="13">
        <v>43403</v>
      </c>
      <c r="C152" s="13">
        <v>43403</v>
      </c>
      <c r="D152" s="13">
        <v>43403</v>
      </c>
      <c r="E152" t="s">
        <v>38</v>
      </c>
      <c r="F152" t="s">
        <v>32</v>
      </c>
      <c r="G152" t="s">
        <v>433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50">
        <f>IF(TbRegistroSaídas[[#This Row],[Data do Caixa Previsto]]="",0,MONTH(TbRegistroSaídas[[#This Row],[Data do Caixa Previsto]]))</f>
        <v>10</v>
      </c>
      <c r="N152" s="50">
        <f>IF(TbRegistroSaídas[[#This Row],[Data do Caixa Previsto]]="",0,YEAR(TbRegistroSaídas[[#This Row],[Data do Caixa Previsto]]))</f>
        <v>2018</v>
      </c>
    </row>
    <row r="153" spans="2:14" hidden="1" x14ac:dyDescent="0.25">
      <c r="B153" s="13">
        <v>43461</v>
      </c>
      <c r="C153" s="13">
        <v>43405</v>
      </c>
      <c r="D153" s="13">
        <v>43461</v>
      </c>
      <c r="E153" t="s">
        <v>38</v>
      </c>
      <c r="F153" t="s">
        <v>45</v>
      </c>
      <c r="G153" t="s">
        <v>434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50">
        <f>IF(TbRegistroSaídas[[#This Row],[Data do Caixa Previsto]]="",0,MONTH(TbRegistroSaídas[[#This Row],[Data do Caixa Previsto]]))</f>
        <v>12</v>
      </c>
      <c r="N153" s="50">
        <f>IF(TbRegistroSaídas[[#This Row],[Data do Caixa Previsto]]="",0,YEAR(TbRegistroSaídas[[#This Row],[Data do Caixa Previsto]]))</f>
        <v>2018</v>
      </c>
    </row>
    <row r="154" spans="2:14" hidden="1" x14ac:dyDescent="0.25">
      <c r="B154" s="13">
        <v>43466</v>
      </c>
      <c r="C154" s="13">
        <v>43407</v>
      </c>
      <c r="D154" s="13">
        <v>43466</v>
      </c>
      <c r="E154" t="s">
        <v>38</v>
      </c>
      <c r="F154" t="s">
        <v>32</v>
      </c>
      <c r="G154" t="s">
        <v>352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50">
        <f>IF(TbRegistroSaídas[[#This Row],[Data do Caixa Previsto]]="",0,MONTH(TbRegistroSaídas[[#This Row],[Data do Caixa Previsto]]))</f>
        <v>1</v>
      </c>
      <c r="N154" s="50">
        <f>IF(TbRegistroSaídas[[#This Row],[Data do Caixa Previsto]]="",0,YEAR(TbRegistroSaídas[[#This Row],[Data do Caixa Previsto]]))</f>
        <v>2019</v>
      </c>
    </row>
    <row r="155" spans="2:14" hidden="1" x14ac:dyDescent="0.25">
      <c r="B155" s="13">
        <v>43446</v>
      </c>
      <c r="C155" s="13">
        <v>43412</v>
      </c>
      <c r="D155" s="13">
        <v>43446</v>
      </c>
      <c r="E155" t="s">
        <v>38</v>
      </c>
      <c r="F155" t="s">
        <v>45</v>
      </c>
      <c r="G155" t="s">
        <v>435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50">
        <f>IF(TbRegistroSaídas[[#This Row],[Data do Caixa Previsto]]="",0,MONTH(TbRegistroSaídas[[#This Row],[Data do Caixa Previsto]]))</f>
        <v>12</v>
      </c>
      <c r="N155" s="50">
        <f>IF(TbRegistroSaídas[[#This Row],[Data do Caixa Previsto]]="",0,YEAR(TbRegistroSaídas[[#This Row],[Data do Caixa Previsto]]))</f>
        <v>2018</v>
      </c>
    </row>
    <row r="156" spans="2:14" hidden="1" x14ac:dyDescent="0.25">
      <c r="B156" s="13">
        <v>43485</v>
      </c>
      <c r="C156" s="13">
        <v>43415</v>
      </c>
      <c r="D156" s="13">
        <v>43474</v>
      </c>
      <c r="E156" t="s">
        <v>38</v>
      </c>
      <c r="F156" t="s">
        <v>33</v>
      </c>
      <c r="G156" t="s">
        <v>436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50">
        <f>IF(TbRegistroSaídas[[#This Row],[Data do Caixa Previsto]]="",0,MONTH(TbRegistroSaídas[[#This Row],[Data do Caixa Previsto]]))</f>
        <v>1</v>
      </c>
      <c r="N156" s="50">
        <f>IF(TbRegistroSaídas[[#This Row],[Data do Caixa Previsto]]="",0,YEAR(TbRegistroSaídas[[#This Row],[Data do Caixa Previsto]]))</f>
        <v>2019</v>
      </c>
    </row>
    <row r="157" spans="2:14" x14ac:dyDescent="0.25">
      <c r="B157" s="13" t="s">
        <v>69</v>
      </c>
      <c r="C157" s="13">
        <v>43417</v>
      </c>
      <c r="D157" s="13">
        <v>43417</v>
      </c>
      <c r="E157" t="s">
        <v>38</v>
      </c>
      <c r="F157" t="s">
        <v>45</v>
      </c>
      <c r="G157" t="s">
        <v>437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50">
        <f>IF(TbRegistroSaídas[[#This Row],[Data do Caixa Previsto]]="",0,MONTH(TbRegistroSaídas[[#This Row],[Data do Caixa Previsto]]))</f>
        <v>11</v>
      </c>
      <c r="N157" s="50">
        <f>IF(TbRegistroSaídas[[#This Row],[Data do Caixa Previsto]]="",0,YEAR(TbRegistroSaídas[[#This Row],[Data do Caixa Previsto]]))</f>
        <v>2018</v>
      </c>
    </row>
    <row r="158" spans="2:14" hidden="1" x14ac:dyDescent="0.25">
      <c r="B158" s="13">
        <v>43451</v>
      </c>
      <c r="C158" s="13">
        <v>43421</v>
      </c>
      <c r="D158" s="13">
        <v>43451</v>
      </c>
      <c r="E158" t="s">
        <v>38</v>
      </c>
      <c r="F158" t="s">
        <v>33</v>
      </c>
      <c r="G158" t="s">
        <v>438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50">
        <f>IF(TbRegistroSaídas[[#This Row],[Data do Caixa Previsto]]="",0,MONTH(TbRegistroSaídas[[#This Row],[Data do Caixa Previsto]]))</f>
        <v>12</v>
      </c>
      <c r="N158" s="50">
        <f>IF(TbRegistroSaídas[[#This Row],[Data do Caixa Previsto]]="",0,YEAR(TbRegistroSaídas[[#This Row],[Data do Caixa Previsto]]))</f>
        <v>2018</v>
      </c>
    </row>
    <row r="159" spans="2:14" hidden="1" x14ac:dyDescent="0.25">
      <c r="B159" s="13">
        <v>43431</v>
      </c>
      <c r="C159" s="13">
        <v>43421</v>
      </c>
      <c r="D159" s="13">
        <v>43421</v>
      </c>
      <c r="E159" t="s">
        <v>38</v>
      </c>
      <c r="F159" t="s">
        <v>45</v>
      </c>
      <c r="G159" t="s">
        <v>439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50">
        <f>IF(TbRegistroSaídas[[#This Row],[Data do Caixa Previsto]]="",0,MONTH(TbRegistroSaídas[[#This Row],[Data do Caixa Previsto]]))</f>
        <v>11</v>
      </c>
      <c r="N159" s="50">
        <f>IF(TbRegistroSaídas[[#This Row],[Data do Caixa Previsto]]="",0,YEAR(TbRegistroSaídas[[#This Row],[Data do Caixa Previsto]]))</f>
        <v>2018</v>
      </c>
    </row>
    <row r="160" spans="2:14" hidden="1" x14ac:dyDescent="0.25">
      <c r="B160" s="13">
        <v>43424</v>
      </c>
      <c r="C160" s="13">
        <v>43424</v>
      </c>
      <c r="D160" s="13">
        <v>43424</v>
      </c>
      <c r="E160" t="s">
        <v>38</v>
      </c>
      <c r="F160" t="s">
        <v>33</v>
      </c>
      <c r="G160" t="s">
        <v>440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50">
        <f>IF(TbRegistroSaídas[[#This Row],[Data do Caixa Previsto]]="",0,MONTH(TbRegistroSaídas[[#This Row],[Data do Caixa Previsto]]))</f>
        <v>11</v>
      </c>
      <c r="N160" s="50">
        <f>IF(TbRegistroSaídas[[#This Row],[Data do Caixa Previsto]]="",0,YEAR(TbRegistroSaídas[[#This Row],[Data do Caixa Previsto]]))</f>
        <v>2018</v>
      </c>
    </row>
    <row r="161" spans="2:14" hidden="1" x14ac:dyDescent="0.25">
      <c r="B161" s="13">
        <v>43430</v>
      </c>
      <c r="C161" s="13">
        <v>43430</v>
      </c>
      <c r="D161" s="13">
        <v>43430</v>
      </c>
      <c r="E161" t="s">
        <v>38</v>
      </c>
      <c r="F161" t="s">
        <v>45</v>
      </c>
      <c r="G161" t="s">
        <v>441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50">
        <f>IF(TbRegistroSaídas[[#This Row],[Data do Caixa Previsto]]="",0,MONTH(TbRegistroSaídas[[#This Row],[Data do Caixa Previsto]]))</f>
        <v>11</v>
      </c>
      <c r="N161" s="50">
        <f>IF(TbRegistroSaídas[[#This Row],[Data do Caixa Previsto]]="",0,YEAR(TbRegistroSaídas[[#This Row],[Data do Caixa Previsto]]))</f>
        <v>2018</v>
      </c>
    </row>
    <row r="162" spans="2:14" hidden="1" x14ac:dyDescent="0.25">
      <c r="B162" s="13">
        <v>43433</v>
      </c>
      <c r="C162" s="13">
        <v>43433</v>
      </c>
      <c r="D162" s="13">
        <v>43433</v>
      </c>
      <c r="E162" t="s">
        <v>38</v>
      </c>
      <c r="F162" t="s">
        <v>33</v>
      </c>
      <c r="G162" t="s">
        <v>442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50">
        <f>IF(TbRegistroSaídas[[#This Row],[Data do Caixa Previsto]]="",0,MONTH(TbRegistroSaídas[[#This Row],[Data do Caixa Previsto]]))</f>
        <v>11</v>
      </c>
      <c r="N162" s="50">
        <f>IF(TbRegistroSaídas[[#This Row],[Data do Caixa Previsto]]="",0,YEAR(TbRegistroSaídas[[#This Row],[Data do Caixa Previsto]]))</f>
        <v>2018</v>
      </c>
    </row>
    <row r="163" spans="2:14" hidden="1" x14ac:dyDescent="0.25">
      <c r="B163" s="13">
        <v>43485</v>
      </c>
      <c r="C163" s="13">
        <v>43436</v>
      </c>
      <c r="D163" s="13">
        <v>43485</v>
      </c>
      <c r="E163" t="s">
        <v>38</v>
      </c>
      <c r="F163" t="s">
        <v>45</v>
      </c>
      <c r="G163" t="s">
        <v>443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50">
        <f>IF(TbRegistroSaídas[[#This Row],[Data do Caixa Previsto]]="",0,MONTH(TbRegistroSaídas[[#This Row],[Data do Caixa Previsto]]))</f>
        <v>1</v>
      </c>
      <c r="N163" s="50">
        <f>IF(TbRegistroSaídas[[#This Row],[Data do Caixa Previsto]]="",0,YEAR(TbRegistroSaídas[[#This Row],[Data do Caixa Previsto]]))</f>
        <v>2019</v>
      </c>
    </row>
    <row r="164" spans="2:14" hidden="1" x14ac:dyDescent="0.25">
      <c r="B164" s="13">
        <v>43494</v>
      </c>
      <c r="C164" s="13">
        <v>43438</v>
      </c>
      <c r="D164" s="13">
        <v>43494</v>
      </c>
      <c r="E164" t="s">
        <v>38</v>
      </c>
      <c r="F164" t="s">
        <v>45</v>
      </c>
      <c r="G164" t="s">
        <v>444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50">
        <f>IF(TbRegistroSaídas[[#This Row],[Data do Caixa Previsto]]="",0,MONTH(TbRegistroSaídas[[#This Row],[Data do Caixa Previsto]]))</f>
        <v>1</v>
      </c>
      <c r="N164" s="50">
        <f>IF(TbRegistroSaídas[[#This Row],[Data do Caixa Previsto]]="",0,YEAR(TbRegistroSaídas[[#This Row],[Data do Caixa Previsto]]))</f>
        <v>2019</v>
      </c>
    </row>
    <row r="165" spans="2:14" hidden="1" x14ac:dyDescent="0.25">
      <c r="B165" s="13">
        <v>43465</v>
      </c>
      <c r="C165" s="13">
        <v>43443</v>
      </c>
      <c r="D165" s="13">
        <v>43465</v>
      </c>
      <c r="E165" t="s">
        <v>38</v>
      </c>
      <c r="F165" t="s">
        <v>45</v>
      </c>
      <c r="G165" t="s">
        <v>445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50">
        <f>IF(TbRegistroSaídas[[#This Row],[Data do Caixa Previsto]]="",0,MONTH(TbRegistroSaídas[[#This Row],[Data do Caixa Previsto]]))</f>
        <v>12</v>
      </c>
      <c r="N165" s="50">
        <f>IF(TbRegistroSaídas[[#This Row],[Data do Caixa Previsto]]="",0,YEAR(TbRegistroSaídas[[#This Row],[Data do Caixa Previsto]]))</f>
        <v>2018</v>
      </c>
    </row>
    <row r="166" spans="2:14" hidden="1" x14ac:dyDescent="0.25">
      <c r="B166" s="13">
        <v>43444</v>
      </c>
      <c r="C166" s="13">
        <v>43444</v>
      </c>
      <c r="D166" s="13">
        <v>43444</v>
      </c>
      <c r="E166" t="s">
        <v>38</v>
      </c>
      <c r="F166" t="s">
        <v>32</v>
      </c>
      <c r="G166" t="s">
        <v>446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50">
        <f>IF(TbRegistroSaídas[[#This Row],[Data do Caixa Previsto]]="",0,MONTH(TbRegistroSaídas[[#This Row],[Data do Caixa Previsto]]))</f>
        <v>12</v>
      </c>
      <c r="N166" s="50">
        <f>IF(TbRegistroSaídas[[#This Row],[Data do Caixa Previsto]]="",0,YEAR(TbRegistroSaídas[[#This Row],[Data do Caixa Previsto]]))</f>
        <v>2018</v>
      </c>
    </row>
    <row r="167" spans="2:14" hidden="1" x14ac:dyDescent="0.25">
      <c r="B167" s="13" t="s">
        <v>69</v>
      </c>
      <c r="C167" s="13">
        <v>43448</v>
      </c>
      <c r="D167" s="13">
        <v>43480</v>
      </c>
      <c r="E167" t="s">
        <v>38</v>
      </c>
      <c r="F167" t="s">
        <v>45</v>
      </c>
      <c r="G167" t="s">
        <v>447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50">
        <f>IF(TbRegistroSaídas[[#This Row],[Data do Caixa Previsto]]="",0,MONTH(TbRegistroSaídas[[#This Row],[Data do Caixa Previsto]]))</f>
        <v>1</v>
      </c>
      <c r="N167" s="50">
        <f>IF(TbRegistroSaídas[[#This Row],[Data do Caixa Previsto]]="",0,YEAR(TbRegistroSaídas[[#This Row],[Data do Caixa Previsto]]))</f>
        <v>2019</v>
      </c>
    </row>
    <row r="168" spans="2:14" hidden="1" x14ac:dyDescent="0.25">
      <c r="B168" s="13">
        <v>43449</v>
      </c>
      <c r="C168" s="13">
        <v>43449</v>
      </c>
      <c r="D168" s="13">
        <v>43449</v>
      </c>
      <c r="E168" t="s">
        <v>38</v>
      </c>
      <c r="F168" t="s">
        <v>45</v>
      </c>
      <c r="G168" t="s">
        <v>448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50">
        <f>IF(TbRegistroSaídas[[#This Row],[Data do Caixa Previsto]]="",0,MONTH(TbRegistroSaídas[[#This Row],[Data do Caixa Previsto]]))</f>
        <v>12</v>
      </c>
      <c r="N168" s="50">
        <f>IF(TbRegistroSaídas[[#This Row],[Data do Caixa Previsto]]="",0,YEAR(TbRegistroSaídas[[#This Row],[Data do Caixa Previsto]]))</f>
        <v>2018</v>
      </c>
    </row>
    <row r="169" spans="2:14" hidden="1" x14ac:dyDescent="0.25">
      <c r="B169" s="13">
        <v>43487</v>
      </c>
      <c r="C169" s="13">
        <v>43452</v>
      </c>
      <c r="D169" s="13">
        <v>43487</v>
      </c>
      <c r="E169" t="s">
        <v>38</v>
      </c>
      <c r="F169" t="s">
        <v>36</v>
      </c>
      <c r="G169" t="s">
        <v>449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50">
        <f>IF(TbRegistroSaídas[[#This Row],[Data do Caixa Previsto]]="",0,MONTH(TbRegistroSaídas[[#This Row],[Data do Caixa Previsto]]))</f>
        <v>1</v>
      </c>
      <c r="N169" s="50">
        <f>IF(TbRegistroSaídas[[#This Row],[Data do Caixa Previsto]]="",0,YEAR(TbRegistroSaídas[[#This Row],[Data do Caixa Previsto]]))</f>
        <v>2019</v>
      </c>
    </row>
    <row r="170" spans="2:14" hidden="1" x14ac:dyDescent="0.25">
      <c r="B170" s="13">
        <v>43514</v>
      </c>
      <c r="C170" s="13">
        <v>43459</v>
      </c>
      <c r="D170" s="13">
        <v>43514</v>
      </c>
      <c r="E170" t="s">
        <v>38</v>
      </c>
      <c r="F170" t="s">
        <v>45</v>
      </c>
      <c r="G170" t="s">
        <v>450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50">
        <f>IF(TbRegistroSaídas[[#This Row],[Data do Caixa Previsto]]="",0,MONTH(TbRegistroSaídas[[#This Row],[Data do Caixa Previsto]]))</f>
        <v>2</v>
      </c>
      <c r="N170" s="50">
        <f>IF(TbRegistroSaídas[[#This Row],[Data do Caixa Previsto]]="",0,YEAR(TbRegistroSaídas[[#This Row],[Data do Caixa Previsto]]))</f>
        <v>2019</v>
      </c>
    </row>
    <row r="171" spans="2:14" hidden="1" x14ac:dyDescent="0.25">
      <c r="B171" s="13">
        <v>43491</v>
      </c>
      <c r="C171" s="13">
        <v>43461</v>
      </c>
      <c r="D171" s="13">
        <v>43491</v>
      </c>
      <c r="E171" t="s">
        <v>38</v>
      </c>
      <c r="F171" t="s">
        <v>45</v>
      </c>
      <c r="G171" t="s">
        <v>451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50">
        <f>IF(TbRegistroSaídas[[#This Row],[Data do Caixa Previsto]]="",0,MONTH(TbRegistroSaídas[[#This Row],[Data do Caixa Previsto]]))</f>
        <v>1</v>
      </c>
      <c r="N171" s="50">
        <f>IF(TbRegistroSaídas[[#This Row],[Data do Caixa Previsto]]="",0,YEAR(TbRegistroSaídas[[#This Row],[Data do Caixa Previsto]]))</f>
        <v>2019</v>
      </c>
    </row>
    <row r="172" spans="2:14" hidden="1" x14ac:dyDescent="0.25">
      <c r="B172" s="13">
        <v>43515</v>
      </c>
      <c r="C172" s="13">
        <v>43464</v>
      </c>
      <c r="D172" s="13">
        <v>43515</v>
      </c>
      <c r="E172" t="s">
        <v>38</v>
      </c>
      <c r="F172" t="s">
        <v>36</v>
      </c>
      <c r="G172" t="s">
        <v>452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50">
        <f>IF(TbRegistroSaídas[[#This Row],[Data do Caixa Previsto]]="",0,MONTH(TbRegistroSaídas[[#This Row],[Data do Caixa Previsto]]))</f>
        <v>2</v>
      </c>
      <c r="N172" s="50">
        <f>IF(TbRegistroSaídas[[#This Row],[Data do Caixa Previsto]]="",0,YEAR(TbRegistroSaídas[[#This Row],[Data do Caixa Previsto]]))</f>
        <v>2019</v>
      </c>
    </row>
    <row r="173" spans="2:14" hidden="1" x14ac:dyDescent="0.25">
      <c r="B173" s="13">
        <v>43467</v>
      </c>
      <c r="C173" s="13">
        <v>43467</v>
      </c>
      <c r="D173" s="13">
        <v>43467</v>
      </c>
      <c r="E173" t="s">
        <v>38</v>
      </c>
      <c r="F173" t="s">
        <v>36</v>
      </c>
      <c r="G173" t="s">
        <v>453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50">
        <f>IF(TbRegistroSaídas[[#This Row],[Data do Caixa Previsto]]="",0,MONTH(TbRegistroSaídas[[#This Row],[Data do Caixa Previsto]]))</f>
        <v>1</v>
      </c>
      <c r="N173" s="50">
        <f>IF(TbRegistroSaídas[[#This Row],[Data do Caixa Previsto]]="",0,YEAR(TbRegistroSaídas[[#This Row],[Data do Caixa Previsto]]))</f>
        <v>2019</v>
      </c>
    </row>
    <row r="174" spans="2:14" hidden="1" x14ac:dyDescent="0.25">
      <c r="B174" s="13">
        <v>43485</v>
      </c>
      <c r="C174" s="13">
        <v>43469</v>
      </c>
      <c r="D174" s="13">
        <v>43485</v>
      </c>
      <c r="E174" t="s">
        <v>38</v>
      </c>
      <c r="F174" t="s">
        <v>45</v>
      </c>
      <c r="G174" t="s">
        <v>454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50">
        <f>IF(TbRegistroSaídas[[#This Row],[Data do Caixa Previsto]]="",0,MONTH(TbRegistroSaídas[[#This Row],[Data do Caixa Previsto]]))</f>
        <v>1</v>
      </c>
      <c r="N174" s="50">
        <f>IF(TbRegistroSaídas[[#This Row],[Data do Caixa Previsto]]="",0,YEAR(TbRegistroSaídas[[#This Row],[Data do Caixa Previsto]]))</f>
        <v>2019</v>
      </c>
    </row>
    <row r="175" spans="2:14" hidden="1" x14ac:dyDescent="0.25">
      <c r="B175" s="13">
        <v>43501</v>
      </c>
      <c r="C175" s="13">
        <v>43476</v>
      </c>
      <c r="D175" s="13">
        <v>43501</v>
      </c>
      <c r="E175" t="s">
        <v>38</v>
      </c>
      <c r="F175" t="s">
        <v>45</v>
      </c>
      <c r="G175" t="s">
        <v>455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50">
        <f>IF(TbRegistroSaídas[[#This Row],[Data do Caixa Previsto]]="",0,MONTH(TbRegistroSaídas[[#This Row],[Data do Caixa Previsto]]))</f>
        <v>2</v>
      </c>
      <c r="N175" s="50">
        <f>IF(TbRegistroSaídas[[#This Row],[Data do Caixa Previsto]]="",0,YEAR(TbRegistroSaídas[[#This Row],[Data do Caixa Previsto]]))</f>
        <v>2019</v>
      </c>
    </row>
    <row r="176" spans="2:14" hidden="1" x14ac:dyDescent="0.25">
      <c r="B176" s="13">
        <v>43569</v>
      </c>
      <c r="C176" s="13">
        <v>43479</v>
      </c>
      <c r="D176" s="13">
        <v>43495</v>
      </c>
      <c r="E176" t="s">
        <v>38</v>
      </c>
      <c r="F176" t="s">
        <v>45</v>
      </c>
      <c r="G176" t="s">
        <v>456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50">
        <f>IF(TbRegistroSaídas[[#This Row],[Data do Caixa Previsto]]="",0,MONTH(TbRegistroSaídas[[#This Row],[Data do Caixa Previsto]]))</f>
        <v>1</v>
      </c>
      <c r="N176" s="50">
        <f>IF(TbRegistroSaídas[[#This Row],[Data do Caixa Previsto]]="",0,YEAR(TbRegistroSaídas[[#This Row],[Data do Caixa Previsto]]))</f>
        <v>2019</v>
      </c>
    </row>
    <row r="177" spans="2:14" hidden="1" x14ac:dyDescent="0.25">
      <c r="B177" s="13">
        <v>43482</v>
      </c>
      <c r="C177" s="13">
        <v>43482</v>
      </c>
      <c r="D177" s="13">
        <v>43482</v>
      </c>
      <c r="E177" t="s">
        <v>38</v>
      </c>
      <c r="F177" t="s">
        <v>36</v>
      </c>
      <c r="G177" t="s">
        <v>457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50">
        <f>IF(TbRegistroSaídas[[#This Row],[Data do Caixa Previsto]]="",0,MONTH(TbRegistroSaídas[[#This Row],[Data do Caixa Previsto]]))</f>
        <v>1</v>
      </c>
      <c r="N177" s="50">
        <f>IF(TbRegistroSaídas[[#This Row],[Data do Caixa Previsto]]="",0,YEAR(TbRegistroSaídas[[#This Row],[Data do Caixa Previsto]]))</f>
        <v>2019</v>
      </c>
    </row>
    <row r="178" spans="2:14" hidden="1" x14ac:dyDescent="0.25">
      <c r="B178" s="13">
        <v>43499</v>
      </c>
      <c r="C178" s="13">
        <v>43484</v>
      </c>
      <c r="D178" s="13">
        <v>43499</v>
      </c>
      <c r="E178" t="s">
        <v>38</v>
      </c>
      <c r="F178" t="s">
        <v>32</v>
      </c>
      <c r="G178" t="s">
        <v>458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50">
        <f>IF(TbRegistroSaídas[[#This Row],[Data do Caixa Previsto]]="",0,MONTH(TbRegistroSaídas[[#This Row],[Data do Caixa Previsto]]))</f>
        <v>2</v>
      </c>
      <c r="N178" s="50">
        <f>IF(TbRegistroSaídas[[#This Row],[Data do Caixa Previsto]]="",0,YEAR(TbRegistroSaídas[[#This Row],[Data do Caixa Previsto]]))</f>
        <v>2019</v>
      </c>
    </row>
    <row r="179" spans="2:14" hidden="1" x14ac:dyDescent="0.25">
      <c r="B179" s="13">
        <v>43487</v>
      </c>
      <c r="C179" s="13">
        <v>43487</v>
      </c>
      <c r="D179" s="13">
        <v>43487</v>
      </c>
      <c r="E179" t="s">
        <v>38</v>
      </c>
      <c r="F179" t="s">
        <v>36</v>
      </c>
      <c r="G179" t="s">
        <v>374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50">
        <f>IF(TbRegistroSaídas[[#This Row],[Data do Caixa Previsto]]="",0,MONTH(TbRegistroSaídas[[#This Row],[Data do Caixa Previsto]]))</f>
        <v>1</v>
      </c>
      <c r="N179" s="50">
        <f>IF(TbRegistroSaídas[[#This Row],[Data do Caixa Previsto]]="",0,YEAR(TbRegistroSaídas[[#This Row],[Data do Caixa Previsto]]))</f>
        <v>2019</v>
      </c>
    </row>
    <row r="180" spans="2:14" hidden="1" x14ac:dyDescent="0.25">
      <c r="B180" s="13">
        <v>43492</v>
      </c>
      <c r="C180" s="13">
        <v>43492</v>
      </c>
      <c r="D180" s="13">
        <v>43492</v>
      </c>
      <c r="E180" t="s">
        <v>38</v>
      </c>
      <c r="F180" t="s">
        <v>45</v>
      </c>
      <c r="G180" t="s">
        <v>459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50">
        <f>IF(TbRegistroSaídas[[#This Row],[Data do Caixa Previsto]]="",0,MONTH(TbRegistroSaídas[[#This Row],[Data do Caixa Previsto]]))</f>
        <v>1</v>
      </c>
      <c r="N180" s="50">
        <f>IF(TbRegistroSaídas[[#This Row],[Data do Caixa Previsto]]="",0,YEAR(TbRegistroSaídas[[#This Row],[Data do Caixa Previsto]]))</f>
        <v>2019</v>
      </c>
    </row>
    <row r="181" spans="2:14" hidden="1" x14ac:dyDescent="0.25">
      <c r="B181" s="13" t="s">
        <v>69</v>
      </c>
      <c r="C181" s="13">
        <v>43496</v>
      </c>
      <c r="D181" s="13">
        <v>43509</v>
      </c>
      <c r="E181" t="s">
        <v>38</v>
      </c>
      <c r="F181" t="s">
        <v>36</v>
      </c>
      <c r="G181" t="s">
        <v>460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50">
        <f>IF(TbRegistroSaídas[[#This Row],[Data do Caixa Previsto]]="",0,MONTH(TbRegistroSaídas[[#This Row],[Data do Caixa Previsto]]))</f>
        <v>2</v>
      </c>
      <c r="N181" s="50">
        <f>IF(TbRegistroSaídas[[#This Row],[Data do Caixa Previsto]]="",0,YEAR(TbRegistroSaídas[[#This Row],[Data do Caixa Previsto]]))</f>
        <v>2019</v>
      </c>
    </row>
    <row r="182" spans="2:14" hidden="1" x14ac:dyDescent="0.25">
      <c r="B182" s="13">
        <v>43520</v>
      </c>
      <c r="C182" s="13">
        <v>43497</v>
      </c>
      <c r="D182" s="13">
        <v>43520</v>
      </c>
      <c r="E182" t="s">
        <v>38</v>
      </c>
      <c r="F182" t="s">
        <v>33</v>
      </c>
      <c r="G182" t="s">
        <v>461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50">
        <f>IF(TbRegistroSaídas[[#This Row],[Data do Caixa Previsto]]="",0,MONTH(TbRegistroSaídas[[#This Row],[Data do Caixa Previsto]]))</f>
        <v>2</v>
      </c>
      <c r="N182" s="50">
        <f>IF(TbRegistroSaídas[[#This Row],[Data do Caixa Previsto]]="",0,YEAR(TbRegistroSaídas[[#This Row],[Data do Caixa Previsto]]))</f>
        <v>2019</v>
      </c>
    </row>
    <row r="183" spans="2:14" hidden="1" x14ac:dyDescent="0.25">
      <c r="B183" s="13">
        <v>43499</v>
      </c>
      <c r="C183" s="13">
        <v>43499</v>
      </c>
      <c r="D183" s="13">
        <v>43499</v>
      </c>
      <c r="E183" t="s">
        <v>38</v>
      </c>
      <c r="F183" t="s">
        <v>32</v>
      </c>
      <c r="G183" t="s">
        <v>462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50">
        <f>IF(TbRegistroSaídas[[#This Row],[Data do Caixa Previsto]]="",0,MONTH(TbRegistroSaídas[[#This Row],[Data do Caixa Previsto]]))</f>
        <v>2</v>
      </c>
      <c r="N183" s="50">
        <f>IF(TbRegistroSaídas[[#This Row],[Data do Caixa Previsto]]="",0,YEAR(TbRegistroSaídas[[#This Row],[Data do Caixa Previsto]]))</f>
        <v>2019</v>
      </c>
    </row>
    <row r="184" spans="2:14" hidden="1" x14ac:dyDescent="0.25">
      <c r="B184" s="13" t="s">
        <v>69</v>
      </c>
      <c r="C184" s="13">
        <v>43503</v>
      </c>
      <c r="D184" s="13">
        <v>43503</v>
      </c>
      <c r="E184" t="s">
        <v>38</v>
      </c>
      <c r="F184" t="s">
        <v>45</v>
      </c>
      <c r="G184" t="s">
        <v>463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50">
        <f>IF(TbRegistroSaídas[[#This Row],[Data do Caixa Previsto]]="",0,MONTH(TbRegistroSaídas[[#This Row],[Data do Caixa Previsto]]))</f>
        <v>2</v>
      </c>
      <c r="N184" s="50">
        <f>IF(TbRegistroSaídas[[#This Row],[Data do Caixa Previsto]]="",0,YEAR(TbRegistroSaídas[[#This Row],[Data do Caixa Previsto]]))</f>
        <v>2019</v>
      </c>
    </row>
    <row r="185" spans="2:14" hidden="1" x14ac:dyDescent="0.25">
      <c r="B185" s="13">
        <v>43505</v>
      </c>
      <c r="C185" s="13">
        <v>43505</v>
      </c>
      <c r="D185" s="13">
        <v>43505</v>
      </c>
      <c r="E185" t="s">
        <v>38</v>
      </c>
      <c r="F185" t="s">
        <v>34</v>
      </c>
      <c r="G185" t="s">
        <v>464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50">
        <f>IF(TbRegistroSaídas[[#This Row],[Data do Caixa Previsto]]="",0,MONTH(TbRegistroSaídas[[#This Row],[Data do Caixa Previsto]]))</f>
        <v>2</v>
      </c>
      <c r="N185" s="50">
        <f>IF(TbRegistroSaídas[[#This Row],[Data do Caixa Previsto]]="",0,YEAR(TbRegistroSaídas[[#This Row],[Data do Caixa Previsto]]))</f>
        <v>2019</v>
      </c>
    </row>
    <row r="186" spans="2:14" hidden="1" x14ac:dyDescent="0.25">
      <c r="B186" s="13">
        <v>43508</v>
      </c>
      <c r="C186" s="13">
        <v>43506</v>
      </c>
      <c r="D186" s="13">
        <v>43508</v>
      </c>
      <c r="E186" t="s">
        <v>38</v>
      </c>
      <c r="F186" t="s">
        <v>34</v>
      </c>
      <c r="G186" t="s">
        <v>465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50">
        <f>IF(TbRegistroSaídas[[#This Row],[Data do Caixa Previsto]]="",0,MONTH(TbRegistroSaídas[[#This Row],[Data do Caixa Previsto]]))</f>
        <v>2</v>
      </c>
      <c r="N186" s="50">
        <f>IF(TbRegistroSaídas[[#This Row],[Data do Caixa Previsto]]="",0,YEAR(TbRegistroSaídas[[#This Row],[Data do Caixa Previsto]]))</f>
        <v>2019</v>
      </c>
    </row>
    <row r="187" spans="2:14" hidden="1" x14ac:dyDescent="0.25">
      <c r="B187" s="13">
        <v>43555</v>
      </c>
      <c r="C187" s="13">
        <v>43508</v>
      </c>
      <c r="D187" s="13">
        <v>43555</v>
      </c>
      <c r="E187" t="s">
        <v>38</v>
      </c>
      <c r="F187" t="s">
        <v>33</v>
      </c>
      <c r="G187" t="s">
        <v>466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50">
        <f>IF(TbRegistroSaídas[[#This Row],[Data do Caixa Previsto]]="",0,MONTH(TbRegistroSaídas[[#This Row],[Data do Caixa Previsto]]))</f>
        <v>3</v>
      </c>
      <c r="N187" s="50">
        <f>IF(TbRegistroSaídas[[#This Row],[Data do Caixa Previsto]]="",0,YEAR(TbRegistroSaídas[[#This Row],[Data do Caixa Previsto]]))</f>
        <v>2019</v>
      </c>
    </row>
    <row r="188" spans="2:14" hidden="1" x14ac:dyDescent="0.25">
      <c r="B188" s="13">
        <v>43517</v>
      </c>
      <c r="C188" s="13">
        <v>43517</v>
      </c>
      <c r="D188" s="13">
        <v>43517</v>
      </c>
      <c r="E188" t="s">
        <v>38</v>
      </c>
      <c r="F188" t="s">
        <v>36</v>
      </c>
      <c r="G188" t="s">
        <v>467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50">
        <f>IF(TbRegistroSaídas[[#This Row],[Data do Caixa Previsto]]="",0,MONTH(TbRegistroSaídas[[#This Row],[Data do Caixa Previsto]]))</f>
        <v>2</v>
      </c>
      <c r="N188" s="50">
        <f>IF(TbRegistroSaídas[[#This Row],[Data do Caixa Previsto]]="",0,YEAR(TbRegistroSaídas[[#This Row],[Data do Caixa Previsto]]))</f>
        <v>2019</v>
      </c>
    </row>
    <row r="189" spans="2:14" hidden="1" x14ac:dyDescent="0.25">
      <c r="B189" s="13" t="s">
        <v>69</v>
      </c>
      <c r="C189" s="13">
        <v>43521</v>
      </c>
      <c r="D189" s="13">
        <v>43521</v>
      </c>
      <c r="E189" t="s">
        <v>38</v>
      </c>
      <c r="F189" t="s">
        <v>45</v>
      </c>
      <c r="G189" t="s">
        <v>468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50">
        <f>IF(TbRegistroSaídas[[#This Row],[Data do Caixa Previsto]]="",0,MONTH(TbRegistroSaídas[[#This Row],[Data do Caixa Previsto]]))</f>
        <v>2</v>
      </c>
      <c r="N189" s="50">
        <f>IF(TbRegistroSaídas[[#This Row],[Data do Caixa Previsto]]="",0,YEAR(TbRegistroSaídas[[#This Row],[Data do Caixa Previsto]]))</f>
        <v>2019</v>
      </c>
    </row>
    <row r="190" spans="2:14" hidden="1" x14ac:dyDescent="0.25">
      <c r="B190" s="13">
        <v>43531</v>
      </c>
      <c r="C190" s="13">
        <v>43523</v>
      </c>
      <c r="D190" s="13">
        <v>43531</v>
      </c>
      <c r="E190" t="s">
        <v>38</v>
      </c>
      <c r="F190" t="s">
        <v>34</v>
      </c>
      <c r="G190" t="s">
        <v>469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50">
        <f>IF(TbRegistroSaídas[[#This Row],[Data do Caixa Previsto]]="",0,MONTH(TbRegistroSaídas[[#This Row],[Data do Caixa Previsto]]))</f>
        <v>3</v>
      </c>
      <c r="N190" s="50">
        <f>IF(TbRegistroSaídas[[#This Row],[Data do Caixa Previsto]]="",0,YEAR(TbRegistroSaídas[[#This Row],[Data do Caixa Previsto]]))</f>
        <v>2019</v>
      </c>
    </row>
    <row r="191" spans="2:14" hidden="1" x14ac:dyDescent="0.25">
      <c r="B191" s="13">
        <v>43569</v>
      </c>
      <c r="C191" s="13">
        <v>43526</v>
      </c>
      <c r="D191" s="13">
        <v>43569</v>
      </c>
      <c r="E191" t="s">
        <v>38</v>
      </c>
      <c r="F191" t="s">
        <v>32</v>
      </c>
      <c r="G191" t="s">
        <v>470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50">
        <f>IF(TbRegistroSaídas[[#This Row],[Data do Caixa Previsto]]="",0,MONTH(TbRegistroSaídas[[#This Row],[Data do Caixa Previsto]]))</f>
        <v>4</v>
      </c>
      <c r="N191" s="50">
        <f>IF(TbRegistroSaídas[[#This Row],[Data do Caixa Previsto]]="",0,YEAR(TbRegistroSaídas[[#This Row],[Data do Caixa Previsto]]))</f>
        <v>2019</v>
      </c>
    </row>
    <row r="192" spans="2:14" hidden="1" x14ac:dyDescent="0.25">
      <c r="B192" s="13">
        <v>43567</v>
      </c>
      <c r="C192" s="13">
        <v>43530</v>
      </c>
      <c r="D192" s="13">
        <v>43567</v>
      </c>
      <c r="E192" t="s">
        <v>38</v>
      </c>
      <c r="F192" t="s">
        <v>32</v>
      </c>
      <c r="G192" t="s">
        <v>471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50">
        <f>IF(TbRegistroSaídas[[#This Row],[Data do Caixa Previsto]]="",0,MONTH(TbRegistroSaídas[[#This Row],[Data do Caixa Previsto]]))</f>
        <v>4</v>
      </c>
      <c r="N192" s="50">
        <f>IF(TbRegistroSaídas[[#This Row],[Data do Caixa Previsto]]="",0,YEAR(TbRegistroSaídas[[#This Row],[Data do Caixa Previsto]]))</f>
        <v>2019</v>
      </c>
    </row>
    <row r="193" spans="2:14" hidden="1" x14ac:dyDescent="0.25">
      <c r="B193" s="13">
        <v>43532</v>
      </c>
      <c r="C193" s="13">
        <v>43532</v>
      </c>
      <c r="D193" s="13">
        <v>43532</v>
      </c>
      <c r="E193" t="s">
        <v>38</v>
      </c>
      <c r="F193" t="s">
        <v>45</v>
      </c>
      <c r="G193" t="s">
        <v>472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50">
        <f>IF(TbRegistroSaídas[[#This Row],[Data do Caixa Previsto]]="",0,MONTH(TbRegistroSaídas[[#This Row],[Data do Caixa Previsto]]))</f>
        <v>3</v>
      </c>
      <c r="N193" s="50">
        <f>IF(TbRegistroSaídas[[#This Row],[Data do Caixa Previsto]]="",0,YEAR(TbRegistroSaídas[[#This Row],[Data do Caixa Previsto]]))</f>
        <v>2019</v>
      </c>
    </row>
    <row r="194" spans="2:14" hidden="1" x14ac:dyDescent="0.25">
      <c r="B194" s="13" t="s">
        <v>69</v>
      </c>
      <c r="C194" s="13">
        <v>43532</v>
      </c>
      <c r="D194" s="13">
        <v>43572</v>
      </c>
      <c r="E194" t="s">
        <v>38</v>
      </c>
      <c r="F194" t="s">
        <v>45</v>
      </c>
      <c r="G194" t="s">
        <v>473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50">
        <f>IF(TbRegistroSaídas[[#This Row],[Data do Caixa Previsto]]="",0,MONTH(TbRegistroSaídas[[#This Row],[Data do Caixa Previsto]]))</f>
        <v>4</v>
      </c>
      <c r="N194" s="50">
        <f>IF(TbRegistroSaídas[[#This Row],[Data do Caixa Previsto]]="",0,YEAR(TbRegistroSaídas[[#This Row],[Data do Caixa Previsto]]))</f>
        <v>2019</v>
      </c>
    </row>
    <row r="195" spans="2:14" hidden="1" x14ac:dyDescent="0.25">
      <c r="B195" s="13">
        <v>43570</v>
      </c>
      <c r="C195" s="13">
        <v>43534</v>
      </c>
      <c r="D195" s="13">
        <v>43570</v>
      </c>
      <c r="E195" t="s">
        <v>38</v>
      </c>
      <c r="F195" t="s">
        <v>36</v>
      </c>
      <c r="G195" t="s">
        <v>474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50">
        <f>IF(TbRegistroSaídas[[#This Row],[Data do Caixa Previsto]]="",0,MONTH(TbRegistroSaídas[[#This Row],[Data do Caixa Previsto]]))</f>
        <v>4</v>
      </c>
      <c r="N195" s="50">
        <f>IF(TbRegistroSaídas[[#This Row],[Data do Caixa Previsto]]="",0,YEAR(TbRegistroSaídas[[#This Row],[Data do Caixa Previsto]]))</f>
        <v>2019</v>
      </c>
    </row>
    <row r="196" spans="2:14" hidden="1" x14ac:dyDescent="0.25">
      <c r="B196" s="13">
        <v>43536</v>
      </c>
      <c r="C196" s="13">
        <v>43536</v>
      </c>
      <c r="D196" s="13">
        <v>43536</v>
      </c>
      <c r="E196" t="s">
        <v>38</v>
      </c>
      <c r="F196" t="s">
        <v>32</v>
      </c>
      <c r="G196" t="s">
        <v>475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50">
        <f>IF(TbRegistroSaídas[[#This Row],[Data do Caixa Previsto]]="",0,MONTH(TbRegistroSaídas[[#This Row],[Data do Caixa Previsto]]))</f>
        <v>3</v>
      </c>
      <c r="N196" s="50">
        <f>IF(TbRegistroSaídas[[#This Row],[Data do Caixa Previsto]]="",0,YEAR(TbRegistroSaídas[[#This Row],[Data do Caixa Previsto]]))</f>
        <v>2019</v>
      </c>
    </row>
    <row r="197" spans="2:14" hidden="1" x14ac:dyDescent="0.25">
      <c r="B197" s="13">
        <v>43576</v>
      </c>
      <c r="C197" s="13">
        <v>43537</v>
      </c>
      <c r="D197" s="13">
        <v>43576</v>
      </c>
      <c r="E197" t="s">
        <v>38</v>
      </c>
      <c r="F197" t="s">
        <v>36</v>
      </c>
      <c r="G197" t="s">
        <v>476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50">
        <f>IF(TbRegistroSaídas[[#This Row],[Data do Caixa Previsto]]="",0,MONTH(TbRegistroSaídas[[#This Row],[Data do Caixa Previsto]]))</f>
        <v>4</v>
      </c>
      <c r="N197" s="50">
        <f>IF(TbRegistroSaídas[[#This Row],[Data do Caixa Previsto]]="",0,YEAR(TbRegistroSaídas[[#This Row],[Data do Caixa Previsto]]))</f>
        <v>2019</v>
      </c>
    </row>
    <row r="198" spans="2:14" hidden="1" x14ac:dyDescent="0.25">
      <c r="B198" s="13">
        <v>43543</v>
      </c>
      <c r="C198" s="13">
        <v>43540</v>
      </c>
      <c r="D198" s="13">
        <v>43543</v>
      </c>
      <c r="E198" t="s">
        <v>38</v>
      </c>
      <c r="F198" t="s">
        <v>32</v>
      </c>
      <c r="G198" t="s">
        <v>477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50">
        <f>IF(TbRegistroSaídas[[#This Row],[Data do Caixa Previsto]]="",0,MONTH(TbRegistroSaídas[[#This Row],[Data do Caixa Previsto]]))</f>
        <v>3</v>
      </c>
      <c r="N198" s="50">
        <f>IF(TbRegistroSaídas[[#This Row],[Data do Caixa Previsto]]="",0,YEAR(TbRegistroSaídas[[#This Row],[Data do Caixa Previsto]]))</f>
        <v>2019</v>
      </c>
    </row>
    <row r="199" spans="2:14" hidden="1" x14ac:dyDescent="0.25">
      <c r="B199" s="13">
        <v>43543</v>
      </c>
      <c r="C199" s="13">
        <v>43543</v>
      </c>
      <c r="D199" s="13">
        <v>43543</v>
      </c>
      <c r="E199" t="s">
        <v>38</v>
      </c>
      <c r="F199" t="s">
        <v>36</v>
      </c>
      <c r="G199" t="s">
        <v>478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50">
        <f>IF(TbRegistroSaídas[[#This Row],[Data do Caixa Previsto]]="",0,MONTH(TbRegistroSaídas[[#This Row],[Data do Caixa Previsto]]))</f>
        <v>3</v>
      </c>
      <c r="N199" s="50">
        <f>IF(TbRegistroSaídas[[#This Row],[Data do Caixa Previsto]]="",0,YEAR(TbRegistroSaídas[[#This Row],[Data do Caixa Previsto]]))</f>
        <v>2019</v>
      </c>
    </row>
    <row r="200" spans="2:14" hidden="1" x14ac:dyDescent="0.25">
      <c r="B200" s="13">
        <v>43586</v>
      </c>
      <c r="C200" s="13">
        <v>43546</v>
      </c>
      <c r="D200" s="13">
        <v>43586</v>
      </c>
      <c r="E200" t="s">
        <v>38</v>
      </c>
      <c r="F200" t="s">
        <v>45</v>
      </c>
      <c r="G200" t="s">
        <v>479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50">
        <f>IF(TbRegistroSaídas[[#This Row],[Data do Caixa Previsto]]="",0,MONTH(TbRegistroSaídas[[#This Row],[Data do Caixa Previsto]]))</f>
        <v>5</v>
      </c>
      <c r="N200" s="50">
        <f>IF(TbRegistroSaídas[[#This Row],[Data do Caixa Previsto]]="",0,YEAR(TbRegistroSaídas[[#This Row],[Data do Caixa Previsto]]))</f>
        <v>2019</v>
      </c>
    </row>
    <row r="201" spans="2:14" hidden="1" x14ac:dyDescent="0.25">
      <c r="B201" s="13">
        <v>43551</v>
      </c>
      <c r="C201" s="13">
        <v>43551</v>
      </c>
      <c r="D201" s="13">
        <v>43551</v>
      </c>
      <c r="E201" t="s">
        <v>38</v>
      </c>
      <c r="F201" t="s">
        <v>34</v>
      </c>
      <c r="G201" t="s">
        <v>480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50">
        <f>IF(TbRegistroSaídas[[#This Row],[Data do Caixa Previsto]]="",0,MONTH(TbRegistroSaídas[[#This Row],[Data do Caixa Previsto]]))</f>
        <v>3</v>
      </c>
      <c r="N201" s="50">
        <f>IF(TbRegistroSaídas[[#This Row],[Data do Caixa Previsto]]="",0,YEAR(TbRegistroSaídas[[#This Row],[Data do Caixa Previsto]]))</f>
        <v>2019</v>
      </c>
    </row>
    <row r="202" spans="2:14" hidden="1" x14ac:dyDescent="0.25">
      <c r="B202" s="13">
        <v>43557</v>
      </c>
      <c r="C202" s="13">
        <v>43557</v>
      </c>
      <c r="D202" s="13">
        <v>43557</v>
      </c>
      <c r="E202" t="s">
        <v>38</v>
      </c>
      <c r="F202" t="s">
        <v>32</v>
      </c>
      <c r="G202" t="s">
        <v>481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50">
        <f>IF(TbRegistroSaídas[[#This Row],[Data do Caixa Previsto]]="",0,MONTH(TbRegistroSaídas[[#This Row],[Data do Caixa Previsto]]))</f>
        <v>4</v>
      </c>
      <c r="N202" s="50">
        <f>IF(TbRegistroSaídas[[#This Row],[Data do Caixa Previsto]]="",0,YEAR(TbRegistroSaídas[[#This Row],[Data do Caixa Previsto]]))</f>
        <v>2019</v>
      </c>
    </row>
    <row r="203" spans="2:14" hidden="1" x14ac:dyDescent="0.25">
      <c r="B203" s="13">
        <v>43560</v>
      </c>
      <c r="C203" s="13">
        <v>43558</v>
      </c>
      <c r="D203" s="13">
        <v>43560</v>
      </c>
      <c r="E203" t="s">
        <v>38</v>
      </c>
      <c r="F203" t="s">
        <v>45</v>
      </c>
      <c r="G203" t="s">
        <v>482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50">
        <f>IF(TbRegistroSaídas[[#This Row],[Data do Caixa Previsto]]="",0,MONTH(TbRegistroSaídas[[#This Row],[Data do Caixa Previsto]]))</f>
        <v>4</v>
      </c>
      <c r="N203" s="50">
        <f>IF(TbRegistroSaídas[[#This Row],[Data do Caixa Previsto]]="",0,YEAR(TbRegistroSaídas[[#This Row],[Data do Caixa Previsto]]))</f>
        <v>2019</v>
      </c>
    </row>
    <row r="204" spans="2:14" hidden="1" x14ac:dyDescent="0.25">
      <c r="B204" s="13" t="s">
        <v>69</v>
      </c>
      <c r="C204" s="13">
        <v>43561</v>
      </c>
      <c r="D204" s="13">
        <v>43605</v>
      </c>
      <c r="E204" t="s">
        <v>38</v>
      </c>
      <c r="F204" t="s">
        <v>34</v>
      </c>
      <c r="G204" t="s">
        <v>483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50">
        <f>IF(TbRegistroSaídas[[#This Row],[Data do Caixa Previsto]]="",0,MONTH(TbRegistroSaídas[[#This Row],[Data do Caixa Previsto]]))</f>
        <v>5</v>
      </c>
      <c r="N204" s="50">
        <f>IF(TbRegistroSaídas[[#This Row],[Data do Caixa Previsto]]="",0,YEAR(TbRegistroSaídas[[#This Row],[Data do Caixa Previsto]]))</f>
        <v>2019</v>
      </c>
    </row>
    <row r="205" spans="2:14" hidden="1" x14ac:dyDescent="0.25">
      <c r="B205" s="13">
        <v>43647</v>
      </c>
      <c r="C205" s="13">
        <v>43563</v>
      </c>
      <c r="D205" s="13">
        <v>43603</v>
      </c>
      <c r="E205" t="s">
        <v>38</v>
      </c>
      <c r="F205" t="s">
        <v>45</v>
      </c>
      <c r="G205" t="s">
        <v>484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50">
        <f>IF(TbRegistroSaídas[[#This Row],[Data do Caixa Previsto]]="",0,MONTH(TbRegistroSaídas[[#This Row],[Data do Caixa Previsto]]))</f>
        <v>5</v>
      </c>
      <c r="N205" s="50">
        <f>IF(TbRegistroSaídas[[#This Row],[Data do Caixa Previsto]]="",0,YEAR(TbRegistroSaídas[[#This Row],[Data do Caixa Previsto]]))</f>
        <v>2019</v>
      </c>
    </row>
    <row r="206" spans="2:14" hidden="1" x14ac:dyDescent="0.25">
      <c r="B206" s="13">
        <v>43578</v>
      </c>
      <c r="C206" s="13">
        <v>43565</v>
      </c>
      <c r="D206" s="13">
        <v>43565</v>
      </c>
      <c r="E206" t="s">
        <v>38</v>
      </c>
      <c r="F206" t="s">
        <v>45</v>
      </c>
      <c r="G206" t="s">
        <v>485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50">
        <f>IF(TbRegistroSaídas[[#This Row],[Data do Caixa Previsto]]="",0,MONTH(TbRegistroSaídas[[#This Row],[Data do Caixa Previsto]]))</f>
        <v>4</v>
      </c>
      <c r="N206" s="50">
        <f>IF(TbRegistroSaídas[[#This Row],[Data do Caixa Previsto]]="",0,YEAR(TbRegistroSaídas[[#This Row],[Data do Caixa Previsto]]))</f>
        <v>2019</v>
      </c>
    </row>
    <row r="207" spans="2:14" hidden="1" x14ac:dyDescent="0.25">
      <c r="B207" s="13">
        <v>43584</v>
      </c>
      <c r="C207" s="13">
        <v>43569</v>
      </c>
      <c r="D207" s="13">
        <v>43584</v>
      </c>
      <c r="E207" t="s">
        <v>38</v>
      </c>
      <c r="F207" t="s">
        <v>45</v>
      </c>
      <c r="G207" t="s">
        <v>486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50">
        <f>IF(TbRegistroSaídas[[#This Row],[Data do Caixa Previsto]]="",0,MONTH(TbRegistroSaídas[[#This Row],[Data do Caixa Previsto]]))</f>
        <v>4</v>
      </c>
      <c r="N207" s="50">
        <f>IF(TbRegistroSaídas[[#This Row],[Data do Caixa Previsto]]="",0,YEAR(TbRegistroSaídas[[#This Row],[Data do Caixa Previsto]]))</f>
        <v>2019</v>
      </c>
    </row>
    <row r="208" spans="2:14" hidden="1" x14ac:dyDescent="0.25">
      <c r="B208" s="13">
        <v>43572</v>
      </c>
      <c r="C208" s="13">
        <v>43572</v>
      </c>
      <c r="D208" s="13">
        <v>43572</v>
      </c>
      <c r="E208" t="s">
        <v>38</v>
      </c>
      <c r="F208" t="s">
        <v>33</v>
      </c>
      <c r="G208" t="s">
        <v>487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50">
        <f>IF(TbRegistroSaídas[[#This Row],[Data do Caixa Previsto]]="",0,MONTH(TbRegistroSaídas[[#This Row],[Data do Caixa Previsto]]))</f>
        <v>4</v>
      </c>
      <c r="N208" s="50">
        <f>IF(TbRegistroSaídas[[#This Row],[Data do Caixa Previsto]]="",0,YEAR(TbRegistroSaídas[[#This Row],[Data do Caixa Previsto]]))</f>
        <v>2019</v>
      </c>
    </row>
    <row r="209" spans="2:14" hidden="1" x14ac:dyDescent="0.25">
      <c r="B209" s="13" t="s">
        <v>69</v>
      </c>
      <c r="C209" s="13">
        <v>43574</v>
      </c>
      <c r="D209" s="13">
        <v>43589</v>
      </c>
      <c r="E209" t="s">
        <v>38</v>
      </c>
      <c r="F209" t="s">
        <v>45</v>
      </c>
      <c r="G209" t="s">
        <v>488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50">
        <f>IF(TbRegistroSaídas[[#This Row],[Data do Caixa Previsto]]="",0,MONTH(TbRegistroSaídas[[#This Row],[Data do Caixa Previsto]]))</f>
        <v>5</v>
      </c>
      <c r="N209" s="50">
        <f>IF(TbRegistroSaídas[[#This Row],[Data do Caixa Previsto]]="",0,YEAR(TbRegistroSaídas[[#This Row],[Data do Caixa Previsto]]))</f>
        <v>2019</v>
      </c>
    </row>
    <row r="210" spans="2:14" hidden="1" x14ac:dyDescent="0.25">
      <c r="B210" s="13">
        <v>43586</v>
      </c>
      <c r="C210" s="13">
        <v>43576</v>
      </c>
      <c r="D210" s="13">
        <v>43586</v>
      </c>
      <c r="E210" t="s">
        <v>38</v>
      </c>
      <c r="F210" t="s">
        <v>45</v>
      </c>
      <c r="G210" t="s">
        <v>489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50">
        <f>IF(TbRegistroSaídas[[#This Row],[Data do Caixa Previsto]]="",0,MONTH(TbRegistroSaídas[[#This Row],[Data do Caixa Previsto]]))</f>
        <v>5</v>
      </c>
      <c r="N210" s="50">
        <f>IF(TbRegistroSaídas[[#This Row],[Data do Caixa Previsto]]="",0,YEAR(TbRegistroSaídas[[#This Row],[Data do Caixa Previsto]]))</f>
        <v>2019</v>
      </c>
    </row>
    <row r="211" spans="2:14" hidden="1" x14ac:dyDescent="0.25">
      <c r="B211" s="13">
        <v>43661</v>
      </c>
      <c r="C211" s="13">
        <v>43580</v>
      </c>
      <c r="D211" s="13">
        <v>43635</v>
      </c>
      <c r="E211" t="s">
        <v>38</v>
      </c>
      <c r="F211" t="s">
        <v>45</v>
      </c>
      <c r="G211" t="s">
        <v>490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50">
        <f>IF(TbRegistroSaídas[[#This Row],[Data do Caixa Previsto]]="",0,MONTH(TbRegistroSaídas[[#This Row],[Data do Caixa Previsto]]))</f>
        <v>6</v>
      </c>
      <c r="N211" s="50">
        <f>IF(TbRegistroSaídas[[#This Row],[Data do Caixa Previsto]]="",0,YEAR(TbRegistroSaídas[[#This Row],[Data do Caixa Previsto]]))</f>
        <v>2019</v>
      </c>
    </row>
    <row r="212" spans="2:14" hidden="1" x14ac:dyDescent="0.25">
      <c r="B212" s="13">
        <v>43622</v>
      </c>
      <c r="C212" s="13">
        <v>43582</v>
      </c>
      <c r="D212" s="13">
        <v>43622</v>
      </c>
      <c r="E212" t="s">
        <v>38</v>
      </c>
      <c r="F212" t="s">
        <v>33</v>
      </c>
      <c r="G212" t="s">
        <v>491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50">
        <f>IF(TbRegistroSaídas[[#This Row],[Data do Caixa Previsto]]="",0,MONTH(TbRegistroSaídas[[#This Row],[Data do Caixa Previsto]]))</f>
        <v>6</v>
      </c>
      <c r="N212" s="50">
        <f>IF(TbRegistroSaídas[[#This Row],[Data do Caixa Previsto]]="",0,YEAR(TbRegistroSaídas[[#This Row],[Data do Caixa Previsto]]))</f>
        <v>2019</v>
      </c>
    </row>
    <row r="213" spans="2:14" hidden="1" x14ac:dyDescent="0.25">
      <c r="B213" s="13">
        <v>43624</v>
      </c>
      <c r="C213" s="13">
        <v>43588</v>
      </c>
      <c r="D213" s="13">
        <v>43624</v>
      </c>
      <c r="E213" t="s">
        <v>38</v>
      </c>
      <c r="F213" t="s">
        <v>45</v>
      </c>
      <c r="G213" t="s">
        <v>492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50">
        <f>IF(TbRegistroSaídas[[#This Row],[Data do Caixa Previsto]]="",0,MONTH(TbRegistroSaídas[[#This Row],[Data do Caixa Previsto]]))</f>
        <v>6</v>
      </c>
      <c r="N213" s="50">
        <f>IF(TbRegistroSaídas[[#This Row],[Data do Caixa Previsto]]="",0,YEAR(TbRegistroSaídas[[#This Row],[Data do Caixa Previsto]]))</f>
        <v>2019</v>
      </c>
    </row>
    <row r="214" spans="2:14" hidden="1" x14ac:dyDescent="0.25">
      <c r="B214" s="13">
        <v>43595</v>
      </c>
      <c r="C214" s="13">
        <v>43590</v>
      </c>
      <c r="D214" s="13">
        <v>43595</v>
      </c>
      <c r="E214" t="s">
        <v>38</v>
      </c>
      <c r="F214" t="s">
        <v>45</v>
      </c>
      <c r="G214" t="s">
        <v>493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50">
        <f>IF(TbRegistroSaídas[[#This Row],[Data do Caixa Previsto]]="",0,MONTH(TbRegistroSaídas[[#This Row],[Data do Caixa Previsto]]))</f>
        <v>5</v>
      </c>
      <c r="N214" s="50">
        <f>IF(TbRegistroSaídas[[#This Row],[Data do Caixa Previsto]]="",0,YEAR(TbRegistroSaídas[[#This Row],[Data do Caixa Previsto]]))</f>
        <v>2019</v>
      </c>
    </row>
    <row r="215" spans="2:14" hidden="1" x14ac:dyDescent="0.25">
      <c r="B215" s="13">
        <v>43613</v>
      </c>
      <c r="C215" s="13">
        <v>43591</v>
      </c>
      <c r="D215" s="13">
        <v>43613</v>
      </c>
      <c r="E215" t="s">
        <v>38</v>
      </c>
      <c r="F215" t="s">
        <v>33</v>
      </c>
      <c r="G215" t="s">
        <v>494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50">
        <f>IF(TbRegistroSaídas[[#This Row],[Data do Caixa Previsto]]="",0,MONTH(TbRegistroSaídas[[#This Row],[Data do Caixa Previsto]]))</f>
        <v>5</v>
      </c>
      <c r="N215" s="50">
        <f>IF(TbRegistroSaídas[[#This Row],[Data do Caixa Previsto]]="",0,YEAR(TbRegistroSaídas[[#This Row],[Data do Caixa Previsto]]))</f>
        <v>2019</v>
      </c>
    </row>
    <row r="216" spans="2:14" hidden="1" x14ac:dyDescent="0.25">
      <c r="B216" s="13">
        <v>43623</v>
      </c>
      <c r="C216" s="13">
        <v>43592</v>
      </c>
      <c r="D216" s="13">
        <v>43623</v>
      </c>
      <c r="E216" t="s">
        <v>38</v>
      </c>
      <c r="F216" t="s">
        <v>33</v>
      </c>
      <c r="G216" t="s">
        <v>495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50">
        <f>IF(TbRegistroSaídas[[#This Row],[Data do Caixa Previsto]]="",0,MONTH(TbRegistroSaídas[[#This Row],[Data do Caixa Previsto]]))</f>
        <v>6</v>
      </c>
      <c r="N216" s="50">
        <f>IF(TbRegistroSaídas[[#This Row],[Data do Caixa Previsto]]="",0,YEAR(TbRegistroSaídas[[#This Row],[Data do Caixa Previsto]]))</f>
        <v>2019</v>
      </c>
    </row>
    <row r="217" spans="2:14" hidden="1" x14ac:dyDescent="0.25">
      <c r="B217" s="13">
        <v>43645</v>
      </c>
      <c r="C217" s="13">
        <v>43594</v>
      </c>
      <c r="D217" s="13">
        <v>43645</v>
      </c>
      <c r="E217" t="s">
        <v>38</v>
      </c>
      <c r="F217" t="s">
        <v>33</v>
      </c>
      <c r="G217" t="s">
        <v>496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50">
        <f>IF(TbRegistroSaídas[[#This Row],[Data do Caixa Previsto]]="",0,MONTH(TbRegistroSaídas[[#This Row],[Data do Caixa Previsto]]))</f>
        <v>6</v>
      </c>
      <c r="N217" s="50">
        <f>IF(TbRegistroSaídas[[#This Row],[Data do Caixa Previsto]]="",0,YEAR(TbRegistroSaídas[[#This Row],[Data do Caixa Previsto]]))</f>
        <v>2019</v>
      </c>
    </row>
    <row r="218" spans="2:14" hidden="1" x14ac:dyDescent="0.25">
      <c r="B218" s="13">
        <v>43614</v>
      </c>
      <c r="C218" s="13">
        <v>43595</v>
      </c>
      <c r="D218" s="13">
        <v>43614</v>
      </c>
      <c r="E218" t="s">
        <v>38</v>
      </c>
      <c r="F218" t="s">
        <v>33</v>
      </c>
      <c r="G218" t="s">
        <v>497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50">
        <f>IF(TbRegistroSaídas[[#This Row],[Data do Caixa Previsto]]="",0,MONTH(TbRegistroSaídas[[#This Row],[Data do Caixa Previsto]]))</f>
        <v>5</v>
      </c>
      <c r="N218" s="50">
        <f>IF(TbRegistroSaídas[[#This Row],[Data do Caixa Previsto]]="",0,YEAR(TbRegistroSaídas[[#This Row],[Data do Caixa Previsto]]))</f>
        <v>2019</v>
      </c>
    </row>
    <row r="219" spans="2:14" hidden="1" x14ac:dyDescent="0.25">
      <c r="B219" s="13">
        <v>43598</v>
      </c>
      <c r="C219" s="13">
        <v>43598</v>
      </c>
      <c r="D219" s="13">
        <v>43598</v>
      </c>
      <c r="E219" t="s">
        <v>38</v>
      </c>
      <c r="F219" t="s">
        <v>36</v>
      </c>
      <c r="G219" t="s">
        <v>498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50">
        <f>IF(TbRegistroSaídas[[#This Row],[Data do Caixa Previsto]]="",0,MONTH(TbRegistroSaídas[[#This Row],[Data do Caixa Previsto]]))</f>
        <v>5</v>
      </c>
      <c r="N219" s="50">
        <f>IF(TbRegistroSaídas[[#This Row],[Data do Caixa Previsto]]="",0,YEAR(TbRegistroSaídas[[#This Row],[Data do Caixa Previsto]]))</f>
        <v>2019</v>
      </c>
    </row>
    <row r="220" spans="2:14" hidden="1" x14ac:dyDescent="0.25">
      <c r="B220" s="13">
        <v>43601</v>
      </c>
      <c r="C220" s="13">
        <v>43601</v>
      </c>
      <c r="D220" s="13">
        <v>43601</v>
      </c>
      <c r="E220" t="s">
        <v>38</v>
      </c>
      <c r="F220" t="s">
        <v>45</v>
      </c>
      <c r="G220" t="s">
        <v>499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50">
        <f>IF(TbRegistroSaídas[[#This Row],[Data do Caixa Previsto]]="",0,MONTH(TbRegistroSaídas[[#This Row],[Data do Caixa Previsto]]))</f>
        <v>5</v>
      </c>
      <c r="N220" s="50">
        <f>IF(TbRegistroSaídas[[#This Row],[Data do Caixa Previsto]]="",0,YEAR(TbRegistroSaídas[[#This Row],[Data do Caixa Previsto]]))</f>
        <v>2019</v>
      </c>
    </row>
    <row r="221" spans="2:14" hidden="1" x14ac:dyDescent="0.25">
      <c r="B221" s="13">
        <v>43604</v>
      </c>
      <c r="C221" s="13">
        <v>43604</v>
      </c>
      <c r="D221" s="13">
        <v>43604</v>
      </c>
      <c r="E221" t="s">
        <v>38</v>
      </c>
      <c r="F221" t="s">
        <v>36</v>
      </c>
      <c r="G221" t="s">
        <v>500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50">
        <f>IF(TbRegistroSaídas[[#This Row],[Data do Caixa Previsto]]="",0,MONTH(TbRegistroSaídas[[#This Row],[Data do Caixa Previsto]]))</f>
        <v>5</v>
      </c>
      <c r="N221" s="50">
        <f>IF(TbRegistroSaídas[[#This Row],[Data do Caixa Previsto]]="",0,YEAR(TbRegistroSaídas[[#This Row],[Data do Caixa Previsto]]))</f>
        <v>2019</v>
      </c>
    </row>
    <row r="222" spans="2:14" hidden="1" x14ac:dyDescent="0.25">
      <c r="B222" s="13">
        <v>43626</v>
      </c>
      <c r="C222" s="13">
        <v>43607</v>
      </c>
      <c r="D222" s="13">
        <v>43626</v>
      </c>
      <c r="E222" t="s">
        <v>38</v>
      </c>
      <c r="F222" t="s">
        <v>45</v>
      </c>
      <c r="G222" t="s">
        <v>501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50">
        <f>IF(TbRegistroSaídas[[#This Row],[Data do Caixa Previsto]]="",0,MONTH(TbRegistroSaídas[[#This Row],[Data do Caixa Previsto]]))</f>
        <v>6</v>
      </c>
      <c r="N222" s="50">
        <f>IF(TbRegistroSaídas[[#This Row],[Data do Caixa Previsto]]="",0,YEAR(TbRegistroSaídas[[#This Row],[Data do Caixa Previsto]]))</f>
        <v>2019</v>
      </c>
    </row>
    <row r="223" spans="2:14" hidden="1" x14ac:dyDescent="0.25">
      <c r="B223" s="13">
        <v>43610</v>
      </c>
      <c r="C223" s="13">
        <v>43610</v>
      </c>
      <c r="D223" s="13">
        <v>43610</v>
      </c>
      <c r="E223" t="s">
        <v>38</v>
      </c>
      <c r="F223" t="s">
        <v>32</v>
      </c>
      <c r="G223" t="s">
        <v>502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50">
        <f>IF(TbRegistroSaídas[[#This Row],[Data do Caixa Previsto]]="",0,MONTH(TbRegistroSaídas[[#This Row],[Data do Caixa Previsto]]))</f>
        <v>5</v>
      </c>
      <c r="N223" s="50">
        <f>IF(TbRegistroSaídas[[#This Row],[Data do Caixa Previsto]]="",0,YEAR(TbRegistroSaídas[[#This Row],[Data do Caixa Previsto]]))</f>
        <v>2019</v>
      </c>
    </row>
    <row r="224" spans="2:14" hidden="1" x14ac:dyDescent="0.25">
      <c r="B224" s="13" t="s">
        <v>69</v>
      </c>
      <c r="C224" s="13">
        <v>43614</v>
      </c>
      <c r="D224" s="13">
        <v>43645</v>
      </c>
      <c r="E224" t="s">
        <v>38</v>
      </c>
      <c r="F224" t="s">
        <v>45</v>
      </c>
      <c r="G224" t="s">
        <v>346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50">
        <f>IF(TbRegistroSaídas[[#This Row],[Data do Caixa Previsto]]="",0,MONTH(TbRegistroSaídas[[#This Row],[Data do Caixa Previsto]]))</f>
        <v>6</v>
      </c>
      <c r="N224" s="50">
        <f>IF(TbRegistroSaídas[[#This Row],[Data do Caixa Previsto]]="",0,YEAR(TbRegistroSaídas[[#This Row],[Data do Caixa Previsto]]))</f>
        <v>2019</v>
      </c>
    </row>
    <row r="225" spans="2:14" hidden="1" x14ac:dyDescent="0.25">
      <c r="B225" s="13">
        <v>43628</v>
      </c>
      <c r="C225" s="13">
        <v>43619</v>
      </c>
      <c r="D225" s="13">
        <v>43628</v>
      </c>
      <c r="E225" t="s">
        <v>38</v>
      </c>
      <c r="F225" t="s">
        <v>33</v>
      </c>
      <c r="G225" t="s">
        <v>503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50">
        <f>IF(TbRegistroSaídas[[#This Row],[Data do Caixa Previsto]]="",0,MONTH(TbRegistroSaídas[[#This Row],[Data do Caixa Previsto]]))</f>
        <v>6</v>
      </c>
      <c r="N225" s="50">
        <f>IF(TbRegistroSaídas[[#This Row],[Data do Caixa Previsto]]="",0,YEAR(TbRegistroSaídas[[#This Row],[Data do Caixa Previsto]]))</f>
        <v>2019</v>
      </c>
    </row>
    <row r="226" spans="2:14" hidden="1" x14ac:dyDescent="0.25">
      <c r="B226" s="13">
        <v>43639</v>
      </c>
      <c r="C226" s="13">
        <v>43623</v>
      </c>
      <c r="D226" s="13">
        <v>43639</v>
      </c>
      <c r="E226" t="s">
        <v>38</v>
      </c>
      <c r="F226" t="s">
        <v>36</v>
      </c>
      <c r="G226" t="s">
        <v>504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50">
        <f>IF(TbRegistroSaídas[[#This Row],[Data do Caixa Previsto]]="",0,MONTH(TbRegistroSaídas[[#This Row],[Data do Caixa Previsto]]))</f>
        <v>6</v>
      </c>
      <c r="N226" s="50">
        <f>IF(TbRegistroSaídas[[#This Row],[Data do Caixa Previsto]]="",0,YEAR(TbRegistroSaídas[[#This Row],[Data do Caixa Previsto]]))</f>
        <v>2019</v>
      </c>
    </row>
    <row r="227" spans="2:14" hidden="1" x14ac:dyDescent="0.25">
      <c r="B227" s="13">
        <v>43625</v>
      </c>
      <c r="C227" s="13">
        <v>43625</v>
      </c>
      <c r="D227" s="13">
        <v>43625</v>
      </c>
      <c r="E227" t="s">
        <v>38</v>
      </c>
      <c r="F227" t="s">
        <v>45</v>
      </c>
      <c r="G227" t="s">
        <v>505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50">
        <f>IF(TbRegistroSaídas[[#This Row],[Data do Caixa Previsto]]="",0,MONTH(TbRegistroSaídas[[#This Row],[Data do Caixa Previsto]]))</f>
        <v>6</v>
      </c>
      <c r="N227" s="50">
        <f>IF(TbRegistroSaídas[[#This Row],[Data do Caixa Previsto]]="",0,YEAR(TbRegistroSaídas[[#This Row],[Data do Caixa Previsto]]))</f>
        <v>2019</v>
      </c>
    </row>
    <row r="228" spans="2:14" hidden="1" x14ac:dyDescent="0.25">
      <c r="B228" s="13">
        <v>43664</v>
      </c>
      <c r="C228" s="13">
        <v>43632</v>
      </c>
      <c r="D228" s="13">
        <v>43664</v>
      </c>
      <c r="E228" t="s">
        <v>38</v>
      </c>
      <c r="F228" t="s">
        <v>36</v>
      </c>
      <c r="G228" t="s">
        <v>506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50">
        <f>IF(TbRegistroSaídas[[#This Row],[Data do Caixa Previsto]]="",0,MONTH(TbRegistroSaídas[[#This Row],[Data do Caixa Previsto]]))</f>
        <v>7</v>
      </c>
      <c r="N228" s="50">
        <f>IF(TbRegistroSaídas[[#This Row],[Data do Caixa Previsto]]="",0,YEAR(TbRegistroSaídas[[#This Row],[Data do Caixa Previsto]]))</f>
        <v>2019</v>
      </c>
    </row>
    <row r="229" spans="2:14" hidden="1" x14ac:dyDescent="0.25">
      <c r="B229" s="13" t="s">
        <v>69</v>
      </c>
      <c r="C229" s="13">
        <v>43635</v>
      </c>
      <c r="D229" s="13">
        <v>43686</v>
      </c>
      <c r="E229" t="s">
        <v>38</v>
      </c>
      <c r="F229" t="s">
        <v>36</v>
      </c>
      <c r="G229" t="s">
        <v>507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50">
        <f>IF(TbRegistroSaídas[[#This Row],[Data do Caixa Previsto]]="",0,MONTH(TbRegistroSaídas[[#This Row],[Data do Caixa Previsto]]))</f>
        <v>8</v>
      </c>
      <c r="N229" s="50">
        <f>IF(TbRegistroSaídas[[#This Row],[Data do Caixa Previsto]]="",0,YEAR(TbRegistroSaídas[[#This Row],[Data do Caixa Previsto]]))</f>
        <v>2019</v>
      </c>
    </row>
    <row r="230" spans="2:14" hidden="1" x14ac:dyDescent="0.25">
      <c r="B230" s="13">
        <v>43637</v>
      </c>
      <c r="C230" s="13">
        <v>43637</v>
      </c>
      <c r="D230" s="13">
        <v>43637</v>
      </c>
      <c r="E230" t="s">
        <v>38</v>
      </c>
      <c r="F230" t="s">
        <v>36</v>
      </c>
      <c r="G230" t="s">
        <v>508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50">
        <f>IF(TbRegistroSaídas[[#This Row],[Data do Caixa Previsto]]="",0,MONTH(TbRegistroSaídas[[#This Row],[Data do Caixa Previsto]]))</f>
        <v>6</v>
      </c>
      <c r="N230" s="50">
        <f>IF(TbRegistroSaídas[[#This Row],[Data do Caixa Previsto]]="",0,YEAR(TbRegistroSaídas[[#This Row],[Data do Caixa Previsto]]))</f>
        <v>2019</v>
      </c>
    </row>
    <row r="231" spans="2:14" hidden="1" x14ac:dyDescent="0.25">
      <c r="B231" s="13">
        <v>43639</v>
      </c>
      <c r="C231" s="13">
        <v>43639</v>
      </c>
      <c r="D231" s="13">
        <v>43639</v>
      </c>
      <c r="E231" t="s">
        <v>38</v>
      </c>
      <c r="F231" t="s">
        <v>36</v>
      </c>
      <c r="G231" t="s">
        <v>509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50">
        <f>IF(TbRegistroSaídas[[#This Row],[Data do Caixa Previsto]]="",0,MONTH(TbRegistroSaídas[[#This Row],[Data do Caixa Previsto]]))</f>
        <v>6</v>
      </c>
      <c r="N231" s="50">
        <f>IF(TbRegistroSaídas[[#This Row],[Data do Caixa Previsto]]="",0,YEAR(TbRegistroSaídas[[#This Row],[Data do Caixa Previsto]]))</f>
        <v>2019</v>
      </c>
    </row>
    <row r="232" spans="2:14" hidden="1" x14ac:dyDescent="0.25">
      <c r="B232" s="13">
        <v>43653</v>
      </c>
      <c r="C232" s="13">
        <v>43646</v>
      </c>
      <c r="D232" s="13">
        <v>43653</v>
      </c>
      <c r="E232" t="s">
        <v>38</v>
      </c>
      <c r="F232" t="s">
        <v>45</v>
      </c>
      <c r="G232" t="s">
        <v>510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50">
        <f>IF(TbRegistroSaídas[[#This Row],[Data do Caixa Previsto]]="",0,MONTH(TbRegistroSaídas[[#This Row],[Data do Caixa Previsto]]))</f>
        <v>7</v>
      </c>
      <c r="N232" s="50">
        <f>IF(TbRegistroSaídas[[#This Row],[Data do Caixa Previsto]]="",0,YEAR(TbRegistroSaídas[[#This Row],[Data do Caixa Previsto]]))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topLeftCell="A11" zoomScaleNormal="100" workbookViewId="0">
      <selection activeCell="G29" sqref="G29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46" t="s">
        <v>13</v>
      </c>
      <c r="K1" s="46"/>
      <c r="L1" s="46"/>
      <c r="M1" s="46"/>
      <c r="N1" s="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511</v>
      </c>
      <c r="C3" s="24">
        <v>2018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512</v>
      </c>
    </row>
    <row r="7" spans="2:14" ht="20.100000000000001" customHeight="1" x14ac:dyDescent="0.25">
      <c r="B7" s="29" t="s">
        <v>513</v>
      </c>
      <c r="C7" s="27" t="s">
        <v>516</v>
      </c>
      <c r="D7" s="27" t="s">
        <v>517</v>
      </c>
      <c r="E7" s="27" t="s">
        <v>518</v>
      </c>
      <c r="F7" s="27" t="s">
        <v>519</v>
      </c>
      <c r="G7" s="27" t="s">
        <v>520</v>
      </c>
      <c r="H7" s="27" t="s">
        <v>521</v>
      </c>
      <c r="I7" s="27" t="s">
        <v>522</v>
      </c>
      <c r="J7" s="27" t="s">
        <v>523</v>
      </c>
      <c r="K7" s="27" t="s">
        <v>524</v>
      </c>
      <c r="L7" s="27" t="s">
        <v>525</v>
      </c>
      <c r="M7" s="27" t="s">
        <v>526</v>
      </c>
      <c r="N7" s="28" t="s">
        <v>527</v>
      </c>
    </row>
    <row r="8" spans="2:14" ht="20.100000000000001" customHeight="1" x14ac:dyDescent="0.25">
      <c r="B8" s="31" t="s">
        <v>529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-1041</v>
      </c>
      <c r="D8" s="35">
        <f>C11</f>
        <v>966</v>
      </c>
      <c r="E8" s="35">
        <f t="shared" ref="E8:N8" si="0">D11</f>
        <v>5553</v>
      </c>
      <c r="F8" s="35">
        <f t="shared" si="0"/>
        <v>-7</v>
      </c>
      <c r="G8" s="35">
        <f t="shared" si="0"/>
        <v>1894</v>
      </c>
      <c r="H8" s="35">
        <f t="shared" si="0"/>
        <v>22181</v>
      </c>
      <c r="I8" s="35">
        <f t="shared" si="0"/>
        <v>30931</v>
      </c>
      <c r="J8" s="35">
        <f t="shared" si="0"/>
        <v>22856</v>
      </c>
      <c r="K8" s="35">
        <f t="shared" si="0"/>
        <v>38235</v>
      </c>
      <c r="L8" s="35">
        <f t="shared" si="0"/>
        <v>44941</v>
      </c>
      <c r="M8" s="35">
        <f t="shared" si="0"/>
        <v>39552</v>
      </c>
      <c r="N8" s="36">
        <f t="shared" si="0"/>
        <v>58456</v>
      </c>
    </row>
    <row r="9" spans="2:14" ht="20.100000000000001" customHeight="1" x14ac:dyDescent="0.25">
      <c r="B9" s="31" t="s">
        <v>528</v>
      </c>
      <c r="C9" s="35">
        <f>SUMIFS(TbRegistroEntradas[Valor],TbRegistroEntradas[Mês Caixa],C5,TbRegistroEntradas[Ano Caixa],$C$3)</f>
        <v>33220</v>
      </c>
      <c r="D9" s="35">
        <f>SUMIFS(TbRegistroEntradas[Valor],TbRegistroEntradas[Mês Caixa],D5,TbRegistroEntradas[Ano Caixa],$C$3)</f>
        <v>27618</v>
      </c>
      <c r="E9" s="35">
        <f>SUMIFS(TbRegistroEntradas[Valor],TbRegistroEntradas[Mês Caixa],E5,TbRegistroEntradas[Ano Caixa],$C$3)</f>
        <v>21553</v>
      </c>
      <c r="F9" s="35">
        <f>SUMIFS(TbRegistroEntradas[Valor],TbRegistroEntradas[Mês Caixa],F5,TbRegistroEntradas[Ano Caixa],$C$3)</f>
        <v>25910</v>
      </c>
      <c r="G9" s="35">
        <f>SUMIFS(TbRegistroEntradas[Valor],TbRegistroEntradas[Mês Caixa],G5,TbRegistroEntradas[Ano Caixa],$C$3)</f>
        <v>23254</v>
      </c>
      <c r="H9" s="35">
        <f>SUMIFS(TbRegistroEntradas[Valor],TbRegistroEntradas[Mês Caixa],H5,TbRegistroEntradas[Ano Caixa],$C$3)</f>
        <v>29499</v>
      </c>
      <c r="I9" s="35">
        <f>SUMIFS(TbRegistroEntradas[Valor],TbRegistroEntradas[Mês Caixa],I5,TbRegistroEntradas[Ano Caixa],$C$3)</f>
        <v>21232</v>
      </c>
      <c r="J9" s="35">
        <f>SUMIFS(TbRegistroEntradas[Valor],TbRegistroEntradas[Mês Caixa],J5,TbRegistroEntradas[Ano Caixa],$C$3)</f>
        <v>31767</v>
      </c>
      <c r="K9" s="35">
        <f>SUMIFS(TbRegistroEntradas[Valor],TbRegistroEntradas[Mês Caixa],K5,TbRegistroEntradas[Ano Caixa],$C$3)</f>
        <v>24029</v>
      </c>
      <c r="L9" s="35">
        <f>SUMIFS(TbRegistroEntradas[Valor],TbRegistroEntradas[Mês Caixa],L5,TbRegistroEntradas[Ano Caixa],$C$3)</f>
        <v>21580</v>
      </c>
      <c r="M9" s="35">
        <f>SUMIFS(TbRegistroEntradas[Valor],TbRegistroEntradas[Mês Caixa],M5,TbRegistroEntradas[Ano Caixa],$C$3)</f>
        <v>38978</v>
      </c>
      <c r="N9" s="36">
        <f>SUMIFS(TbRegistroEntradas[Valor],TbRegistroEntradas[Mês Caixa],N5,TbRegistroEntradas[Ano Caixa],$C$3)</f>
        <v>15074</v>
      </c>
    </row>
    <row r="10" spans="2:14" ht="20.100000000000001" customHeight="1" x14ac:dyDescent="0.25">
      <c r="B10" s="31" t="s">
        <v>514</v>
      </c>
      <c r="C10" s="35">
        <f>SUMIFS(TbRegistroSaídas[Valor],TbRegistroSaídas[Mês Caixa],C5,TbRegistroSaídas[Ano Caixa],$C$3)</f>
        <v>31213</v>
      </c>
      <c r="D10" s="35">
        <f>SUMIFS(TbRegistroSaídas[Valor],TbRegistroSaídas[Mês Caixa],D5,TbRegistroSaídas[Ano Caixa],$C$3)</f>
        <v>23031</v>
      </c>
      <c r="E10" s="35">
        <f>SUMIFS(TbRegistroSaídas[Valor],TbRegistroSaídas[Mês Caixa],E5,TbRegistroSaídas[Ano Caixa],$C$3)</f>
        <v>27113</v>
      </c>
      <c r="F10" s="35">
        <f>SUMIFS(TbRegistroSaídas[Valor],TbRegistroSaídas[Mês Caixa],F5,TbRegistroSaídas[Ano Caixa],$C$3)</f>
        <v>24009</v>
      </c>
      <c r="G10" s="35">
        <f>SUMIFS(TbRegistroSaídas[Valor],TbRegistroSaídas[Mês Caixa],G5,TbRegistroSaídas[Ano Caixa],$C$3)</f>
        <v>2967</v>
      </c>
      <c r="H10" s="35">
        <f>SUMIFS(TbRegistroSaídas[Valor],TbRegistroSaídas[Mês Caixa],H5,TbRegistroSaídas[Ano Caixa],$C$3)</f>
        <v>20749</v>
      </c>
      <c r="I10" s="35">
        <f>SUMIFS(TbRegistroSaídas[Valor],TbRegistroSaídas[Mês Caixa],I5,TbRegistroSaídas[Ano Caixa],$C$3)</f>
        <v>29307</v>
      </c>
      <c r="J10" s="35">
        <f>SUMIFS(TbRegistroSaídas[Valor],TbRegistroSaídas[Mês Caixa],J5,TbRegistroSaídas[Ano Caixa],$C$3)</f>
        <v>16388</v>
      </c>
      <c r="K10" s="35">
        <f>SUMIFS(TbRegistroSaídas[Valor],TbRegistroSaídas[Mês Caixa],K5,TbRegistroSaídas[Ano Caixa],$C$3)</f>
        <v>17323</v>
      </c>
      <c r="L10" s="35">
        <f>SUMIFS(TbRegistroSaídas[Valor],TbRegistroSaídas[Mês Caixa],L5,TbRegistroSaídas[Ano Caixa],$C$3)</f>
        <v>26969</v>
      </c>
      <c r="M10" s="35">
        <f>SUMIFS(TbRegistroSaídas[Valor],TbRegistroSaídas[Mês Caixa],M5,TbRegistroSaídas[Ano Caixa],$C$3)</f>
        <v>20074</v>
      </c>
      <c r="N10" s="36">
        <f>SUMIFS(TbRegistroSaídas[Valor],TbRegistroSaídas[Mês Caixa],N5,TbRegistroSaídas[Ano Caixa],$C$3)</f>
        <v>18422</v>
      </c>
    </row>
    <row r="11" spans="2:14" ht="20.100000000000001" customHeight="1" x14ac:dyDescent="0.25">
      <c r="B11" s="34" t="s">
        <v>515</v>
      </c>
      <c r="C11" s="37">
        <f>C8+C9-C10</f>
        <v>966</v>
      </c>
      <c r="D11" s="37">
        <f t="shared" ref="D11:N11" si="1">D8+D9-D10</f>
        <v>5553</v>
      </c>
      <c r="E11" s="37">
        <f t="shared" si="1"/>
        <v>-7</v>
      </c>
      <c r="F11" s="37">
        <f t="shared" si="1"/>
        <v>1894</v>
      </c>
      <c r="G11" s="37">
        <f t="shared" si="1"/>
        <v>22181</v>
      </c>
      <c r="H11" s="37">
        <f t="shared" si="1"/>
        <v>30931</v>
      </c>
      <c r="I11" s="37">
        <f t="shared" si="1"/>
        <v>22856</v>
      </c>
      <c r="J11" s="37">
        <f t="shared" si="1"/>
        <v>38235</v>
      </c>
      <c r="K11" s="37">
        <f t="shared" si="1"/>
        <v>44941</v>
      </c>
      <c r="L11" s="37">
        <f t="shared" si="1"/>
        <v>39552</v>
      </c>
      <c r="M11" s="37">
        <f t="shared" si="1"/>
        <v>58456</v>
      </c>
      <c r="N11" s="38">
        <f t="shared" si="1"/>
        <v>55108</v>
      </c>
    </row>
    <row r="12" spans="2:14" ht="20.100000000000001" customHeight="1" x14ac:dyDescent="0.25"/>
    <row r="13" spans="2:14" ht="20.100000000000001" customHeight="1" x14ac:dyDescent="0.25">
      <c r="B13" s="30" t="s">
        <v>530</v>
      </c>
    </row>
    <row r="14" spans="2:14" ht="20.100000000000001" customHeight="1" x14ac:dyDescent="0.25">
      <c r="B14" s="29" t="s">
        <v>513</v>
      </c>
      <c r="C14" s="27" t="s">
        <v>516</v>
      </c>
      <c r="D14" s="27" t="s">
        <v>517</v>
      </c>
      <c r="E14" s="27" t="s">
        <v>518</v>
      </c>
      <c r="F14" s="27" t="s">
        <v>519</v>
      </c>
      <c r="G14" s="27" t="s">
        <v>520</v>
      </c>
      <c r="H14" s="27" t="s">
        <v>521</v>
      </c>
      <c r="I14" s="27" t="s">
        <v>522</v>
      </c>
      <c r="J14" s="27" t="s">
        <v>523</v>
      </c>
      <c r="K14" s="27" t="s">
        <v>524</v>
      </c>
      <c r="L14" s="27" t="s">
        <v>525</v>
      </c>
      <c r="M14" s="27" t="s">
        <v>526</v>
      </c>
      <c r="N14" s="28" t="s">
        <v>527</v>
      </c>
    </row>
    <row r="15" spans="2:14" ht="20.100000000000001" customHeight="1" x14ac:dyDescent="0.25">
      <c r="B15" s="31" t="s">
        <v>529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23943</v>
      </c>
      <c r="D15" s="35">
        <f>C18</f>
        <v>2752</v>
      </c>
      <c r="E15" s="35">
        <f t="shared" ref="E15:N15" si="2">D18</f>
        <v>1935</v>
      </c>
      <c r="F15" s="35">
        <f t="shared" si="2"/>
        <v>15266</v>
      </c>
      <c r="G15" s="35">
        <f t="shared" si="2"/>
        <v>30813</v>
      </c>
      <c r="H15" s="35">
        <f t="shared" si="2"/>
        <v>25040</v>
      </c>
      <c r="I15" s="35">
        <f t="shared" si="2"/>
        <v>28824</v>
      </c>
      <c r="J15" s="35">
        <f t="shared" si="2"/>
        <v>28057</v>
      </c>
      <c r="K15" s="35">
        <f t="shared" si="2"/>
        <v>28632</v>
      </c>
      <c r="L15" s="35">
        <f t="shared" si="2"/>
        <v>34708</v>
      </c>
      <c r="M15" s="35">
        <f t="shared" si="2"/>
        <v>35415</v>
      </c>
      <c r="N15" s="36">
        <f t="shared" si="2"/>
        <v>43688</v>
      </c>
    </row>
    <row r="16" spans="2:14" ht="20.100000000000001" customHeight="1" x14ac:dyDescent="0.25">
      <c r="B16" s="31" t="s">
        <v>528</v>
      </c>
      <c r="C16" s="35">
        <f>SUMIFS(TbRegistroEntradas[Valor],TbRegistroEntradas[Mês Competência],C5,TbRegistroEntradas[Ano Competência],$C$3)</f>
        <v>20582</v>
      </c>
      <c r="D16" s="35">
        <f>SUMIFS(TbRegistroEntradas[Valor],TbRegistroEntradas[Mês Competência],D5,TbRegistroEntradas[Ano Competência],$C$3)</f>
        <v>24761</v>
      </c>
      <c r="E16" s="35">
        <f>SUMIFS(TbRegistroEntradas[Valor],TbRegistroEntradas[Mês Competência],E5,TbRegistroEntradas[Ano Competência],$C$3)</f>
        <v>37458</v>
      </c>
      <c r="F16" s="35">
        <f>SUMIFS(TbRegistroEntradas[Valor],TbRegistroEntradas[Mês Competência],F5,TbRegistroEntradas[Ano Competência],$C$3)</f>
        <v>30226</v>
      </c>
      <c r="G16" s="35">
        <f>SUMIFS(TbRegistroEntradas[Valor],TbRegistroEntradas[Mês Competência],G5,TbRegistroEntradas[Ano Competência],$C$3)</f>
        <v>19009</v>
      </c>
      <c r="H16" s="35">
        <f>SUMIFS(TbRegistroEntradas[Valor],TbRegistroEntradas[Mês Competência],H5,TbRegistroEntradas[Ano Competência],$C$3)</f>
        <v>28711</v>
      </c>
      <c r="I16" s="35">
        <f>SUMIFS(TbRegistroEntradas[Valor],TbRegistroEntradas[Mês Competência],I5,TbRegistroEntradas[Ano Competência],$C$3)</f>
        <v>33298</v>
      </c>
      <c r="J16" s="35">
        <f>SUMIFS(TbRegistroEntradas[Valor],TbRegistroEntradas[Mês Competência],J5,TbRegistroEntradas[Ano Competência],$C$3)</f>
        <v>22302</v>
      </c>
      <c r="K16" s="35">
        <f>SUMIFS(TbRegistroEntradas[Valor],TbRegistroEntradas[Mês Competência],K5,TbRegistroEntradas[Ano Competência],$C$3)</f>
        <v>26024</v>
      </c>
      <c r="L16" s="35">
        <f>SUMIFS(TbRegistroEntradas[Valor],TbRegistroEntradas[Mês Competência],L5,TbRegistroEntradas[Ano Competência],$C$3)</f>
        <v>29400</v>
      </c>
      <c r="M16" s="35">
        <f>SUMIFS(TbRegistroEntradas[Valor],TbRegistroEntradas[Mês Competência],M5,TbRegistroEntradas[Ano Competência],$C$3)</f>
        <v>30897</v>
      </c>
      <c r="N16" s="35">
        <f>SUMIFS(TbRegistroEntradas[Valor],TbRegistroEntradas[Mês Competência],N5,TbRegistroEntradas[Ano Competência],$C$3)</f>
        <v>17906</v>
      </c>
    </row>
    <row r="17" spans="2:14" ht="20.100000000000001" customHeight="1" x14ac:dyDescent="0.25">
      <c r="B17" s="31" t="s">
        <v>514</v>
      </c>
      <c r="C17" s="35">
        <f>SUMIFS(TbRegistroSaídas[Valor],TbRegistroSaídas[Mês Competência],C5,TbRegistroSaídas[Ano Competência],$C$3)</f>
        <v>41773</v>
      </c>
      <c r="D17" s="35">
        <f>SUMIFS(TbRegistroSaídas[Valor],TbRegistroSaídas[Mês Competência],D5,TbRegistroSaídas[Ano Competência],$C$3)</f>
        <v>25578</v>
      </c>
      <c r="E17" s="35">
        <f>SUMIFS(TbRegistroSaídas[Valor],TbRegistroSaídas[Mês Competência],E5,TbRegistroSaídas[Ano Competência],$C$3)</f>
        <v>24127</v>
      </c>
      <c r="F17" s="35">
        <f>SUMIFS(TbRegistroSaídas[Valor],TbRegistroSaídas[Mês Competência],F5,TbRegistroSaídas[Ano Competência],$C$3)</f>
        <v>14679</v>
      </c>
      <c r="G17" s="35">
        <f>SUMIFS(TbRegistroSaídas[Valor],TbRegistroSaídas[Mês Competência],G5,TbRegistroSaídas[Ano Competência],$C$3)</f>
        <v>24782</v>
      </c>
      <c r="H17" s="35">
        <f>SUMIFS(TbRegistroSaídas[Valor],TbRegistroSaídas[Mês Competência],H5,TbRegistroSaídas[Ano Competência],$C$3)</f>
        <v>24927</v>
      </c>
      <c r="I17" s="35">
        <f>SUMIFS(TbRegistroSaídas[Valor],TbRegistroSaídas[Mês Competência],I5,TbRegistroSaídas[Ano Competência],$C$3)</f>
        <v>34065</v>
      </c>
      <c r="J17" s="35">
        <f>SUMIFS(TbRegistroSaídas[Valor],TbRegistroSaídas[Mês Competência],J5,TbRegistroSaídas[Ano Competência],$C$3)</f>
        <v>21727</v>
      </c>
      <c r="K17" s="35">
        <f>SUMIFS(TbRegistroSaídas[Valor],TbRegistroSaídas[Mês Competência],K5,TbRegistroSaídas[Ano Competência],$C$3)</f>
        <v>19948</v>
      </c>
      <c r="L17" s="35">
        <f>SUMIFS(TbRegistroSaídas[Valor],TbRegistroSaídas[Mês Competência],L5,TbRegistroSaídas[Ano Competência],$C$3)</f>
        <v>28693</v>
      </c>
      <c r="M17" s="35">
        <f>SUMIFS(TbRegistroSaídas[Valor],TbRegistroSaídas[Mês Competência],M5,TbRegistroSaídas[Ano Competência],$C$3)</f>
        <v>22624</v>
      </c>
      <c r="N17" s="36">
        <f>SUMIFS(TbRegistroSaídas[Valor],TbRegistroSaídas[Mês Competência],N5,TbRegistroSaídas[Ano Competência],$C$3)</f>
        <v>19227</v>
      </c>
    </row>
    <row r="18" spans="2:14" ht="20.100000000000001" customHeight="1" x14ac:dyDescent="0.25">
      <c r="B18" s="34" t="s">
        <v>515</v>
      </c>
      <c r="C18" s="37">
        <f>C15+C16-C17</f>
        <v>2752</v>
      </c>
      <c r="D18" s="37">
        <f t="shared" ref="D18:N18" si="3">D15+D16-D17</f>
        <v>1935</v>
      </c>
      <c r="E18" s="37">
        <f t="shared" si="3"/>
        <v>15266</v>
      </c>
      <c r="F18" s="37">
        <f t="shared" si="3"/>
        <v>30813</v>
      </c>
      <c r="G18" s="37">
        <f t="shared" si="3"/>
        <v>25040</v>
      </c>
      <c r="H18" s="37">
        <f t="shared" si="3"/>
        <v>28824</v>
      </c>
      <c r="I18" s="37">
        <f t="shared" si="3"/>
        <v>28057</v>
      </c>
      <c r="J18" s="37">
        <f t="shared" si="3"/>
        <v>28632</v>
      </c>
      <c r="K18" s="37">
        <f t="shared" si="3"/>
        <v>34708</v>
      </c>
      <c r="L18" s="37">
        <f t="shared" si="3"/>
        <v>35415</v>
      </c>
      <c r="M18" s="37">
        <f t="shared" si="3"/>
        <v>43688</v>
      </c>
      <c r="N18" s="38">
        <f t="shared" si="3"/>
        <v>42367</v>
      </c>
    </row>
    <row r="19" spans="2:14" ht="20.100000000000001" customHeight="1" x14ac:dyDescent="0.25"/>
    <row r="20" spans="2:14" ht="20.100000000000001" customHeight="1" x14ac:dyDescent="0.25">
      <c r="B20" s="30" t="s">
        <v>531</v>
      </c>
    </row>
    <row r="21" spans="2:14" ht="20.100000000000001" customHeight="1" x14ac:dyDescent="0.25">
      <c r="B21" s="29" t="s">
        <v>513</v>
      </c>
      <c r="C21" s="27" t="s">
        <v>516</v>
      </c>
      <c r="D21" s="27" t="s">
        <v>517</v>
      </c>
      <c r="E21" s="27" t="s">
        <v>518</v>
      </c>
      <c r="F21" s="27" t="s">
        <v>519</v>
      </c>
      <c r="G21" s="27" t="s">
        <v>520</v>
      </c>
      <c r="H21" s="27" t="s">
        <v>521</v>
      </c>
      <c r="I21" s="27" t="s">
        <v>522</v>
      </c>
      <c r="J21" s="27" t="s">
        <v>523</v>
      </c>
      <c r="K21" s="27" t="s">
        <v>524</v>
      </c>
      <c r="L21" s="27" t="s">
        <v>525</v>
      </c>
      <c r="M21" s="27" t="s">
        <v>526</v>
      </c>
      <c r="N21" s="28" t="s">
        <v>527</v>
      </c>
    </row>
    <row r="22" spans="2:14" ht="20.100000000000001" customHeight="1" x14ac:dyDescent="0.25">
      <c r="B22" s="31" t="s">
        <v>532</v>
      </c>
      <c r="C22" s="35">
        <f>C16</f>
        <v>20582</v>
      </c>
      <c r="D22" s="35">
        <f t="shared" ref="D22:N22" si="4">D16</f>
        <v>24761</v>
      </c>
      <c r="E22" s="35">
        <f t="shared" si="4"/>
        <v>37458</v>
      </c>
      <c r="F22" s="35">
        <f t="shared" si="4"/>
        <v>30226</v>
      </c>
      <c r="G22" s="35">
        <f t="shared" si="4"/>
        <v>19009</v>
      </c>
      <c r="H22" s="35">
        <f t="shared" si="4"/>
        <v>28711</v>
      </c>
      <c r="I22" s="35">
        <f t="shared" si="4"/>
        <v>33298</v>
      </c>
      <c r="J22" s="35">
        <f t="shared" si="4"/>
        <v>22302</v>
      </c>
      <c r="K22" s="35">
        <f t="shared" si="4"/>
        <v>26024</v>
      </c>
      <c r="L22" s="35">
        <f t="shared" si="4"/>
        <v>29400</v>
      </c>
      <c r="M22" s="35">
        <f t="shared" si="4"/>
        <v>30897</v>
      </c>
      <c r="N22" s="36">
        <f t="shared" si="4"/>
        <v>17906</v>
      </c>
    </row>
    <row r="23" spans="2:14" ht="20.100000000000001" customHeight="1" x14ac:dyDescent="0.25">
      <c r="B23" s="31" t="s">
        <v>533</v>
      </c>
      <c r="C23" s="35">
        <f>C17</f>
        <v>41773</v>
      </c>
      <c r="D23" s="35">
        <f t="shared" ref="D23:N23" si="5">D17</f>
        <v>25578</v>
      </c>
      <c r="E23" s="35">
        <f t="shared" si="5"/>
        <v>24127</v>
      </c>
      <c r="F23" s="35">
        <f t="shared" si="5"/>
        <v>14679</v>
      </c>
      <c r="G23" s="35">
        <f t="shared" si="5"/>
        <v>24782</v>
      </c>
      <c r="H23" s="35">
        <f t="shared" si="5"/>
        <v>24927</v>
      </c>
      <c r="I23" s="35">
        <f t="shared" si="5"/>
        <v>34065</v>
      </c>
      <c r="J23" s="35">
        <f t="shared" si="5"/>
        <v>21727</v>
      </c>
      <c r="K23" s="35">
        <f t="shared" si="5"/>
        <v>19948</v>
      </c>
      <c r="L23" s="35">
        <f t="shared" si="5"/>
        <v>28693</v>
      </c>
      <c r="M23" s="35">
        <f t="shared" si="5"/>
        <v>22624</v>
      </c>
      <c r="N23" s="36">
        <f t="shared" si="5"/>
        <v>19227</v>
      </c>
    </row>
    <row r="24" spans="2:14" ht="20.100000000000001" customHeight="1" x14ac:dyDescent="0.25">
      <c r="B24" s="32" t="s">
        <v>534</v>
      </c>
      <c r="C24" s="39">
        <f>IF(C22-C23&gt;0,C22-C23,0)</f>
        <v>0</v>
      </c>
      <c r="D24" s="39">
        <f t="shared" ref="D24:N24" si="6">IF(D22-D23&gt;0,D22-D23,0)</f>
        <v>0</v>
      </c>
      <c r="E24" s="39">
        <f t="shared" si="6"/>
        <v>13331</v>
      </c>
      <c r="F24" s="39">
        <f t="shared" si="6"/>
        <v>15547</v>
      </c>
      <c r="G24" s="39">
        <f t="shared" si="6"/>
        <v>0</v>
      </c>
      <c r="H24" s="39">
        <f t="shared" si="6"/>
        <v>3784</v>
      </c>
      <c r="I24" s="39">
        <f t="shared" si="6"/>
        <v>0</v>
      </c>
      <c r="J24" s="39">
        <f t="shared" si="6"/>
        <v>575</v>
      </c>
      <c r="K24" s="39">
        <f t="shared" si="6"/>
        <v>6076</v>
      </c>
      <c r="L24" s="39">
        <f t="shared" si="6"/>
        <v>707</v>
      </c>
      <c r="M24" s="39">
        <f t="shared" si="6"/>
        <v>8273</v>
      </c>
      <c r="N24" s="40">
        <f t="shared" si="6"/>
        <v>0</v>
      </c>
    </row>
    <row r="25" spans="2:14" ht="20.100000000000001" customHeight="1" x14ac:dyDescent="0.25">
      <c r="B25" s="33" t="s">
        <v>535</v>
      </c>
      <c r="C25" s="41">
        <f>IF(C22-C23&lt;0,C22-C23,0)</f>
        <v>-21191</v>
      </c>
      <c r="D25" s="41">
        <f t="shared" ref="D25:N25" si="7">IF(D22-D23&lt;0,D22-D23,0)</f>
        <v>-817</v>
      </c>
      <c r="E25" s="41">
        <f t="shared" si="7"/>
        <v>0</v>
      </c>
      <c r="F25" s="41">
        <f t="shared" si="7"/>
        <v>0</v>
      </c>
      <c r="G25" s="41">
        <f t="shared" si="7"/>
        <v>-5773</v>
      </c>
      <c r="H25" s="41">
        <f t="shared" si="7"/>
        <v>0</v>
      </c>
      <c r="I25" s="41">
        <f t="shared" si="7"/>
        <v>-767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-1321</v>
      </c>
    </row>
    <row r="26" spans="2:14" ht="20.100000000000001" customHeight="1" x14ac:dyDescent="0.25">
      <c r="B26" s="33" t="s">
        <v>536</v>
      </c>
      <c r="C26" s="41">
        <f>C22-C23</f>
        <v>-21191</v>
      </c>
      <c r="D26" s="41">
        <f>C26+(D22-D23)</f>
        <v>-22008</v>
      </c>
      <c r="E26" s="41">
        <f t="shared" ref="E26:N26" si="8">D26+(E22-E23)</f>
        <v>-8677</v>
      </c>
      <c r="F26" s="41">
        <f t="shared" si="8"/>
        <v>6870</v>
      </c>
      <c r="G26" s="41">
        <f t="shared" si="8"/>
        <v>1097</v>
      </c>
      <c r="H26" s="41">
        <f t="shared" si="8"/>
        <v>4881</v>
      </c>
      <c r="I26" s="41">
        <f t="shared" si="8"/>
        <v>4114</v>
      </c>
      <c r="J26" s="41">
        <f t="shared" si="8"/>
        <v>4689</v>
      </c>
      <c r="K26" s="41">
        <f t="shared" si="8"/>
        <v>10765</v>
      </c>
      <c r="L26" s="41">
        <f t="shared" si="8"/>
        <v>11472</v>
      </c>
      <c r="M26" s="41">
        <f t="shared" si="8"/>
        <v>19745</v>
      </c>
      <c r="N26" s="42">
        <f t="shared" si="8"/>
        <v>18424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>
      <selection activeCell="G5" sqref="G5"/>
    </sheetView>
  </sheetViews>
  <sheetFormatPr defaultColWidth="11.7109375" defaultRowHeight="15" x14ac:dyDescent="0.25"/>
  <cols>
    <col min="1" max="1" width="2" customWidth="1"/>
    <col min="2" max="2" width="30.7109375" customWidth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540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B7" s="47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8" t="s">
        <v>26</v>
      </c>
      <c r="C8" s="51">
        <v>20582</v>
      </c>
      <c r="D8" s="51">
        <v>24761</v>
      </c>
      <c r="E8" s="51">
        <v>37458</v>
      </c>
      <c r="F8" s="51">
        <v>30226</v>
      </c>
      <c r="G8" s="51">
        <v>19009</v>
      </c>
      <c r="H8" s="51">
        <v>28711</v>
      </c>
      <c r="I8" s="51">
        <v>33298</v>
      </c>
      <c r="J8" s="51">
        <v>22302</v>
      </c>
      <c r="K8" s="51">
        <v>26024</v>
      </c>
      <c r="L8" s="51">
        <v>29400</v>
      </c>
      <c r="M8" s="51">
        <v>30897</v>
      </c>
      <c r="N8" s="51">
        <v>17906</v>
      </c>
      <c r="O8" s="51">
        <v>320574</v>
      </c>
    </row>
    <row r="9" spans="2:15" ht="20.100000000000001" customHeight="1" x14ac:dyDescent="0.25">
      <c r="B9" s="49" t="s">
        <v>32</v>
      </c>
      <c r="C9" s="51">
        <v>1864</v>
      </c>
      <c r="D9" s="51"/>
      <c r="E9" s="51">
        <v>4800</v>
      </c>
      <c r="F9" s="51"/>
      <c r="G9" s="51">
        <v>6340</v>
      </c>
      <c r="H9" s="51">
        <v>6836</v>
      </c>
      <c r="I9" s="51">
        <v>2713</v>
      </c>
      <c r="J9" s="51">
        <v>3080</v>
      </c>
      <c r="K9" s="51"/>
      <c r="L9" s="51">
        <v>4922</v>
      </c>
      <c r="M9" s="51">
        <v>919</v>
      </c>
      <c r="N9" s="51"/>
      <c r="O9" s="51">
        <v>31474</v>
      </c>
    </row>
    <row r="10" spans="2:15" ht="20.100000000000001" customHeight="1" x14ac:dyDescent="0.25">
      <c r="B10" s="49" t="s">
        <v>33</v>
      </c>
      <c r="C10" s="51">
        <v>3843</v>
      </c>
      <c r="D10" s="51">
        <v>10345</v>
      </c>
      <c r="E10" s="51">
        <v>5629</v>
      </c>
      <c r="F10" s="51">
        <v>4467</v>
      </c>
      <c r="G10" s="51"/>
      <c r="H10" s="51">
        <v>2114</v>
      </c>
      <c r="I10" s="51">
        <v>8337</v>
      </c>
      <c r="J10" s="51">
        <v>4072</v>
      </c>
      <c r="K10" s="51">
        <v>5761</v>
      </c>
      <c r="L10" s="51">
        <v>7117</v>
      </c>
      <c r="M10" s="51">
        <v>3068</v>
      </c>
      <c r="N10" s="51">
        <v>2088</v>
      </c>
      <c r="O10" s="51">
        <v>56841</v>
      </c>
    </row>
    <row r="11" spans="2:15" ht="20.100000000000001" customHeight="1" x14ac:dyDescent="0.25">
      <c r="B11" s="49" t="s">
        <v>34</v>
      </c>
      <c r="C11" s="51"/>
      <c r="D11" s="51">
        <v>5718</v>
      </c>
      <c r="E11" s="51">
        <v>4918</v>
      </c>
      <c r="F11" s="51">
        <v>3446</v>
      </c>
      <c r="G11" s="51">
        <v>611</v>
      </c>
      <c r="H11" s="51">
        <v>3224</v>
      </c>
      <c r="I11" s="51">
        <v>1306</v>
      </c>
      <c r="J11" s="51"/>
      <c r="K11" s="51">
        <v>6637</v>
      </c>
      <c r="L11" s="51"/>
      <c r="M11" s="51">
        <v>1820</v>
      </c>
      <c r="N11" s="51"/>
      <c r="O11" s="51">
        <v>27680</v>
      </c>
    </row>
    <row r="12" spans="2:15" ht="20.100000000000001" customHeight="1" x14ac:dyDescent="0.25">
      <c r="B12" s="49" t="s">
        <v>35</v>
      </c>
      <c r="C12" s="51">
        <v>10164</v>
      </c>
      <c r="D12" s="51">
        <v>7734</v>
      </c>
      <c r="E12" s="51">
        <v>9984</v>
      </c>
      <c r="F12" s="51">
        <v>22313</v>
      </c>
      <c r="G12" s="51">
        <v>4850</v>
      </c>
      <c r="H12" s="51">
        <v>12262</v>
      </c>
      <c r="I12" s="51">
        <v>12594</v>
      </c>
      <c r="J12" s="51">
        <v>6006</v>
      </c>
      <c r="K12" s="51">
        <v>11235</v>
      </c>
      <c r="L12" s="51">
        <v>10633</v>
      </c>
      <c r="M12" s="51">
        <v>20451</v>
      </c>
      <c r="N12" s="51">
        <v>9738</v>
      </c>
      <c r="O12" s="51">
        <v>137964</v>
      </c>
    </row>
    <row r="13" spans="2:15" ht="20.100000000000001" customHeight="1" x14ac:dyDescent="0.25">
      <c r="B13" s="49" t="s">
        <v>36</v>
      </c>
      <c r="C13" s="51">
        <v>4711</v>
      </c>
      <c r="D13" s="51">
        <v>964</v>
      </c>
      <c r="E13" s="51">
        <v>12127</v>
      </c>
      <c r="F13" s="51"/>
      <c r="G13" s="51">
        <v>7208</v>
      </c>
      <c r="H13" s="51">
        <v>4275</v>
      </c>
      <c r="I13" s="51">
        <v>8348</v>
      </c>
      <c r="J13" s="51">
        <v>9144</v>
      </c>
      <c r="K13" s="51">
        <v>2391</v>
      </c>
      <c r="L13" s="51">
        <v>6728</v>
      </c>
      <c r="M13" s="51">
        <v>4639</v>
      </c>
      <c r="N13" s="51">
        <v>6080</v>
      </c>
      <c r="O13" s="51">
        <v>66615</v>
      </c>
    </row>
    <row r="14" spans="2:15" ht="20.100000000000001" customHeight="1" x14ac:dyDescent="0.25">
      <c r="B14" s="48" t="s">
        <v>542</v>
      </c>
      <c r="C14" s="51">
        <v>20582</v>
      </c>
      <c r="D14" s="51">
        <v>24761</v>
      </c>
      <c r="E14" s="51">
        <v>37458</v>
      </c>
      <c r="F14" s="51">
        <v>30226</v>
      </c>
      <c r="G14" s="51">
        <v>19009</v>
      </c>
      <c r="H14" s="51">
        <v>28711</v>
      </c>
      <c r="I14" s="51">
        <v>33298</v>
      </c>
      <c r="J14" s="51">
        <v>22302</v>
      </c>
      <c r="K14" s="51">
        <v>26024</v>
      </c>
      <c r="L14" s="51">
        <v>29400</v>
      </c>
      <c r="M14" s="51">
        <v>30897</v>
      </c>
      <c r="N14" s="51">
        <v>17906</v>
      </c>
      <c r="O14" s="51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>
      <selection activeCell="C9" sqref="C9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540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B7" s="47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8" t="s">
        <v>38</v>
      </c>
      <c r="C8" s="51">
        <v>41773</v>
      </c>
      <c r="D8" s="51">
        <v>25578</v>
      </c>
      <c r="E8" s="51">
        <v>24127</v>
      </c>
      <c r="F8" s="51">
        <v>14679</v>
      </c>
      <c r="G8" s="51">
        <v>24782</v>
      </c>
      <c r="H8" s="51">
        <v>24927</v>
      </c>
      <c r="I8" s="51">
        <v>34065</v>
      </c>
      <c r="J8" s="51">
        <v>21727</v>
      </c>
      <c r="K8" s="51">
        <v>19948</v>
      </c>
      <c r="L8" s="51">
        <v>28693</v>
      </c>
      <c r="M8" s="51">
        <v>22624</v>
      </c>
      <c r="N8" s="51">
        <v>19227</v>
      </c>
      <c r="O8" s="51">
        <v>302150</v>
      </c>
    </row>
    <row r="9" spans="2:15" ht="20.100000000000001" customHeight="1" x14ac:dyDescent="0.25">
      <c r="B9" s="49" t="s">
        <v>32</v>
      </c>
      <c r="C9" s="51">
        <v>3057</v>
      </c>
      <c r="D9" s="51">
        <v>3255</v>
      </c>
      <c r="E9" s="51">
        <v>5837</v>
      </c>
      <c r="F9" s="51">
        <v>2760</v>
      </c>
      <c r="G9" s="51">
        <v>1882</v>
      </c>
      <c r="H9" s="51">
        <v>1613</v>
      </c>
      <c r="I9" s="51"/>
      <c r="J9" s="51">
        <v>9987</v>
      </c>
      <c r="K9" s="51">
        <v>5001</v>
      </c>
      <c r="L9" s="51">
        <v>10149</v>
      </c>
      <c r="M9" s="51">
        <v>1542</v>
      </c>
      <c r="N9" s="51">
        <v>3956</v>
      </c>
      <c r="O9" s="51">
        <v>49039</v>
      </c>
    </row>
    <row r="10" spans="2:15" ht="20.100000000000001" customHeight="1" x14ac:dyDescent="0.25">
      <c r="B10" s="49" t="s">
        <v>33</v>
      </c>
      <c r="C10" s="51">
        <v>6054</v>
      </c>
      <c r="D10" s="51">
        <v>8702</v>
      </c>
      <c r="E10" s="51">
        <v>474</v>
      </c>
      <c r="F10" s="51">
        <v>2463</v>
      </c>
      <c r="G10" s="51">
        <v>6406</v>
      </c>
      <c r="H10" s="51">
        <v>10243</v>
      </c>
      <c r="I10" s="51">
        <v>14461</v>
      </c>
      <c r="J10" s="51">
        <v>4084</v>
      </c>
      <c r="K10" s="51">
        <v>521</v>
      </c>
      <c r="L10" s="51">
        <v>819</v>
      </c>
      <c r="M10" s="51">
        <v>7204</v>
      </c>
      <c r="N10" s="51"/>
      <c r="O10" s="51">
        <v>61431</v>
      </c>
    </row>
    <row r="11" spans="2:15" ht="20.100000000000001" customHeight="1" x14ac:dyDescent="0.25">
      <c r="B11" s="49" t="s">
        <v>34</v>
      </c>
      <c r="C11" s="51">
        <v>2247</v>
      </c>
      <c r="D11" s="51">
        <v>3503</v>
      </c>
      <c r="E11" s="51">
        <v>3893</v>
      </c>
      <c r="F11" s="51">
        <v>4867</v>
      </c>
      <c r="G11" s="51"/>
      <c r="H11" s="51"/>
      <c r="I11" s="51">
        <v>1108</v>
      </c>
      <c r="J11" s="51">
        <v>4462</v>
      </c>
      <c r="K11" s="51">
        <v>159</v>
      </c>
      <c r="L11" s="51">
        <v>9436</v>
      </c>
      <c r="M11" s="51"/>
      <c r="N11" s="51"/>
      <c r="O11" s="51">
        <v>29675</v>
      </c>
    </row>
    <row r="12" spans="2:15" ht="20.100000000000001" customHeight="1" x14ac:dyDescent="0.25">
      <c r="B12" s="49" t="s">
        <v>36</v>
      </c>
      <c r="C12" s="51">
        <v>12821</v>
      </c>
      <c r="D12" s="51"/>
      <c r="E12" s="51"/>
      <c r="F12" s="51"/>
      <c r="G12" s="51">
        <v>4543</v>
      </c>
      <c r="H12" s="51">
        <v>3756</v>
      </c>
      <c r="I12" s="51">
        <v>7688</v>
      </c>
      <c r="J12" s="51">
        <v>2140</v>
      </c>
      <c r="K12" s="51">
        <v>4173</v>
      </c>
      <c r="L12" s="51">
        <v>1260</v>
      </c>
      <c r="M12" s="51"/>
      <c r="N12" s="51">
        <v>3894</v>
      </c>
      <c r="O12" s="51">
        <v>40275</v>
      </c>
    </row>
    <row r="13" spans="2:15" ht="20.100000000000001" customHeight="1" x14ac:dyDescent="0.25">
      <c r="B13" s="49" t="s">
        <v>45</v>
      </c>
      <c r="C13" s="51">
        <v>17594</v>
      </c>
      <c r="D13" s="51">
        <v>10118</v>
      </c>
      <c r="E13" s="51">
        <v>13923</v>
      </c>
      <c r="F13" s="51">
        <v>4589</v>
      </c>
      <c r="G13" s="51">
        <v>11951</v>
      </c>
      <c r="H13" s="51">
        <v>9315</v>
      </c>
      <c r="I13" s="51">
        <v>10808</v>
      </c>
      <c r="J13" s="51">
        <v>1054</v>
      </c>
      <c r="K13" s="51">
        <v>10094</v>
      </c>
      <c r="L13" s="51">
        <v>7029</v>
      </c>
      <c r="M13" s="51">
        <v>13878</v>
      </c>
      <c r="N13" s="51">
        <v>11377</v>
      </c>
      <c r="O13" s="51">
        <v>121730</v>
      </c>
    </row>
    <row r="14" spans="2:15" ht="20.100000000000001" customHeight="1" x14ac:dyDescent="0.25">
      <c r="B14" s="48" t="s">
        <v>542</v>
      </c>
      <c r="C14" s="51">
        <v>41773</v>
      </c>
      <c r="D14" s="51">
        <v>25578</v>
      </c>
      <c r="E14" s="51">
        <v>24127</v>
      </c>
      <c r="F14" s="51">
        <v>14679</v>
      </c>
      <c r="G14" s="51">
        <v>24782</v>
      </c>
      <c r="H14" s="51">
        <v>24927</v>
      </c>
      <c r="I14" s="51">
        <v>34065</v>
      </c>
      <c r="J14" s="51">
        <v>21727</v>
      </c>
      <c r="K14" s="51">
        <v>19948</v>
      </c>
      <c r="L14" s="51">
        <v>28693</v>
      </c>
      <c r="M14" s="51">
        <v>22624</v>
      </c>
      <c r="N14" s="51">
        <v>19227</v>
      </c>
      <c r="O14" s="51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>
      <selection activeCell="H11" sqref="H11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16</v>
      </c>
    </row>
    <row r="2" spans="2:15" ht="81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>
        <v>0</v>
      </c>
      <c r="J7" t="s">
        <v>547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5</v>
      </c>
      <c r="F8">
        <v>6</v>
      </c>
      <c r="G8">
        <v>7</v>
      </c>
      <c r="H8">
        <v>9</v>
      </c>
      <c r="I8">
        <v>11</v>
      </c>
    </row>
    <row r="9" spans="2:15" ht="20.100000000000001" customHeight="1" x14ac:dyDescent="0.25">
      <c r="B9" s="48" t="s">
        <v>38</v>
      </c>
      <c r="C9" s="51">
        <v>6816</v>
      </c>
      <c r="D9" s="51">
        <v>9291</v>
      </c>
      <c r="E9" s="51">
        <v>9778</v>
      </c>
      <c r="F9" s="51">
        <v>6321</v>
      </c>
      <c r="G9" s="51">
        <v>6846</v>
      </c>
      <c r="H9" s="51">
        <v>3092</v>
      </c>
      <c r="I9" s="51">
        <v>4672</v>
      </c>
      <c r="J9" s="51">
        <v>46816</v>
      </c>
    </row>
    <row r="10" spans="2:15" ht="20.100000000000001" customHeight="1" x14ac:dyDescent="0.25">
      <c r="B10" s="49" t="s">
        <v>32</v>
      </c>
      <c r="C10" s="51"/>
      <c r="D10" s="51">
        <v>3255</v>
      </c>
      <c r="E10" s="51">
        <v>1996</v>
      </c>
      <c r="F10" s="51"/>
      <c r="G10" s="51"/>
      <c r="H10" s="51"/>
      <c r="I10" s="51"/>
      <c r="J10" s="51">
        <v>5251</v>
      </c>
    </row>
    <row r="11" spans="2:15" ht="20.100000000000001" customHeight="1" x14ac:dyDescent="0.25">
      <c r="B11" s="49" t="s">
        <v>33</v>
      </c>
      <c r="C11" s="51">
        <v>3598</v>
      </c>
      <c r="D11" s="51">
        <v>2623</v>
      </c>
      <c r="E11" s="51">
        <v>2975</v>
      </c>
      <c r="F11" s="51"/>
      <c r="G11" s="51">
        <v>3411</v>
      </c>
      <c r="H11" s="51"/>
      <c r="I11" s="51">
        <v>819</v>
      </c>
      <c r="J11" s="51">
        <v>13426</v>
      </c>
    </row>
    <row r="12" spans="2:15" ht="20.100000000000001" customHeight="1" x14ac:dyDescent="0.25">
      <c r="B12" s="49" t="s">
        <v>34</v>
      </c>
      <c r="C12" s="51">
        <v>2247</v>
      </c>
      <c r="D12" s="51">
        <v>3413</v>
      </c>
      <c r="E12" s="51"/>
      <c r="F12" s="51"/>
      <c r="G12" s="51"/>
      <c r="H12" s="51">
        <v>159</v>
      </c>
      <c r="I12" s="51"/>
      <c r="J12" s="51">
        <v>5819</v>
      </c>
    </row>
    <row r="13" spans="2:15" ht="20.100000000000001" customHeight="1" x14ac:dyDescent="0.25">
      <c r="B13" s="49" t="s">
        <v>45</v>
      </c>
      <c r="C13" s="51">
        <v>971</v>
      </c>
      <c r="D13" s="51"/>
      <c r="E13" s="51">
        <v>4807</v>
      </c>
      <c r="F13" s="51">
        <v>6321</v>
      </c>
      <c r="G13" s="51">
        <v>3435</v>
      </c>
      <c r="H13" s="51">
        <v>2933</v>
      </c>
      <c r="I13" s="51">
        <v>3853</v>
      </c>
      <c r="J13" s="51">
        <v>22320</v>
      </c>
    </row>
    <row r="14" spans="2:15" ht="20.100000000000001" customHeight="1" x14ac:dyDescent="0.25">
      <c r="B14" s="48" t="s">
        <v>542</v>
      </c>
      <c r="C14" s="51">
        <v>6816</v>
      </c>
      <c r="D14" s="51">
        <v>9291</v>
      </c>
      <c r="E14" s="51">
        <v>9778</v>
      </c>
      <c r="F14" s="51">
        <v>6321</v>
      </c>
      <c r="G14" s="51">
        <v>6846</v>
      </c>
      <c r="H14" s="51">
        <v>3092</v>
      </c>
      <c r="I14" s="51">
        <v>4672</v>
      </c>
      <c r="J14" s="51">
        <v>46816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>
      <selection activeCell="E11" sqref="E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17</v>
      </c>
    </row>
    <row r="2" spans="2:15" ht="82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2019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48" t="s">
        <v>26</v>
      </c>
      <c r="C9" s="51">
        <v>1209</v>
      </c>
      <c r="D9" s="51">
        <v>1992</v>
      </c>
      <c r="E9" s="51">
        <v>4797</v>
      </c>
      <c r="F9" s="51">
        <v>6672</v>
      </c>
      <c r="G9" s="51">
        <v>1482</v>
      </c>
      <c r="H9" s="51">
        <v>4535</v>
      </c>
      <c r="I9" s="51">
        <v>20687</v>
      </c>
    </row>
    <row r="10" spans="2:15" ht="20.100000000000001" customHeight="1" x14ac:dyDescent="0.25">
      <c r="B10" s="49" t="s">
        <v>32</v>
      </c>
      <c r="C10" s="51"/>
      <c r="D10" s="51"/>
      <c r="E10" s="51"/>
      <c r="F10" s="51"/>
      <c r="G10" s="51"/>
      <c r="H10" s="51">
        <v>4535</v>
      </c>
      <c r="I10" s="51">
        <v>4535</v>
      </c>
    </row>
    <row r="11" spans="2:15" ht="20.100000000000001" customHeight="1" x14ac:dyDescent="0.25">
      <c r="B11" s="49" t="s">
        <v>33</v>
      </c>
      <c r="C11" s="51"/>
      <c r="D11" s="51"/>
      <c r="E11" s="51">
        <v>4797</v>
      </c>
      <c r="F11" s="51"/>
      <c r="G11" s="51"/>
      <c r="H11" s="51"/>
      <c r="I11" s="51">
        <v>4797</v>
      </c>
    </row>
    <row r="12" spans="2:15" ht="20.100000000000001" customHeight="1" x14ac:dyDescent="0.25">
      <c r="B12" s="49" t="s">
        <v>34</v>
      </c>
      <c r="C12" s="51"/>
      <c r="D12" s="51"/>
      <c r="E12" s="51"/>
      <c r="F12" s="51"/>
      <c r="G12" s="51">
        <v>1482</v>
      </c>
      <c r="H12" s="51"/>
      <c r="I12" s="51">
        <v>1482</v>
      </c>
    </row>
    <row r="13" spans="2:15" ht="20.100000000000001" customHeight="1" x14ac:dyDescent="0.25">
      <c r="B13" s="49" t="s">
        <v>35</v>
      </c>
      <c r="C13" s="51">
        <v>1209</v>
      </c>
      <c r="D13" s="51">
        <v>1992</v>
      </c>
      <c r="E13" s="51"/>
      <c r="F13" s="51">
        <v>2531</v>
      </c>
      <c r="G13" s="51"/>
      <c r="H13" s="51"/>
      <c r="I13" s="51">
        <v>5732</v>
      </c>
    </row>
    <row r="14" spans="2:15" ht="20.100000000000001" customHeight="1" x14ac:dyDescent="0.25">
      <c r="B14" s="49" t="s">
        <v>36</v>
      </c>
      <c r="C14" s="51"/>
      <c r="D14" s="51"/>
      <c r="E14" s="51"/>
      <c r="F14" s="51">
        <v>4141</v>
      </c>
      <c r="G14" s="51"/>
      <c r="H14" s="51"/>
      <c r="I14" s="51">
        <v>4141</v>
      </c>
    </row>
    <row r="15" spans="2:15" ht="20.100000000000001" customHeight="1" x14ac:dyDescent="0.25">
      <c r="B15" s="48" t="s">
        <v>542</v>
      </c>
      <c r="C15" s="51">
        <v>1209</v>
      </c>
      <c r="D15" s="51">
        <v>1992</v>
      </c>
      <c r="E15" s="51">
        <v>4797</v>
      </c>
      <c r="F15" s="51">
        <v>6672</v>
      </c>
      <c r="G15" s="51">
        <v>1482</v>
      </c>
      <c r="H15" s="51">
        <v>4535</v>
      </c>
      <c r="I15" s="51">
        <v>20687</v>
      </c>
    </row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>
      <selection activeCell="D13" sqref="D13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18</v>
      </c>
    </row>
    <row r="2" spans="2:15" ht="61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2">
        <f ca="1">TODAY()</f>
        <v>43944</v>
      </c>
    </row>
    <row r="3" spans="2:15" ht="20.100000000000001" customHeight="1" x14ac:dyDescent="0.25"/>
    <row r="4" spans="2:15" ht="20.100000000000001" customHeight="1" x14ac:dyDescent="0.25">
      <c r="B4" s="47" t="s">
        <v>546</v>
      </c>
      <c r="C4" s="48">
        <v>2018</v>
      </c>
    </row>
    <row r="5" spans="2:15" ht="20.100000000000001" customHeight="1" x14ac:dyDescent="0.25"/>
    <row r="6" spans="2:15" ht="20.100000000000001" customHeight="1" x14ac:dyDescent="0.25">
      <c r="B6" s="47" t="s">
        <v>544</v>
      </c>
      <c r="C6" s="47" t="s">
        <v>543</v>
      </c>
    </row>
    <row r="7" spans="2:15" ht="20.100000000000001" customHeight="1" x14ac:dyDescent="0.25">
      <c r="C7" t="s">
        <v>549</v>
      </c>
      <c r="L7" t="s">
        <v>542</v>
      </c>
    </row>
    <row r="8" spans="2:15" ht="20.100000000000001" customHeight="1" x14ac:dyDescent="0.25">
      <c r="B8" s="47" t="s">
        <v>541</v>
      </c>
      <c r="C8">
        <v>1</v>
      </c>
      <c r="D8">
        <v>2</v>
      </c>
      <c r="E8">
        <v>3</v>
      </c>
      <c r="F8">
        <v>4</v>
      </c>
      <c r="G8">
        <v>6</v>
      </c>
      <c r="H8">
        <v>7</v>
      </c>
      <c r="I8">
        <v>9</v>
      </c>
      <c r="J8">
        <v>10</v>
      </c>
      <c r="K8">
        <v>12</v>
      </c>
    </row>
    <row r="9" spans="2:15" ht="20.100000000000001" customHeight="1" x14ac:dyDescent="0.25">
      <c r="B9" s="48" t="s">
        <v>26</v>
      </c>
      <c r="C9" s="51">
        <v>4843</v>
      </c>
      <c r="D9" s="51">
        <v>1561</v>
      </c>
      <c r="E9" s="51">
        <v>964</v>
      </c>
      <c r="F9" s="51">
        <v>5975</v>
      </c>
      <c r="G9" s="51">
        <v>2593</v>
      </c>
      <c r="H9" s="51">
        <v>5627</v>
      </c>
      <c r="I9" s="51">
        <v>2071</v>
      </c>
      <c r="J9" s="51">
        <v>3787</v>
      </c>
      <c r="K9" s="51">
        <v>4061</v>
      </c>
      <c r="L9" s="51">
        <v>31482</v>
      </c>
    </row>
    <row r="10" spans="2:15" ht="20.100000000000001" customHeight="1" x14ac:dyDescent="0.25">
      <c r="B10" s="49" t="s">
        <v>32</v>
      </c>
      <c r="C10" s="51">
        <v>4843</v>
      </c>
      <c r="D10" s="51"/>
      <c r="E10" s="51"/>
      <c r="F10" s="51"/>
      <c r="G10" s="51"/>
      <c r="H10" s="51"/>
      <c r="I10" s="51"/>
      <c r="J10" s="51"/>
      <c r="K10" s="51"/>
      <c r="L10" s="51">
        <v>4843</v>
      </c>
    </row>
    <row r="11" spans="2:15" ht="20.100000000000001" customHeight="1" x14ac:dyDescent="0.25">
      <c r="B11" s="49" t="s">
        <v>33</v>
      </c>
      <c r="C11" s="51"/>
      <c r="D11" s="51"/>
      <c r="E11" s="51"/>
      <c r="F11" s="51">
        <v>3998</v>
      </c>
      <c r="G11" s="51"/>
      <c r="H11" s="51"/>
      <c r="I11" s="51"/>
      <c r="J11" s="51"/>
      <c r="K11" s="51"/>
      <c r="L11" s="51">
        <v>3998</v>
      </c>
    </row>
    <row r="12" spans="2:15" ht="20.100000000000001" customHeight="1" x14ac:dyDescent="0.25">
      <c r="B12" s="49" t="s">
        <v>35</v>
      </c>
      <c r="C12" s="51"/>
      <c r="D12" s="51">
        <v>1561</v>
      </c>
      <c r="E12" s="51"/>
      <c r="F12" s="51"/>
      <c r="G12" s="51">
        <v>2593</v>
      </c>
      <c r="H12" s="51">
        <v>1369</v>
      </c>
      <c r="I12" s="51">
        <v>2071</v>
      </c>
      <c r="J12" s="51">
        <v>3787</v>
      </c>
      <c r="K12" s="51"/>
      <c r="L12" s="51">
        <v>11381</v>
      </c>
    </row>
    <row r="13" spans="2:15" ht="20.100000000000001" customHeight="1" x14ac:dyDescent="0.25">
      <c r="B13" s="49" t="s">
        <v>36</v>
      </c>
      <c r="C13" s="51"/>
      <c r="D13" s="51"/>
      <c r="E13" s="51">
        <v>964</v>
      </c>
      <c r="F13" s="51">
        <v>1977</v>
      </c>
      <c r="G13" s="51"/>
      <c r="H13" s="51">
        <v>4258</v>
      </c>
      <c r="I13" s="51"/>
      <c r="J13" s="51"/>
      <c r="K13" s="51">
        <v>4061</v>
      </c>
      <c r="L13" s="51">
        <v>11260</v>
      </c>
    </row>
    <row r="14" spans="2:15" ht="20.100000000000001" customHeight="1" x14ac:dyDescent="0.25">
      <c r="B14" s="48" t="s">
        <v>542</v>
      </c>
      <c r="C14" s="51">
        <v>4843</v>
      </c>
      <c r="D14" s="51">
        <v>1561</v>
      </c>
      <c r="E14" s="51">
        <v>964</v>
      </c>
      <c r="F14" s="51">
        <v>5975</v>
      </c>
      <c r="G14" s="51">
        <v>2593</v>
      </c>
      <c r="H14" s="51">
        <v>5627</v>
      </c>
      <c r="I14" s="51">
        <v>2071</v>
      </c>
      <c r="J14" s="51">
        <v>3787</v>
      </c>
      <c r="K14" s="51">
        <v>4061</v>
      </c>
      <c r="L14" s="51">
        <v>31482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B1:O21"/>
  <sheetViews>
    <sheetView showGridLines="0" zoomScaleNormal="100" workbookViewId="0">
      <selection activeCell="I13" sqref="I13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19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07">
        <v>43404</v>
      </c>
    </row>
    <row r="3" spans="2:11" ht="20.100000000000001" customHeight="1" x14ac:dyDescent="0.25"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2:11" ht="20.100000000000001" customHeight="1" x14ac:dyDescent="0.25">
      <c r="B4" s="94" t="s">
        <v>550</v>
      </c>
      <c r="C4" s="53"/>
      <c r="D4" s="95" t="s">
        <v>551</v>
      </c>
      <c r="E4" s="53"/>
      <c r="F4" s="54"/>
      <c r="G4" s="55"/>
      <c r="H4" s="55"/>
      <c r="I4" s="104" t="s">
        <v>552</v>
      </c>
      <c r="J4" s="55"/>
      <c r="K4" s="109"/>
    </row>
    <row r="5" spans="2:11" ht="20.100000000000001" customHeight="1" x14ac:dyDescent="0.25">
      <c r="B5" s="56">
        <v>1234</v>
      </c>
      <c r="C5" s="53"/>
      <c r="D5" s="57"/>
      <c r="E5" s="53"/>
      <c r="F5" s="58"/>
      <c r="G5" s="59"/>
      <c r="H5" s="59"/>
      <c r="I5" s="60"/>
      <c r="J5" s="61"/>
      <c r="K5" s="62"/>
    </row>
    <row r="6" spans="2:11" ht="4.5" customHeight="1" x14ac:dyDescent="0.25">
      <c r="B6" s="53"/>
      <c r="C6" s="53"/>
      <c r="D6" s="53"/>
      <c r="E6" s="53"/>
      <c r="F6" s="58"/>
      <c r="G6" s="59"/>
      <c r="H6" s="59"/>
      <c r="I6" s="60"/>
      <c r="J6" s="60"/>
      <c r="K6" s="62"/>
    </row>
    <row r="7" spans="2:11" ht="20.100000000000001" customHeight="1" x14ac:dyDescent="0.25">
      <c r="B7" s="94" t="s">
        <v>553</v>
      </c>
      <c r="C7" s="53"/>
      <c r="D7" s="63"/>
      <c r="E7" s="53"/>
      <c r="F7" s="58"/>
      <c r="G7" s="59"/>
      <c r="H7" s="59"/>
      <c r="I7" s="60"/>
      <c r="J7" s="60"/>
      <c r="K7" s="103" t="s">
        <v>554</v>
      </c>
    </row>
    <row r="8" spans="2:11" ht="20.100000000000001" customHeight="1" x14ac:dyDescent="0.25">
      <c r="B8" s="64">
        <v>123</v>
      </c>
      <c r="C8" s="53"/>
      <c r="D8" s="65"/>
      <c r="E8" s="53"/>
      <c r="F8" s="58"/>
      <c r="G8" s="59"/>
      <c r="H8" s="59"/>
      <c r="I8" s="60"/>
      <c r="J8" s="60"/>
      <c r="K8" s="66">
        <v>-123</v>
      </c>
    </row>
    <row r="9" spans="2:11" ht="4.5" customHeight="1" x14ac:dyDescent="0.25">
      <c r="B9" s="53"/>
      <c r="C9" s="53"/>
      <c r="D9" s="53"/>
      <c r="E9" s="53"/>
      <c r="F9" s="58"/>
      <c r="G9" s="59"/>
      <c r="H9" s="59"/>
      <c r="I9" s="60"/>
      <c r="J9" s="60"/>
      <c r="K9" s="67"/>
    </row>
    <row r="10" spans="2:11" ht="20.100000000000001" customHeight="1" x14ac:dyDescent="0.25">
      <c r="B10" s="94" t="s">
        <v>555</v>
      </c>
      <c r="C10" s="53"/>
      <c r="D10" s="63"/>
      <c r="E10" s="53"/>
      <c r="F10" s="58"/>
      <c r="G10" s="59"/>
      <c r="H10" s="59"/>
      <c r="I10" s="60"/>
      <c r="J10" s="60"/>
      <c r="K10" s="67"/>
    </row>
    <row r="11" spans="2:11" ht="20.100000000000001" customHeight="1" x14ac:dyDescent="0.25">
      <c r="B11" s="68">
        <v>1234</v>
      </c>
      <c r="C11" s="53"/>
      <c r="D11" s="65"/>
      <c r="E11" s="53"/>
      <c r="F11" s="69"/>
      <c r="G11" s="70"/>
      <c r="H11" s="70"/>
      <c r="I11" s="71"/>
      <c r="J11" s="71"/>
      <c r="K11" s="72"/>
    </row>
    <row r="12" spans="2:11" ht="20.100000000000001" customHeight="1" x14ac:dyDescent="0.25">
      <c r="B12" s="53"/>
      <c r="C12" s="53"/>
      <c r="D12" s="53"/>
      <c r="E12" s="53"/>
      <c r="F12" s="73"/>
      <c r="G12" s="73"/>
      <c r="H12" s="73"/>
      <c r="I12" s="53"/>
      <c r="J12" s="53"/>
      <c r="K12" s="53"/>
    </row>
    <row r="13" spans="2:11" ht="20.100000000000001" customHeight="1" x14ac:dyDescent="0.25">
      <c r="B13" s="96" t="s">
        <v>556</v>
      </c>
      <c r="C13" s="97"/>
      <c r="D13" s="98"/>
      <c r="E13" s="53"/>
      <c r="F13" s="96" t="s">
        <v>557</v>
      </c>
      <c r="G13" s="98"/>
      <c r="H13" s="73"/>
      <c r="I13" s="101" t="s">
        <v>558</v>
      </c>
      <c r="J13" s="53"/>
      <c r="K13" s="102" t="s">
        <v>559</v>
      </c>
    </row>
    <row r="14" spans="2:11" ht="20.100000000000001" customHeight="1" x14ac:dyDescent="0.25">
      <c r="B14" s="74"/>
      <c r="C14" s="75"/>
      <c r="D14" s="76"/>
      <c r="E14" s="53"/>
      <c r="F14" s="99" t="s">
        <v>560</v>
      </c>
      <c r="G14" s="100" t="s">
        <v>561</v>
      </c>
      <c r="H14" s="73"/>
      <c r="I14" s="77">
        <v>-12</v>
      </c>
      <c r="J14" s="53"/>
      <c r="K14" s="108"/>
    </row>
    <row r="15" spans="2:11" ht="20.100000000000001" customHeight="1" x14ac:dyDescent="0.25">
      <c r="B15" s="74"/>
      <c r="C15" s="60"/>
      <c r="D15" s="76"/>
      <c r="E15" s="53"/>
      <c r="F15" s="78"/>
      <c r="G15" s="79"/>
      <c r="H15" s="73"/>
      <c r="I15" s="80"/>
      <c r="J15" s="53"/>
      <c r="K15" s="106">
        <v>48</v>
      </c>
    </row>
    <row r="16" spans="2:11" ht="20.100000000000001" customHeight="1" x14ac:dyDescent="0.25">
      <c r="B16" s="81">
        <f>[1]DashBoardFinanceiroAtualD!E22</f>
        <v>271771</v>
      </c>
      <c r="C16" s="60"/>
      <c r="D16" s="76"/>
      <c r="E16" s="53"/>
      <c r="F16" s="82">
        <v>12</v>
      </c>
      <c r="G16" s="105">
        <v>5</v>
      </c>
      <c r="H16" s="73"/>
      <c r="I16" s="80"/>
      <c r="J16" s="53"/>
      <c r="K16" s="83"/>
    </row>
    <row r="17" spans="2:11" ht="20.100000000000001" customHeight="1" x14ac:dyDescent="0.25">
      <c r="B17" s="81"/>
      <c r="C17" s="60"/>
      <c r="D17" s="76"/>
      <c r="E17" s="53"/>
      <c r="F17" s="84"/>
      <c r="G17" s="79"/>
      <c r="H17" s="73"/>
      <c r="I17" s="80"/>
      <c r="J17" s="53"/>
      <c r="K17" s="83"/>
    </row>
    <row r="18" spans="2:11" ht="18.75" x14ac:dyDescent="0.25">
      <c r="B18" s="74"/>
      <c r="C18" s="60"/>
      <c r="D18" s="76"/>
      <c r="E18" s="53"/>
      <c r="F18" s="85" t="s">
        <v>562</v>
      </c>
      <c r="G18" s="86" t="s">
        <v>562</v>
      </c>
      <c r="H18" s="73"/>
      <c r="I18" s="80"/>
      <c r="J18" s="53"/>
      <c r="K18" s="83"/>
    </row>
    <row r="19" spans="2:11" ht="26.25" x14ac:dyDescent="0.25">
      <c r="B19" s="87"/>
      <c r="C19" s="88"/>
      <c r="D19" s="89"/>
      <c r="E19" s="53"/>
      <c r="F19" s="90"/>
      <c r="G19" s="91"/>
      <c r="H19" s="73"/>
      <c r="I19" s="92"/>
      <c r="J19" s="53"/>
      <c r="K19" s="93"/>
    </row>
    <row r="20" spans="2:11" x14ac:dyDescent="0.25">
      <c r="B20" s="53"/>
      <c r="C20" s="53"/>
      <c r="D20" s="53"/>
      <c r="E20" s="53"/>
      <c r="F20" s="73"/>
      <c r="G20" s="73"/>
      <c r="H20" s="73"/>
      <c r="I20" s="53"/>
      <c r="J20" s="53"/>
      <c r="K20" s="53"/>
    </row>
    <row r="21" spans="2:11" x14ac:dyDescent="0.25">
      <c r="B21" s="110"/>
      <c r="C21" s="110"/>
      <c r="D21" s="110"/>
      <c r="E21" s="110"/>
      <c r="F21" s="110"/>
      <c r="G21" s="110"/>
      <c r="H21" s="110"/>
      <c r="I21" s="110"/>
      <c r="J21" s="110"/>
      <c r="K21" s="110"/>
    </row>
  </sheetData>
  <mergeCells count="4">
    <mergeCell ref="D7:D8"/>
    <mergeCell ref="D10:D11"/>
    <mergeCell ref="B13:D13"/>
    <mergeCell ref="F13:G13"/>
  </mergeCells>
  <conditionalFormatting sqref="I14">
    <cfRule type="cellIs" dxfId="3" priority="1" operator="lessThan">
      <formula>0</formula>
    </cfRule>
  </conditionalFormatting>
  <dataValidations count="2">
    <dataValidation allowBlank="1" showInputMessage="1" showErrorMessage="1" errorTitle="Conta Inexisente!" error="Selecione um item da conta." sqref="K4"/>
    <dataValidation allowBlank="1" showInputMessage="1" showErrorMessage="1" errorTitle="Conta Inexistente!" error="Selecione uma conta da lista." sqref="K14"/>
  </dataValidation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tabSelected="1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563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11">
        <v>2019</v>
      </c>
    </row>
    <row r="3" spans="2:11" ht="20.100000000000001" customHeight="1" x14ac:dyDescent="0.25"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2:11" ht="20.100000000000001" customHeight="1" x14ac:dyDescent="0.25">
      <c r="B4" s="94" t="s">
        <v>550</v>
      </c>
      <c r="C4" s="53"/>
      <c r="D4" s="95" t="s">
        <v>551</v>
      </c>
      <c r="E4" s="53"/>
      <c r="F4" s="54"/>
      <c r="G4" s="55"/>
      <c r="H4" s="55"/>
      <c r="I4" s="104" t="s">
        <v>552</v>
      </c>
      <c r="J4" s="55"/>
      <c r="K4" s="109"/>
    </row>
    <row r="5" spans="2:11" ht="20.100000000000001" customHeight="1" x14ac:dyDescent="0.25">
      <c r="B5" s="56">
        <v>1234</v>
      </c>
      <c r="C5" s="53"/>
      <c r="D5" s="57"/>
      <c r="E5" s="53"/>
      <c r="F5" s="58"/>
      <c r="G5" s="59"/>
      <c r="H5" s="59"/>
      <c r="I5" s="60"/>
      <c r="J5" s="61"/>
      <c r="K5" s="62"/>
    </row>
    <row r="6" spans="2:11" ht="4.5" customHeight="1" x14ac:dyDescent="0.25">
      <c r="B6" s="53"/>
      <c r="C6" s="53"/>
      <c r="D6" s="53"/>
      <c r="E6" s="53"/>
      <c r="F6" s="58"/>
      <c r="G6" s="59"/>
      <c r="H6" s="59"/>
      <c r="I6" s="60"/>
      <c r="J6" s="60"/>
      <c r="K6" s="62"/>
    </row>
    <row r="7" spans="2:11" ht="20.100000000000001" customHeight="1" x14ac:dyDescent="0.25">
      <c r="B7" s="94" t="s">
        <v>553</v>
      </c>
      <c r="C7" s="53"/>
      <c r="D7" s="63"/>
      <c r="E7" s="53"/>
      <c r="F7" s="58"/>
      <c r="G7" s="59"/>
      <c r="H7" s="59"/>
      <c r="I7" s="60"/>
      <c r="J7" s="60"/>
      <c r="K7" s="103" t="s">
        <v>554</v>
      </c>
    </row>
    <row r="8" spans="2:11" ht="20.100000000000001" customHeight="1" x14ac:dyDescent="0.25">
      <c r="B8" s="64">
        <v>123</v>
      </c>
      <c r="C8" s="53"/>
      <c r="D8" s="65"/>
      <c r="E8" s="53"/>
      <c r="F8" s="58"/>
      <c r="G8" s="59"/>
      <c r="H8" s="59"/>
      <c r="I8" s="60"/>
      <c r="J8" s="60"/>
      <c r="K8" s="66">
        <v>-123</v>
      </c>
    </row>
    <row r="9" spans="2:11" ht="4.5" customHeight="1" x14ac:dyDescent="0.25">
      <c r="B9" s="53"/>
      <c r="C9" s="53"/>
      <c r="D9" s="53"/>
      <c r="E9" s="53"/>
      <c r="F9" s="58"/>
      <c r="G9" s="59"/>
      <c r="H9" s="59"/>
      <c r="I9" s="60"/>
      <c r="J9" s="60"/>
      <c r="K9" s="67"/>
    </row>
    <row r="10" spans="2:11" ht="20.100000000000001" customHeight="1" x14ac:dyDescent="0.25">
      <c r="B10" s="94" t="s">
        <v>555</v>
      </c>
      <c r="C10" s="53"/>
      <c r="D10" s="63"/>
      <c r="E10" s="53"/>
      <c r="F10" s="58"/>
      <c r="G10" s="59"/>
      <c r="H10" s="59"/>
      <c r="I10" s="60"/>
      <c r="J10" s="60"/>
      <c r="K10" s="67"/>
    </row>
    <row r="11" spans="2:11" ht="20.100000000000001" customHeight="1" x14ac:dyDescent="0.25">
      <c r="B11" s="68">
        <v>1234</v>
      </c>
      <c r="C11" s="53"/>
      <c r="D11" s="65"/>
      <c r="E11" s="53"/>
      <c r="F11" s="69"/>
      <c r="G11" s="70"/>
      <c r="H11" s="70"/>
      <c r="I11" s="71"/>
      <c r="J11" s="71"/>
      <c r="K11" s="72"/>
    </row>
    <row r="12" spans="2:11" ht="20.100000000000001" customHeight="1" x14ac:dyDescent="0.25">
      <c r="B12" s="53"/>
      <c r="C12" s="53"/>
      <c r="D12" s="53"/>
      <c r="E12" s="53"/>
      <c r="F12" s="73"/>
      <c r="G12" s="73"/>
      <c r="H12" s="73"/>
      <c r="I12" s="53"/>
      <c r="J12" s="53"/>
      <c r="K12" s="53"/>
    </row>
    <row r="13" spans="2:11" ht="20.100000000000001" customHeight="1" x14ac:dyDescent="0.25">
      <c r="B13" s="96" t="s">
        <v>556</v>
      </c>
      <c r="C13" s="97"/>
      <c r="D13" s="98"/>
      <c r="E13" s="53"/>
      <c r="F13" s="96" t="s">
        <v>557</v>
      </c>
      <c r="G13" s="98"/>
      <c r="H13" s="73"/>
      <c r="I13" s="101" t="s">
        <v>558</v>
      </c>
      <c r="J13" s="53"/>
      <c r="K13" s="102" t="s">
        <v>559</v>
      </c>
    </row>
    <row r="14" spans="2:11" ht="20.100000000000001" customHeight="1" x14ac:dyDescent="0.25">
      <c r="B14" s="74"/>
      <c r="C14" s="75"/>
      <c r="D14" s="76"/>
      <c r="E14" s="53"/>
      <c r="F14" s="99" t="s">
        <v>560</v>
      </c>
      <c r="G14" s="100" t="s">
        <v>561</v>
      </c>
      <c r="H14" s="73"/>
      <c r="I14" s="77">
        <v>-12</v>
      </c>
      <c r="J14" s="53"/>
      <c r="K14" s="108"/>
    </row>
    <row r="15" spans="2:11" ht="20.100000000000001" customHeight="1" x14ac:dyDescent="0.25">
      <c r="B15" s="74"/>
      <c r="C15" s="60"/>
      <c r="D15" s="76"/>
      <c r="E15" s="53"/>
      <c r="F15" s="78"/>
      <c r="G15" s="79"/>
      <c r="H15" s="73"/>
      <c r="I15" s="80"/>
      <c r="J15" s="53"/>
      <c r="K15" s="106">
        <v>48</v>
      </c>
    </row>
    <row r="16" spans="2:11" ht="20.100000000000001" customHeight="1" x14ac:dyDescent="0.25">
      <c r="B16" s="81">
        <f>[1]DashBoardFinanceiroAtualD!E22</f>
        <v>271771</v>
      </c>
      <c r="C16" s="60"/>
      <c r="D16" s="76"/>
      <c r="E16" s="53"/>
      <c r="F16" s="82">
        <v>12</v>
      </c>
      <c r="G16" s="105">
        <v>5</v>
      </c>
      <c r="H16" s="73"/>
      <c r="I16" s="80"/>
      <c r="J16" s="53"/>
      <c r="K16" s="83"/>
    </row>
    <row r="17" spans="2:11" ht="20.100000000000001" customHeight="1" x14ac:dyDescent="0.25">
      <c r="B17" s="81"/>
      <c r="C17" s="60"/>
      <c r="D17" s="76"/>
      <c r="E17" s="53"/>
      <c r="F17" s="84"/>
      <c r="G17" s="79"/>
      <c r="H17" s="73"/>
      <c r="I17" s="80"/>
      <c r="J17" s="53"/>
      <c r="K17" s="83"/>
    </row>
    <row r="18" spans="2:11" ht="18.75" x14ac:dyDescent="0.25">
      <c r="B18" s="74"/>
      <c r="C18" s="60"/>
      <c r="D18" s="76"/>
      <c r="E18" s="53"/>
      <c r="F18" s="85" t="s">
        <v>562</v>
      </c>
      <c r="G18" s="86" t="s">
        <v>562</v>
      </c>
      <c r="H18" s="73"/>
      <c r="I18" s="80"/>
      <c r="J18" s="53"/>
      <c r="K18" s="83"/>
    </row>
    <row r="19" spans="2:11" ht="26.25" x14ac:dyDescent="0.25">
      <c r="B19" s="87"/>
      <c r="C19" s="88"/>
      <c r="D19" s="89"/>
      <c r="E19" s="53"/>
      <c r="F19" s="90"/>
      <c r="G19" s="91"/>
      <c r="H19" s="73"/>
      <c r="I19" s="92"/>
      <c r="J19" s="53"/>
      <c r="K19" s="93"/>
    </row>
    <row r="20" spans="2:11" x14ac:dyDescent="0.25">
      <c r="B20" s="53"/>
      <c r="C20" s="53"/>
      <c r="D20" s="53"/>
      <c r="E20" s="53"/>
      <c r="F20" s="73"/>
      <c r="G20" s="73"/>
      <c r="H20" s="73"/>
      <c r="I20" s="53"/>
      <c r="J20" s="53"/>
      <c r="K20" s="53"/>
    </row>
    <row r="21" spans="2:11" x14ac:dyDescent="0.25">
      <c r="B21" s="110"/>
      <c r="C21" s="110"/>
      <c r="D21" s="110"/>
      <c r="E21" s="110"/>
      <c r="F21" s="110"/>
      <c r="G21" s="110"/>
      <c r="H21" s="110"/>
      <c r="I21" s="110"/>
      <c r="J21" s="110"/>
      <c r="K21" s="110"/>
    </row>
  </sheetData>
  <mergeCells count="4">
    <mergeCell ref="D7:D8"/>
    <mergeCell ref="D10:D11"/>
    <mergeCell ref="B13:D13"/>
    <mergeCell ref="F13:G13"/>
  </mergeCells>
  <conditionalFormatting sqref="I14">
    <cfRule type="cellIs" dxfId="2" priority="1" operator="lessThan">
      <formula>0</formula>
    </cfRule>
  </conditionalFormatting>
  <dataValidations count="2">
    <dataValidation allowBlank="1" showInputMessage="1" showErrorMessage="1" errorTitle="Conta Inexistente!" error="Selecione uma conta da lista." sqref="K14"/>
    <dataValidation allowBlank="1" showInputMessage="1" showErrorMessage="1" errorTitle="Conta Inexisente!" error="Selecione um item da conta." sqref="K4"/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workbookViewId="0">
      <selection activeCell="F16" sqref="F16"/>
    </sheetView>
  </sheetViews>
  <sheetFormatPr defaultRowHeight="15" x14ac:dyDescent="0.25"/>
  <cols>
    <col min="1" max="1" width="3.28515625" customWidth="1"/>
    <col min="2" max="2" width="12" customWidth="1"/>
    <col min="3" max="3" width="11.5703125" bestFit="1" customWidth="1"/>
    <col min="4" max="4" width="10.5703125" bestFit="1" customWidth="1"/>
    <col min="5" max="5" width="11.5703125" bestFit="1" customWidth="1"/>
    <col min="6" max="6" width="4.85546875" customWidth="1"/>
    <col min="7" max="7" width="29.85546875" bestFit="1" customWidth="1"/>
    <col min="8" max="8" width="15.28515625" bestFit="1" customWidth="1"/>
    <col min="9" max="9" width="5.5703125" bestFit="1" customWidth="1"/>
    <col min="10" max="10" width="19.28515625" bestFit="1" customWidth="1"/>
    <col min="11" max="11" width="9.5703125" bestFit="1" customWidth="1"/>
    <col min="12" max="12" width="6.5703125" customWidth="1"/>
  </cols>
  <sheetData>
    <row r="1" spans="1:12" x14ac:dyDescent="0.25">
      <c r="A1" s="112"/>
      <c r="B1" s="113" t="s">
        <v>564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x14ac:dyDescent="0.25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</row>
    <row r="3" spans="1:12" x14ac:dyDescent="0.25">
      <c r="A3" s="112"/>
      <c r="B3" s="112"/>
      <c r="C3" s="112"/>
      <c r="D3" s="112"/>
      <c r="E3" s="112"/>
      <c r="F3" s="114" t="s">
        <v>565</v>
      </c>
      <c r="G3" s="112"/>
      <c r="H3" s="112"/>
      <c r="I3" s="112"/>
      <c r="J3" s="114" t="s">
        <v>566</v>
      </c>
      <c r="K3" s="115" t="s">
        <v>567</v>
      </c>
      <c r="L3" s="116"/>
    </row>
    <row r="4" spans="1:12" ht="30" x14ac:dyDescent="0.25">
      <c r="A4" s="112"/>
      <c r="B4" s="115" t="s">
        <v>568</v>
      </c>
      <c r="C4" s="117"/>
      <c r="D4" s="112"/>
      <c r="E4" s="112"/>
      <c r="F4" s="118" t="s">
        <v>569</v>
      </c>
      <c r="G4" s="119" t="s">
        <v>570</v>
      </c>
      <c r="H4" s="118" t="s">
        <v>571</v>
      </c>
      <c r="I4" s="112"/>
      <c r="J4" s="120" t="str">
        <f>[1]DashBoardFinanceiroAnual!K4</f>
        <v>Som e imagem</v>
      </c>
      <c r="K4" s="118" t="s">
        <v>572</v>
      </c>
      <c r="L4" s="118" t="s">
        <v>569</v>
      </c>
    </row>
    <row r="5" spans="1:12" x14ac:dyDescent="0.25">
      <c r="A5" s="112"/>
      <c r="B5" s="112"/>
      <c r="C5" s="112"/>
      <c r="D5" s="112"/>
      <c r="E5" s="112"/>
      <c r="F5" s="121">
        <v>1</v>
      </c>
      <c r="G5" s="122"/>
      <c r="H5" s="122"/>
      <c r="I5" s="112"/>
      <c r="J5" s="122"/>
      <c r="K5" s="122"/>
      <c r="L5" s="123" t="s">
        <v>573</v>
      </c>
    </row>
    <row r="6" spans="1:12" x14ac:dyDescent="0.25">
      <c r="A6" s="112"/>
      <c r="B6" s="112"/>
      <c r="C6" s="112"/>
      <c r="D6" s="112"/>
      <c r="E6" s="112"/>
      <c r="F6" s="112">
        <v>2</v>
      </c>
      <c r="G6" s="124"/>
      <c r="H6" s="124"/>
      <c r="I6" s="112"/>
      <c r="J6" s="124"/>
      <c r="K6" s="124"/>
      <c r="L6" s="115" t="s">
        <v>574</v>
      </c>
    </row>
    <row r="7" spans="1:12" x14ac:dyDescent="0.25">
      <c r="A7" s="112"/>
      <c r="B7" s="114" t="s">
        <v>575</v>
      </c>
      <c r="C7" s="112"/>
      <c r="D7" s="112"/>
      <c r="E7" s="112"/>
      <c r="F7" s="112">
        <v>3</v>
      </c>
      <c r="G7" s="124"/>
      <c r="H7" s="124"/>
      <c r="I7" s="112"/>
      <c r="J7" s="124"/>
      <c r="K7" s="124"/>
      <c r="L7" s="115" t="s">
        <v>576</v>
      </c>
    </row>
    <row r="8" spans="1:12" x14ac:dyDescent="0.25">
      <c r="A8" s="112"/>
      <c r="B8" s="121" t="s">
        <v>577</v>
      </c>
      <c r="C8" s="125"/>
      <c r="D8" s="112"/>
      <c r="E8" s="112"/>
      <c r="F8" s="112">
        <v>4</v>
      </c>
      <c r="G8" s="124"/>
      <c r="H8" s="124"/>
      <c r="I8" s="112"/>
      <c r="J8" s="124"/>
      <c r="K8" s="124"/>
      <c r="L8" s="115" t="s">
        <v>578</v>
      </c>
    </row>
    <row r="9" spans="1:12" x14ac:dyDescent="0.25">
      <c r="A9" s="112"/>
      <c r="B9" s="112" t="s">
        <v>579</v>
      </c>
      <c r="C9" s="126"/>
      <c r="D9" s="112"/>
      <c r="E9" s="112"/>
      <c r="F9" s="112">
        <v>5</v>
      </c>
      <c r="G9" s="124"/>
      <c r="H9" s="124"/>
      <c r="I9" s="112"/>
      <c r="J9" s="124"/>
      <c r="K9" s="124"/>
      <c r="L9" s="115" t="s">
        <v>580</v>
      </c>
    </row>
    <row r="10" spans="1:12" x14ac:dyDescent="0.25">
      <c r="A10" s="112"/>
      <c r="B10" s="112" t="s">
        <v>581</v>
      </c>
      <c r="C10" s="126"/>
      <c r="D10" s="112"/>
      <c r="E10" s="112"/>
      <c r="F10" s="112">
        <v>6</v>
      </c>
      <c r="G10" s="124"/>
      <c r="H10" s="124"/>
      <c r="I10" s="112"/>
      <c r="J10" s="124"/>
      <c r="K10" s="124"/>
      <c r="L10" s="115" t="s">
        <v>582</v>
      </c>
    </row>
    <row r="11" spans="1:12" x14ac:dyDescent="0.25">
      <c r="A11" s="112"/>
      <c r="B11" s="127" t="s">
        <v>583</v>
      </c>
      <c r="C11" s="128"/>
      <c r="D11" s="112"/>
      <c r="E11" s="112"/>
      <c r="F11" s="112">
        <v>7</v>
      </c>
      <c r="G11" s="124"/>
      <c r="H11" s="124"/>
      <c r="I11" s="112"/>
      <c r="J11" s="124"/>
      <c r="K11" s="124"/>
      <c r="L11" s="115" t="s">
        <v>584</v>
      </c>
    </row>
    <row r="12" spans="1:12" x14ac:dyDescent="0.25">
      <c r="A12" s="112"/>
      <c r="B12" s="112"/>
      <c r="C12" s="112"/>
      <c r="D12" s="112"/>
      <c r="E12" s="112"/>
      <c r="F12" s="112">
        <v>8</v>
      </c>
      <c r="G12" s="124"/>
      <c r="H12" s="124"/>
      <c r="I12" s="112"/>
      <c r="J12" s="124"/>
      <c r="K12" s="124"/>
      <c r="L12" s="115" t="s">
        <v>585</v>
      </c>
    </row>
    <row r="13" spans="1:12" x14ac:dyDescent="0.25">
      <c r="A13" s="112"/>
      <c r="B13" s="129" t="s">
        <v>586</v>
      </c>
      <c r="C13" s="129"/>
      <c r="D13" s="125"/>
      <c r="E13" s="112"/>
      <c r="F13" s="112">
        <v>9</v>
      </c>
      <c r="G13" s="124"/>
      <c r="H13" s="124"/>
      <c r="I13" s="112"/>
      <c r="J13" s="124"/>
      <c r="K13" s="124"/>
      <c r="L13" s="115" t="s">
        <v>587</v>
      </c>
    </row>
    <row r="14" spans="1:12" x14ac:dyDescent="0.25">
      <c r="A14" s="112"/>
      <c r="B14" s="130" t="s">
        <v>588</v>
      </c>
      <c r="C14" s="130"/>
      <c r="D14" s="131"/>
      <c r="E14" s="112"/>
      <c r="F14" s="112">
        <v>10</v>
      </c>
      <c r="G14" s="124"/>
      <c r="H14" s="124"/>
      <c r="I14" s="112"/>
      <c r="J14" s="124"/>
      <c r="K14" s="124"/>
      <c r="L14" s="115" t="s">
        <v>589</v>
      </c>
    </row>
    <row r="15" spans="1:12" x14ac:dyDescent="0.25">
      <c r="A15" s="112"/>
      <c r="B15" s="112"/>
      <c r="C15" s="112"/>
      <c r="D15" s="112"/>
      <c r="E15" s="112"/>
      <c r="F15" s="112">
        <v>11</v>
      </c>
      <c r="G15" s="124"/>
      <c r="H15" s="124"/>
      <c r="I15" s="112"/>
      <c r="J15" s="124"/>
      <c r="K15" s="124"/>
      <c r="L15" s="115" t="s">
        <v>590</v>
      </c>
    </row>
    <row r="16" spans="1:12" x14ac:dyDescent="0.25">
      <c r="A16" s="112"/>
      <c r="B16" s="112"/>
      <c r="C16" s="112"/>
      <c r="D16" s="112"/>
      <c r="E16" s="112"/>
      <c r="F16" s="127">
        <v>12</v>
      </c>
      <c r="G16" s="132"/>
      <c r="H16" s="132"/>
      <c r="I16" s="112"/>
      <c r="J16" s="132"/>
      <c r="K16" s="132"/>
      <c r="L16" s="133" t="s">
        <v>591</v>
      </c>
    </row>
    <row r="17" spans="1:12" x14ac:dyDescent="0.2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</row>
    <row r="18" spans="1:12" x14ac:dyDescent="0.25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</row>
    <row r="19" spans="1:12" x14ac:dyDescent="0.25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</row>
    <row r="20" spans="1:12" x14ac:dyDescent="0.25">
      <c r="A20" s="112"/>
      <c r="B20" s="114" t="s">
        <v>592</v>
      </c>
      <c r="C20" s="112"/>
      <c r="D20" s="112"/>
      <c r="E20" s="134"/>
      <c r="F20" s="112"/>
      <c r="G20" s="112"/>
      <c r="H20" s="112"/>
      <c r="I20" s="112"/>
      <c r="J20" s="112"/>
      <c r="K20" s="112"/>
      <c r="L20" s="112"/>
    </row>
    <row r="21" spans="1:12" x14ac:dyDescent="0.25">
      <c r="A21" s="112"/>
      <c r="B21" s="118" t="s">
        <v>593</v>
      </c>
      <c r="C21" s="119" t="s">
        <v>594</v>
      </c>
      <c r="D21" s="119" t="s">
        <v>595</v>
      </c>
      <c r="E21" s="119" t="s">
        <v>554</v>
      </c>
      <c r="F21" s="112"/>
      <c r="G21" s="112"/>
      <c r="H21" s="112"/>
      <c r="I21" s="112"/>
      <c r="J21" s="112"/>
      <c r="K21" s="112"/>
      <c r="L21" s="112"/>
    </row>
    <row r="22" spans="1:12" x14ac:dyDescent="0.25">
      <c r="A22" s="112"/>
      <c r="B22" s="135"/>
      <c r="C22" s="136"/>
      <c r="D22" s="136"/>
      <c r="E22" s="136"/>
      <c r="F22" s="112"/>
      <c r="G22" s="112"/>
      <c r="H22" s="112"/>
      <c r="I22" s="112"/>
      <c r="J22" s="112"/>
      <c r="K22" s="112"/>
      <c r="L22" s="112"/>
    </row>
    <row r="23" spans="1:12" x14ac:dyDescent="0.25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</row>
    <row r="24" spans="1:12" x14ac:dyDescent="0.25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</row>
    <row r="25" spans="1:12" x14ac:dyDescent="0.25">
      <c r="A25" s="112"/>
      <c r="B25" s="114" t="s">
        <v>596</v>
      </c>
      <c r="C25" s="112"/>
      <c r="D25" s="112"/>
      <c r="E25" s="112"/>
      <c r="F25" s="112"/>
      <c r="G25" s="114" t="s">
        <v>597</v>
      </c>
      <c r="H25" s="112"/>
      <c r="I25" s="112"/>
      <c r="J25" s="112"/>
      <c r="K25" s="112"/>
      <c r="L25" s="112"/>
    </row>
    <row r="26" spans="1:12" x14ac:dyDescent="0.25">
      <c r="A26" s="112"/>
      <c r="B26" s="118" t="s">
        <v>593</v>
      </c>
      <c r="C26" s="119" t="s">
        <v>598</v>
      </c>
      <c r="D26" s="119" t="s">
        <v>562</v>
      </c>
      <c r="E26" s="119" t="s">
        <v>599</v>
      </c>
      <c r="F26" s="112"/>
      <c r="G26" s="118" t="s">
        <v>593</v>
      </c>
      <c r="H26" s="119" t="s">
        <v>598</v>
      </c>
      <c r="I26" s="119" t="s">
        <v>562</v>
      </c>
      <c r="J26" s="119" t="s">
        <v>599</v>
      </c>
      <c r="K26" s="112"/>
      <c r="L26" s="112"/>
    </row>
    <row r="27" spans="1:12" x14ac:dyDescent="0.25">
      <c r="A27" s="112"/>
      <c r="B27" s="135"/>
      <c r="C27" s="137"/>
      <c r="D27" s="137"/>
      <c r="E27" s="137"/>
      <c r="F27" s="112"/>
      <c r="G27" s="135"/>
      <c r="H27" s="137"/>
      <c r="I27" s="137"/>
      <c r="J27" s="137"/>
      <c r="K27" s="112"/>
      <c r="L27" s="112"/>
    </row>
    <row r="28" spans="1:12" x14ac:dyDescent="0.25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</row>
    <row r="29" spans="1:12" x14ac:dyDescent="0.25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</row>
    <row r="30" spans="1:12" x14ac:dyDescent="0.25">
      <c r="A30" s="112"/>
      <c r="B30" s="114" t="s">
        <v>600</v>
      </c>
      <c r="C30" s="112"/>
      <c r="D30" s="112"/>
      <c r="E30" s="112"/>
      <c r="F30" s="112"/>
      <c r="G30" s="114" t="s">
        <v>601</v>
      </c>
      <c r="H30" s="138"/>
      <c r="I30" s="112"/>
      <c r="J30" s="112"/>
      <c r="K30" s="112"/>
      <c r="L30" s="112"/>
    </row>
    <row r="31" spans="1:12" ht="30" x14ac:dyDescent="0.25">
      <c r="A31" s="112"/>
      <c r="B31" s="139" t="s">
        <v>593</v>
      </c>
      <c r="C31" s="123" t="s">
        <v>579</v>
      </c>
      <c r="D31" s="123" t="s">
        <v>581</v>
      </c>
      <c r="E31" s="123" t="s">
        <v>602</v>
      </c>
      <c r="F31" s="112"/>
      <c r="G31" s="118" t="s">
        <v>569</v>
      </c>
      <c r="H31" s="140" t="str">
        <f>[1]DashBoardFinanceiroAnual!K14</f>
        <v>Vestuário</v>
      </c>
      <c r="I31" s="112"/>
      <c r="J31" s="112"/>
      <c r="K31" s="112"/>
      <c r="L31" s="112"/>
    </row>
    <row r="32" spans="1:12" x14ac:dyDescent="0.25">
      <c r="A32" s="112"/>
      <c r="B32" s="141"/>
      <c r="C32" s="142"/>
      <c r="D32" s="142"/>
      <c r="E32" s="143"/>
      <c r="F32" s="112"/>
      <c r="G32" s="112">
        <v>1</v>
      </c>
      <c r="H32" s="124"/>
      <c r="I32" s="112"/>
      <c r="J32" s="112"/>
      <c r="K32" s="112"/>
      <c r="L32" s="112"/>
    </row>
    <row r="33" spans="1:12" x14ac:dyDescent="0.25">
      <c r="A33" s="112"/>
      <c r="B33" s="112"/>
      <c r="C33" s="112"/>
      <c r="D33" s="112"/>
      <c r="E33" s="112"/>
      <c r="F33" s="112"/>
      <c r="G33" s="112">
        <v>2</v>
      </c>
      <c r="H33" s="124"/>
      <c r="I33" s="112"/>
      <c r="J33" s="112"/>
      <c r="K33" s="112"/>
      <c r="L33" s="112"/>
    </row>
    <row r="34" spans="1:12" x14ac:dyDescent="0.25">
      <c r="A34" s="112"/>
      <c r="B34" s="112"/>
      <c r="C34" s="112"/>
      <c r="D34" s="112"/>
      <c r="E34" s="112"/>
      <c r="F34" s="112"/>
      <c r="G34" s="112">
        <v>3</v>
      </c>
      <c r="H34" s="124"/>
      <c r="I34" s="112"/>
      <c r="J34" s="112"/>
      <c r="K34" s="112"/>
      <c r="L34" s="112"/>
    </row>
    <row r="35" spans="1:12" x14ac:dyDescent="0.25">
      <c r="A35" s="112"/>
      <c r="B35" s="112"/>
      <c r="C35" s="112"/>
      <c r="D35" s="112"/>
      <c r="E35" s="112"/>
      <c r="F35" s="112"/>
      <c r="G35" s="112">
        <v>4</v>
      </c>
      <c r="H35" s="124"/>
      <c r="I35" s="112"/>
      <c r="J35" s="112"/>
      <c r="K35" s="112"/>
      <c r="L35" s="112"/>
    </row>
    <row r="36" spans="1:12" x14ac:dyDescent="0.25">
      <c r="A36" s="112"/>
      <c r="B36" s="112"/>
      <c r="C36" s="112"/>
      <c r="D36" s="112"/>
      <c r="E36" s="112"/>
      <c r="F36" s="112"/>
      <c r="G36" s="112">
        <v>5</v>
      </c>
      <c r="H36" s="124"/>
      <c r="I36" s="112"/>
      <c r="J36" s="112"/>
      <c r="K36" s="112"/>
      <c r="L36" s="112"/>
    </row>
    <row r="37" spans="1:12" x14ac:dyDescent="0.25">
      <c r="A37" s="112"/>
      <c r="B37" s="112"/>
      <c r="C37" s="112"/>
      <c r="D37" s="112"/>
      <c r="E37" s="112"/>
      <c r="F37" s="112"/>
      <c r="G37" s="112">
        <v>6</v>
      </c>
      <c r="H37" s="124"/>
      <c r="I37" s="112"/>
      <c r="J37" s="112"/>
      <c r="K37" s="112"/>
      <c r="L37" s="112"/>
    </row>
    <row r="38" spans="1:12" x14ac:dyDescent="0.25">
      <c r="A38" s="112"/>
      <c r="B38" s="112"/>
      <c r="C38" s="112"/>
      <c r="D38" s="112"/>
      <c r="E38" s="112"/>
      <c r="F38" s="112"/>
      <c r="G38" s="112">
        <v>7</v>
      </c>
      <c r="H38" s="124"/>
      <c r="I38" s="112"/>
      <c r="J38" s="112"/>
      <c r="K38" s="112"/>
      <c r="L38" s="112"/>
    </row>
    <row r="39" spans="1:12" x14ac:dyDescent="0.25">
      <c r="A39" s="112"/>
      <c r="B39" s="112"/>
      <c r="C39" s="112"/>
      <c r="D39" s="112"/>
      <c r="E39" s="112"/>
      <c r="F39" s="112"/>
      <c r="G39" s="112">
        <v>8</v>
      </c>
      <c r="H39" s="124"/>
      <c r="I39" s="112"/>
      <c r="J39" s="112"/>
      <c r="K39" s="112"/>
      <c r="L39" s="112"/>
    </row>
    <row r="40" spans="1:12" x14ac:dyDescent="0.25">
      <c r="A40" s="112"/>
      <c r="B40" s="112"/>
      <c r="C40" s="112"/>
      <c r="D40" s="112"/>
      <c r="E40" s="112"/>
      <c r="F40" s="112"/>
      <c r="G40" s="112">
        <v>9</v>
      </c>
      <c r="H40" s="124"/>
      <c r="I40" s="112"/>
      <c r="J40" s="112"/>
      <c r="K40" s="112"/>
      <c r="L40" s="112"/>
    </row>
    <row r="41" spans="1:12" x14ac:dyDescent="0.25">
      <c r="A41" s="112"/>
      <c r="B41" s="112"/>
      <c r="C41" s="112"/>
      <c r="D41" s="112"/>
      <c r="E41" s="112"/>
      <c r="F41" s="112"/>
      <c r="G41" s="112">
        <v>10</v>
      </c>
      <c r="H41" s="124"/>
      <c r="I41" s="112"/>
      <c r="J41" s="112"/>
      <c r="K41" s="112"/>
      <c r="L41" s="112"/>
    </row>
    <row r="42" spans="1:12" x14ac:dyDescent="0.25">
      <c r="A42" s="112"/>
      <c r="B42" s="112"/>
      <c r="C42" s="112"/>
      <c r="D42" s="112"/>
      <c r="E42" s="112"/>
      <c r="F42" s="112"/>
      <c r="G42" s="112">
        <v>11</v>
      </c>
      <c r="H42" s="124"/>
      <c r="I42" s="112"/>
      <c r="J42" s="112"/>
      <c r="K42" s="112"/>
      <c r="L42" s="112"/>
    </row>
    <row r="43" spans="1:12" x14ac:dyDescent="0.25">
      <c r="A43" s="112"/>
      <c r="B43" s="112"/>
      <c r="C43" s="112"/>
      <c r="D43" s="112"/>
      <c r="E43" s="112"/>
      <c r="F43" s="112"/>
      <c r="G43" s="127">
        <v>12</v>
      </c>
      <c r="H43" s="124"/>
      <c r="I43" s="112"/>
      <c r="J43" s="112"/>
      <c r="K43" s="112"/>
      <c r="L43" s="112"/>
    </row>
    <row r="44" spans="1:12" x14ac:dyDescent="0.25">
      <c r="A44" s="112"/>
      <c r="B44" s="112"/>
      <c r="C44" s="112"/>
      <c r="D44" s="112"/>
      <c r="E44" s="112"/>
      <c r="F44" s="112"/>
      <c r="G44" s="118" t="s">
        <v>554</v>
      </c>
      <c r="H44" s="144"/>
      <c r="I44" s="112"/>
      <c r="J44" s="112"/>
      <c r="K44" s="112"/>
      <c r="L44" s="112"/>
    </row>
    <row r="45" spans="1:12" x14ac:dyDescent="0.2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</row>
    <row r="46" spans="1:12" x14ac:dyDescent="0.25">
      <c r="G46" s="112"/>
      <c r="H46" s="112"/>
      <c r="I46" s="112"/>
      <c r="J46" s="112"/>
    </row>
  </sheetData>
  <conditionalFormatting sqref="C11">
    <cfRule type="cellIs" dxfId="1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workbookViewId="0">
      <selection activeCell="G44" sqref="G44"/>
    </sheetView>
  </sheetViews>
  <sheetFormatPr defaultRowHeight="15" x14ac:dyDescent="0.25"/>
  <cols>
    <col min="1" max="1" width="1.7109375" customWidth="1"/>
    <col min="2" max="2" width="12.140625" customWidth="1"/>
    <col min="3" max="5" width="11.5703125" bestFit="1" customWidth="1"/>
    <col min="6" max="6" width="6.14062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9.5703125" bestFit="1" customWidth="1"/>
    <col min="12" max="12" width="5" bestFit="1" customWidth="1"/>
  </cols>
  <sheetData>
    <row r="1" spans="1:12" x14ac:dyDescent="0.25">
      <c r="A1" s="112"/>
      <c r="B1" s="113" t="s">
        <v>603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</row>
    <row r="2" spans="1:12" x14ac:dyDescent="0.25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</row>
    <row r="3" spans="1:12" x14ac:dyDescent="0.25">
      <c r="A3" s="112"/>
      <c r="B3" s="112"/>
      <c r="C3" s="112"/>
      <c r="D3" s="112"/>
      <c r="E3" s="112"/>
      <c r="F3" s="114" t="s">
        <v>565</v>
      </c>
      <c r="G3" s="112"/>
      <c r="H3" s="112"/>
      <c r="I3" s="112"/>
      <c r="J3" s="114" t="s">
        <v>566</v>
      </c>
      <c r="K3" s="115" t="s">
        <v>567</v>
      </c>
      <c r="L3" s="116"/>
    </row>
    <row r="4" spans="1:12" ht="30" x14ac:dyDescent="0.25">
      <c r="A4" s="112"/>
      <c r="B4" s="115" t="s">
        <v>568</v>
      </c>
      <c r="C4" s="117"/>
      <c r="D4" s="112"/>
      <c r="E4" s="112"/>
      <c r="F4" s="118" t="s">
        <v>569</v>
      </c>
      <c r="G4" s="119" t="s">
        <v>570</v>
      </c>
      <c r="H4" s="118" t="s">
        <v>571</v>
      </c>
      <c r="I4" s="112"/>
      <c r="J4" s="120" t="str">
        <f>[1]DashBoardFinanceiroAtual!K4</f>
        <v>Livros</v>
      </c>
      <c r="K4" s="118" t="s">
        <v>572</v>
      </c>
      <c r="L4" s="118" t="s">
        <v>569</v>
      </c>
    </row>
    <row r="5" spans="1:12" x14ac:dyDescent="0.25">
      <c r="A5" s="112"/>
      <c r="B5" s="115" t="s">
        <v>604</v>
      </c>
      <c r="C5" s="145"/>
      <c r="D5" s="112"/>
      <c r="E5" s="112"/>
      <c r="F5" s="121">
        <v>1</v>
      </c>
      <c r="G5" s="122"/>
      <c r="H5" s="122"/>
      <c r="I5" s="112"/>
      <c r="J5" s="122"/>
      <c r="K5" s="122"/>
      <c r="L5" s="123" t="s">
        <v>573</v>
      </c>
    </row>
    <row r="6" spans="1:12" x14ac:dyDescent="0.25">
      <c r="A6" s="112"/>
      <c r="B6" s="112"/>
      <c r="C6" s="112"/>
      <c r="D6" s="112"/>
      <c r="E6" s="112"/>
      <c r="F6" s="112">
        <v>2</v>
      </c>
      <c r="G6" s="124"/>
      <c r="H6" s="124"/>
      <c r="I6" s="112"/>
      <c r="J6" s="124"/>
      <c r="K6" s="124"/>
      <c r="L6" s="115" t="s">
        <v>574</v>
      </c>
    </row>
    <row r="7" spans="1:12" x14ac:dyDescent="0.25">
      <c r="A7" s="112"/>
      <c r="B7" s="114" t="s">
        <v>575</v>
      </c>
      <c r="C7" s="112"/>
      <c r="D7" s="112"/>
      <c r="E7" s="112"/>
      <c r="F7" s="112">
        <v>3</v>
      </c>
      <c r="G7" s="124"/>
      <c r="H7" s="124"/>
      <c r="I7" s="112"/>
      <c r="J7" s="124"/>
      <c r="K7" s="124"/>
      <c r="L7" s="115" t="s">
        <v>576</v>
      </c>
    </row>
    <row r="8" spans="1:12" x14ac:dyDescent="0.25">
      <c r="A8" s="112"/>
      <c r="B8" s="121" t="s">
        <v>577</v>
      </c>
      <c r="C8" s="125"/>
      <c r="D8" s="112"/>
      <c r="E8" s="112"/>
      <c r="F8" s="112">
        <v>4</v>
      </c>
      <c r="G8" s="124"/>
      <c r="H8" s="124"/>
      <c r="I8" s="112"/>
      <c r="J8" s="124"/>
      <c r="K8" s="124"/>
      <c r="L8" s="115" t="s">
        <v>578</v>
      </c>
    </row>
    <row r="9" spans="1:12" x14ac:dyDescent="0.25">
      <c r="A9" s="112"/>
      <c r="B9" s="112" t="s">
        <v>579</v>
      </c>
      <c r="C9" s="126"/>
      <c r="D9" s="112"/>
      <c r="E9" s="112"/>
      <c r="F9" s="112">
        <v>5</v>
      </c>
      <c r="G9" s="124"/>
      <c r="H9" s="124"/>
      <c r="I9" s="112"/>
      <c r="J9" s="124"/>
      <c r="K9" s="124"/>
      <c r="L9" s="115" t="s">
        <v>580</v>
      </c>
    </row>
    <row r="10" spans="1:12" x14ac:dyDescent="0.25">
      <c r="A10" s="112"/>
      <c r="B10" s="112" t="s">
        <v>581</v>
      </c>
      <c r="C10" s="126"/>
      <c r="D10" s="112"/>
      <c r="E10" s="112"/>
      <c r="F10" s="112">
        <v>6</v>
      </c>
      <c r="G10" s="124"/>
      <c r="H10" s="124"/>
      <c r="I10" s="112"/>
      <c r="J10" s="124"/>
      <c r="K10" s="124"/>
      <c r="L10" s="115" t="s">
        <v>582</v>
      </c>
    </row>
    <row r="11" spans="1:12" x14ac:dyDescent="0.25">
      <c r="A11" s="112"/>
      <c r="B11" s="127" t="s">
        <v>583</v>
      </c>
      <c r="C11" s="128"/>
      <c r="D11" s="112"/>
      <c r="E11" s="112"/>
      <c r="F11" s="112">
        <v>7</v>
      </c>
      <c r="G11" s="124"/>
      <c r="H11" s="124"/>
      <c r="I11" s="112"/>
      <c r="J11" s="124"/>
      <c r="K11" s="124"/>
      <c r="L11" s="115" t="s">
        <v>584</v>
      </c>
    </row>
    <row r="12" spans="1:12" x14ac:dyDescent="0.25">
      <c r="A12" s="112"/>
      <c r="B12" s="112"/>
      <c r="C12" s="112"/>
      <c r="D12" s="112"/>
      <c r="E12" s="112"/>
      <c r="F12" s="112">
        <v>8</v>
      </c>
      <c r="G12" s="124"/>
      <c r="H12" s="124"/>
      <c r="I12" s="112"/>
      <c r="J12" s="124"/>
      <c r="K12" s="124"/>
      <c r="L12" s="115" t="s">
        <v>585</v>
      </c>
    </row>
    <row r="13" spans="1:12" x14ac:dyDescent="0.25">
      <c r="A13" s="112"/>
      <c r="B13" s="129" t="s">
        <v>586</v>
      </c>
      <c r="C13" s="129"/>
      <c r="D13" s="125"/>
      <c r="E13" s="112"/>
      <c r="F13" s="112">
        <v>9</v>
      </c>
      <c r="G13" s="124"/>
      <c r="H13" s="124"/>
      <c r="I13" s="112"/>
      <c r="J13" s="124"/>
      <c r="K13" s="124"/>
      <c r="L13" s="115" t="s">
        <v>587</v>
      </c>
    </row>
    <row r="14" spans="1:12" x14ac:dyDescent="0.25">
      <c r="A14" s="112"/>
      <c r="B14" s="130" t="s">
        <v>588</v>
      </c>
      <c r="C14" s="130"/>
      <c r="D14" s="131"/>
      <c r="E14" s="112"/>
      <c r="F14" s="112">
        <v>10</v>
      </c>
      <c r="G14" s="124"/>
      <c r="H14" s="124"/>
      <c r="I14" s="112"/>
      <c r="J14" s="124"/>
      <c r="K14" s="124"/>
      <c r="L14" s="115" t="s">
        <v>589</v>
      </c>
    </row>
    <row r="15" spans="1:12" x14ac:dyDescent="0.25">
      <c r="A15" s="112"/>
      <c r="B15" s="112"/>
      <c r="C15" s="112"/>
      <c r="D15" s="112"/>
      <c r="E15" s="112"/>
      <c r="F15" s="112">
        <v>11</v>
      </c>
      <c r="G15" s="124"/>
      <c r="H15" s="124"/>
      <c r="I15" s="112"/>
      <c r="J15" s="124"/>
      <c r="K15" s="124"/>
      <c r="L15" s="115" t="s">
        <v>590</v>
      </c>
    </row>
    <row r="16" spans="1:12" x14ac:dyDescent="0.25">
      <c r="A16" s="112"/>
      <c r="B16" s="112"/>
      <c r="C16" s="112"/>
      <c r="D16" s="112"/>
      <c r="E16" s="112"/>
      <c r="F16" s="127">
        <v>12</v>
      </c>
      <c r="G16" s="132"/>
      <c r="H16" s="132"/>
      <c r="I16" s="112"/>
      <c r="J16" s="132"/>
      <c r="K16" s="132"/>
      <c r="L16" s="133" t="s">
        <v>591</v>
      </c>
    </row>
    <row r="17" spans="1:12" x14ac:dyDescent="0.2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</row>
    <row r="18" spans="1:12" x14ac:dyDescent="0.25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</row>
    <row r="19" spans="1:12" x14ac:dyDescent="0.25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</row>
    <row r="20" spans="1:12" x14ac:dyDescent="0.25">
      <c r="A20" s="112"/>
      <c r="B20" s="114" t="s">
        <v>592</v>
      </c>
      <c r="C20" s="112"/>
      <c r="D20" s="112"/>
      <c r="E20" s="134"/>
      <c r="F20" s="112"/>
      <c r="G20" s="112"/>
      <c r="H20" s="112"/>
      <c r="I20" s="112"/>
      <c r="J20" s="112"/>
      <c r="K20" s="112"/>
      <c r="L20" s="112"/>
    </row>
    <row r="21" spans="1:12" x14ac:dyDescent="0.25">
      <c r="A21" s="112"/>
      <c r="B21" s="118" t="s">
        <v>593</v>
      </c>
      <c r="C21" s="119" t="s">
        <v>594</v>
      </c>
      <c r="D21" s="119" t="s">
        <v>595</v>
      </c>
      <c r="E21" s="119" t="s">
        <v>554</v>
      </c>
      <c r="F21" s="112"/>
      <c r="G21" s="112"/>
      <c r="H21" s="112"/>
      <c r="I21" s="112"/>
      <c r="J21" s="112"/>
      <c r="K21" s="112"/>
      <c r="L21" s="112"/>
    </row>
    <row r="22" spans="1:12" x14ac:dyDescent="0.25">
      <c r="A22" s="112"/>
      <c r="B22" s="135"/>
      <c r="C22" s="136"/>
      <c r="D22" s="136"/>
      <c r="E22" s="136"/>
      <c r="F22" s="112"/>
      <c r="G22" s="112"/>
      <c r="H22" s="112"/>
      <c r="I22" s="112"/>
      <c r="J22" s="112"/>
      <c r="K22" s="112"/>
      <c r="L22" s="112"/>
    </row>
    <row r="23" spans="1:12" x14ac:dyDescent="0.25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</row>
    <row r="24" spans="1:12" x14ac:dyDescent="0.25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</row>
    <row r="25" spans="1:12" x14ac:dyDescent="0.25">
      <c r="A25" s="112"/>
      <c r="B25" s="114" t="s">
        <v>596</v>
      </c>
      <c r="C25" s="112"/>
      <c r="D25" s="112"/>
      <c r="E25" s="112"/>
      <c r="F25" s="112"/>
      <c r="G25" s="114" t="s">
        <v>597</v>
      </c>
      <c r="H25" s="112"/>
      <c r="I25" s="112"/>
      <c r="J25" s="112"/>
      <c r="K25" s="112"/>
      <c r="L25" s="112"/>
    </row>
    <row r="26" spans="1:12" x14ac:dyDescent="0.25">
      <c r="A26" s="112"/>
      <c r="B26" s="118" t="s">
        <v>593</v>
      </c>
      <c r="C26" s="119" t="s">
        <v>598</v>
      </c>
      <c r="D26" s="119" t="s">
        <v>562</v>
      </c>
      <c r="E26" s="119" t="s">
        <v>599</v>
      </c>
      <c r="F26" s="112"/>
      <c r="G26" s="118" t="s">
        <v>593</v>
      </c>
      <c r="H26" s="119" t="s">
        <v>598</v>
      </c>
      <c r="I26" s="119" t="s">
        <v>562</v>
      </c>
      <c r="J26" s="119" t="s">
        <v>599</v>
      </c>
      <c r="K26" s="112"/>
      <c r="L26" s="112"/>
    </row>
    <row r="27" spans="1:12" x14ac:dyDescent="0.25">
      <c r="A27" s="112"/>
      <c r="B27" s="135"/>
      <c r="C27" s="137"/>
      <c r="D27" s="137"/>
      <c r="E27" s="137"/>
      <c r="F27" s="112"/>
      <c r="G27" s="135"/>
      <c r="H27" s="137"/>
      <c r="I27" s="137"/>
      <c r="J27" s="137"/>
      <c r="K27" s="112"/>
      <c r="L27" s="112"/>
    </row>
    <row r="28" spans="1:12" x14ac:dyDescent="0.25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</row>
    <row r="29" spans="1:12" x14ac:dyDescent="0.25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</row>
    <row r="30" spans="1:12" x14ac:dyDescent="0.25">
      <c r="A30" s="112"/>
      <c r="B30" s="114" t="s">
        <v>600</v>
      </c>
      <c r="C30" s="112"/>
      <c r="D30" s="112"/>
      <c r="E30" s="112"/>
      <c r="F30" s="112"/>
      <c r="G30" s="114" t="s">
        <v>601</v>
      </c>
      <c r="H30" s="138">
        <f>C4</f>
        <v>0</v>
      </c>
      <c r="I30" s="112"/>
      <c r="J30" s="112"/>
      <c r="K30" s="112"/>
      <c r="L30" s="112"/>
    </row>
    <row r="31" spans="1:12" ht="30" x14ac:dyDescent="0.25">
      <c r="A31" s="112"/>
      <c r="B31" s="139" t="s">
        <v>593</v>
      </c>
      <c r="C31" s="123" t="s">
        <v>579</v>
      </c>
      <c r="D31" s="123" t="s">
        <v>581</v>
      </c>
      <c r="E31" s="123" t="s">
        <v>602</v>
      </c>
      <c r="F31" s="112"/>
      <c r="G31" s="118" t="s">
        <v>569</v>
      </c>
      <c r="H31" s="140" t="str">
        <f>[1]DashBoardFinanceiroAtual!K14</f>
        <v>Vestuário</v>
      </c>
      <c r="I31" s="112"/>
      <c r="J31" s="112"/>
      <c r="K31" s="112"/>
      <c r="L31" s="112"/>
    </row>
    <row r="32" spans="1:12" x14ac:dyDescent="0.25">
      <c r="A32" s="112"/>
      <c r="B32" s="141"/>
      <c r="C32" s="142"/>
      <c r="D32" s="142"/>
      <c r="E32" s="143"/>
      <c r="F32" s="112"/>
      <c r="G32" s="112">
        <v>1</v>
      </c>
      <c r="H32" s="124"/>
      <c r="I32" s="112"/>
      <c r="J32" s="112"/>
      <c r="K32" s="112"/>
      <c r="L32" s="112"/>
    </row>
    <row r="33" spans="1:12" x14ac:dyDescent="0.25">
      <c r="A33" s="112"/>
      <c r="B33" s="112"/>
      <c r="C33" s="112"/>
      <c r="D33" s="112"/>
      <c r="E33" s="112"/>
      <c r="F33" s="112"/>
      <c r="G33" s="112">
        <v>2</v>
      </c>
      <c r="H33" s="124"/>
      <c r="I33" s="112"/>
      <c r="J33" s="112"/>
      <c r="K33" s="112"/>
      <c r="L33" s="112"/>
    </row>
    <row r="34" spans="1:12" x14ac:dyDescent="0.25">
      <c r="A34" s="112"/>
      <c r="B34" s="112"/>
      <c r="C34" s="112"/>
      <c r="D34" s="112"/>
      <c r="E34" s="112"/>
      <c r="F34" s="112"/>
      <c r="G34" s="112">
        <v>3</v>
      </c>
      <c r="H34" s="124"/>
      <c r="I34" s="112"/>
      <c r="J34" s="112"/>
      <c r="K34" s="112"/>
      <c r="L34" s="112"/>
    </row>
    <row r="35" spans="1:12" x14ac:dyDescent="0.25">
      <c r="A35" s="112"/>
      <c r="B35" s="112"/>
      <c r="C35" s="112"/>
      <c r="D35" s="112"/>
      <c r="E35" s="112"/>
      <c r="F35" s="112"/>
      <c r="G35" s="112">
        <v>4</v>
      </c>
      <c r="H35" s="124"/>
      <c r="I35" s="112"/>
      <c r="J35" s="112"/>
      <c r="K35" s="112"/>
      <c r="L35" s="112"/>
    </row>
    <row r="36" spans="1:12" x14ac:dyDescent="0.25">
      <c r="A36" s="112"/>
      <c r="B36" s="112"/>
      <c r="C36" s="112"/>
      <c r="D36" s="112"/>
      <c r="E36" s="112"/>
      <c r="F36" s="112"/>
      <c r="G36" s="112">
        <v>5</v>
      </c>
      <c r="H36" s="124"/>
      <c r="I36" s="112"/>
      <c r="J36" s="112"/>
      <c r="K36" s="112"/>
      <c r="L36" s="112"/>
    </row>
    <row r="37" spans="1:12" x14ac:dyDescent="0.25">
      <c r="A37" s="112"/>
      <c r="B37" s="112"/>
      <c r="C37" s="112"/>
      <c r="D37" s="112"/>
      <c r="E37" s="112"/>
      <c r="F37" s="112"/>
      <c r="G37" s="112">
        <v>6</v>
      </c>
      <c r="H37" s="124"/>
      <c r="I37" s="112"/>
      <c r="J37" s="112"/>
      <c r="K37" s="112"/>
      <c r="L37" s="112"/>
    </row>
    <row r="38" spans="1:12" x14ac:dyDescent="0.25">
      <c r="A38" s="112"/>
      <c r="B38" s="112"/>
      <c r="C38" s="112"/>
      <c r="D38" s="112"/>
      <c r="E38" s="112"/>
      <c r="F38" s="112"/>
      <c r="G38" s="112">
        <v>7</v>
      </c>
      <c r="H38" s="124"/>
      <c r="I38" s="112"/>
      <c r="J38" s="112"/>
      <c r="K38" s="112"/>
      <c r="L38" s="112"/>
    </row>
    <row r="39" spans="1:12" x14ac:dyDescent="0.25">
      <c r="A39" s="112"/>
      <c r="B39" s="112"/>
      <c r="C39" s="112"/>
      <c r="D39" s="112"/>
      <c r="E39" s="112"/>
      <c r="F39" s="112"/>
      <c r="G39" s="112">
        <v>8</v>
      </c>
      <c r="H39" s="124"/>
      <c r="I39" s="112"/>
      <c r="J39" s="112"/>
      <c r="K39" s="112"/>
      <c r="L39" s="112"/>
    </row>
    <row r="40" spans="1:12" x14ac:dyDescent="0.25">
      <c r="A40" s="112"/>
      <c r="B40" s="112"/>
      <c r="C40" s="112"/>
      <c r="D40" s="112"/>
      <c r="E40" s="112"/>
      <c r="F40" s="112"/>
      <c r="G40" s="112">
        <v>9</v>
      </c>
      <c r="H40" s="124"/>
      <c r="I40" s="112"/>
      <c r="J40" s="112"/>
      <c r="K40" s="112"/>
      <c r="L40" s="112"/>
    </row>
    <row r="41" spans="1:12" x14ac:dyDescent="0.25">
      <c r="A41" s="112"/>
      <c r="B41" s="112"/>
      <c r="C41" s="112"/>
      <c r="D41" s="112"/>
      <c r="E41" s="112"/>
      <c r="F41" s="112"/>
      <c r="G41" s="112">
        <v>10</v>
      </c>
      <c r="H41" s="124"/>
      <c r="I41" s="112"/>
      <c r="J41" s="112"/>
      <c r="K41" s="112"/>
      <c r="L41" s="112"/>
    </row>
    <row r="42" spans="1:12" x14ac:dyDescent="0.25">
      <c r="A42" s="112"/>
      <c r="B42" s="112"/>
      <c r="C42" s="112"/>
      <c r="D42" s="112"/>
      <c r="E42" s="112"/>
      <c r="F42" s="112"/>
      <c r="G42" s="112">
        <v>11</v>
      </c>
      <c r="H42" s="124"/>
      <c r="I42" s="112"/>
      <c r="J42" s="112"/>
      <c r="K42" s="112"/>
      <c r="L42" s="112"/>
    </row>
    <row r="43" spans="1:12" x14ac:dyDescent="0.25">
      <c r="A43" s="112"/>
      <c r="B43" s="112"/>
      <c r="C43" s="112"/>
      <c r="D43" s="112"/>
      <c r="E43" s="112"/>
      <c r="F43" s="112"/>
      <c r="G43" s="127">
        <v>12</v>
      </c>
      <c r="H43" s="124"/>
      <c r="I43" s="112"/>
      <c r="J43" s="112"/>
      <c r="K43" s="112"/>
      <c r="L43" s="112"/>
    </row>
    <row r="44" spans="1:12" x14ac:dyDescent="0.25">
      <c r="A44" s="112"/>
      <c r="B44" s="112"/>
      <c r="C44" s="112"/>
      <c r="D44" s="112"/>
      <c r="E44" s="112"/>
      <c r="F44" s="112"/>
      <c r="G44" s="118" t="s">
        <v>554</v>
      </c>
      <c r="H44" s="144"/>
      <c r="I44" s="112"/>
      <c r="J44" s="112"/>
      <c r="K44" s="112"/>
      <c r="L44" s="112"/>
    </row>
    <row r="45" spans="1:12" x14ac:dyDescent="0.2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</row>
    <row r="46" spans="1:12" x14ac:dyDescent="0.25">
      <c r="G46" s="112"/>
      <c r="H46" s="112"/>
      <c r="I46" s="112"/>
      <c r="J46" s="112"/>
    </row>
  </sheetData>
  <conditionalFormatting sqref="C11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12</vt:i4>
      </vt:variant>
    </vt:vector>
  </HeadingPairs>
  <TitlesOfParts>
    <vt:vector size="30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DashBoardFinanceiroAnual</vt:lpstr>
      <vt:lpstr>DashBoardFinanceiroAnualD</vt:lpstr>
      <vt:lpstr>DashBoardFinanceiroAtualD</vt:lpstr>
      <vt:lpstr>DashBoardFinanceiroAnual!PCEntradasN1_Nível_1</vt:lpstr>
      <vt:lpstr>PCEntradasN1_Nível_1</vt:lpstr>
      <vt:lpstr>DashBoardFinanceiroAnual!PCEntradasN2_Nível_1</vt:lpstr>
      <vt:lpstr>PCEntradasN2_Nível_1</vt:lpstr>
      <vt:lpstr>DashBoardFinanceiroAnual!PCEntradasN2_Nível_2</vt:lpstr>
      <vt:lpstr>PCEntradasN2_Nível_2</vt:lpstr>
      <vt:lpstr>DashBoardFinanceiroAnual!PCSaídasN1_Nível_1</vt:lpstr>
      <vt:lpstr>PCSaídasN1_Nível_1</vt:lpstr>
      <vt:lpstr>DashBoardFinanceiroAnual!PCSaídasN2_Nível_1</vt:lpstr>
      <vt:lpstr>PCSaídasN2_Nível_1</vt:lpstr>
      <vt:lpstr>DashBoardFinanceiroAnual!PCSaídasN2_Nível_2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2020-04-23T22:34:36Z</dcterms:modified>
</cp:coreProperties>
</file>