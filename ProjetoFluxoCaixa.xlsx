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7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0" r:id="rId20"/>
    <pivotCache cacheId="1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O4" i="9" l="1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J4" i="19" l="1"/>
  <c r="C4" i="19"/>
  <c r="H31" i="20"/>
  <c r="J4" i="20"/>
  <c r="H31" i="19"/>
  <c r="G27" i="19" l="1"/>
  <c r="B22" i="19"/>
  <c r="B27" i="19"/>
  <c r="L3" i="19"/>
  <c r="H30" i="20"/>
  <c r="C27" i="19" l="1"/>
  <c r="D27" i="19"/>
  <c r="E27" i="19" s="1"/>
  <c r="F16" i="18" s="1"/>
  <c r="B16" i="16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I27" i="19" l="1"/>
  <c r="H27" i="19"/>
  <c r="G15" i="19"/>
  <c r="G10" i="19"/>
  <c r="G8" i="19"/>
  <c r="G5" i="19"/>
  <c r="G16" i="19"/>
  <c r="G13" i="19"/>
  <c r="G11" i="19"/>
  <c r="G9" i="19"/>
  <c r="G12" i="19"/>
  <c r="G6" i="19"/>
  <c r="G14" i="19"/>
  <c r="G7" i="19"/>
  <c r="D13" i="19"/>
  <c r="B8" i="18" s="1"/>
  <c r="H14" i="19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J27" i="19" l="1"/>
  <c r="G16" i="18" s="1"/>
  <c r="C10" i="19"/>
  <c r="D22" i="19"/>
  <c r="C22" i="19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E22" i="19" l="1"/>
  <c r="B16" i="18" s="1"/>
  <c r="C11" i="19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<sst xmlns="http://schemas.openxmlformats.org/spreadsheetml/2006/main" count="1810" uniqueCount="608">
  <si>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</si>
  <si>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</si>
  <si>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</si>
  <si>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</si>
  <si>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</si>
  <si>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</si>
  <si>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</si>
  <si>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</si>
  <si>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</si>
  <si>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</si>
  <si>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</si>
  <si>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</si>
  <si>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</si>
  <si>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</si>
  <si>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</si>
  <si>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</si>
  <si>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</si>
  <si>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</si>
  <si>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</si>
  <si>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</si>
  <si>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</si>
  <si>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</si>
  <si>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</si>
  <si>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</si>
  <si>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</si>
  <si>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</si>
  <si>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</si>
  <si>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</si>
  <si>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</si>
  <si>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</si>
  <si>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</si>
  <si>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</si>
  <si>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</si>
  <si>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</si>
  <si>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</si>
  <si>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</si>
  <si>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</si>
  <si>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</si>
  <si>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</si>
  <si>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</si>
  <si>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</si>
  <si>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</si>
  <si>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</si>
  <si>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</si>
  <si>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</si>
  <si>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</si>
  <si>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</si>
  <si>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</si>
  <si>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</si>
  <si>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</si>
  <si>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</si>
  <si>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</si>
  <si>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</si>
  <si>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</si>
  <si>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</si>
  <si>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</si>
  <si>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</si>
  <si>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</si>
  <si>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</si>
  <si>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</si>
  <si>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</si>
  <si>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</si>
  <si>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</si>
  <si>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</si>
  <si>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</si>
  <si>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</si>
  <si>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</si>
  <si>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</si>
  <si>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</si>
  <si>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</si>
  <si>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</si>
  <si>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</si>
  <si>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</si>
  <si>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</si>
  <si>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</si>
  <si>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</si>
  <si>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</si>
  <si>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</si>
  <si>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</si>
  <si>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</si>
  <si>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</si>
  <si>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</si>
  <si>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</si>
  <si>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</si>
  <si>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</si>
  <si>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</si>
  <si>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</si>
  <si>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</si>
  <si>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</si>
  <si>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</si>
  <si>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</si>
  <si>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</si>
  <si>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</si>
  <si>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</si>
  <si>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</si>
  <si>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</si>
  <si>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</si>
  <si>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</si>
  <si>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</si>
  <si>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</si>
  <si>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</si>
  <si>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</si>
  <si>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</si>
  <si>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</si>
  <si>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</si>
  <si>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</si>
  <si>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</si>
  <si>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</si>
  <si>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</si>
  <si>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</si>
  <si>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</si>
  <si>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</si>
  <si>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</si>
  <si>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</si>
  <si>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</si>
  <si>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</si>
  <si>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</si>
  <si>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</si>
  <si>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</si>
  <si>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</si>
  <si>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</si>
  <si>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</si>
  <si>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</si>
  <si>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</si>
  <si>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</si>
  <si>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</si>
  <si>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</si>
  <si>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</si>
  <si>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</si>
  <si>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</si>
  <si>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</si>
  <si>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</si>
  <si>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</si>
  <si>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</si>
  <si>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</si>
  <si>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</si>
  <si>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</si>
  <si>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</si>
  <si>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</si>
  <si>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</si>
  <si>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</si>
  <si>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</si>
  <si>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</si>
  <si>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</si>
  <si>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</si>
  <si>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</si>
  <si>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</si>
  <si>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</si>
  <si>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</si>
  <si>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</si>
  <si>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</si>
  <si>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</si>
  <si>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</si>
  <si>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</si>
  <si>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</si>
  <si>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</si>
  <si>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</si>
  <si>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</si>
  <si>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</si>
  <si>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</si>
  <si>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</si>
  <si>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</si>
  <si>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</si>
  <si>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</si>
  <si>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</si>
  <si>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</si>
  <si>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</si>
  <si>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</si>
  <si>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</si>
  <si>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</si>
  <si>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</si>
  <si>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</si>
  <si>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</si>
  <si>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</si>
  <si>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</si>
  <si>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</si>
  <si>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</si>
  <si>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</si>
  <si>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</si>
  <si>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</si>
  <si>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</si>
  <si>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</si>
  <si>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</si>
  <si>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</si>
  <si>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</si>
  <si>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</si>
  <si>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</si>
  <si>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</si>
  <si>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</si>
  <si>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</si>
  <si>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</si>
  <si>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</si>
  <si>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</si>
  <si>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</si>
  <si>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</si>
  <si>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</si>
  <si>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</si>
  <si>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</si>
  <si>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</si>
  <si>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</si>
  <si>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</si>
  <si>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</si>
  <si>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</si>
  <si>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</si>
  <si>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</si>
  <si>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</si>
  <si>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</si>
  <si>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</si>
  <si>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</si>
  <si>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</si>
  <si>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</si>
  <si>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</si>
  <si>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</si>
  <si>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</si>
  <si>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</si>
  <si>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</si>
  <si>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</si>
  <si>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</si>
  <si>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</si>
  <si>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</si>
  <si>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</si>
  <si>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</si>
  <si>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</si>
  <si>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</si>
  <si>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</si>
  <si>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</si>
  <si>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</si>
  <si>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</si>
  <si>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</si>
  <si>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</si>
  <si>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</si>
  <si>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</si>
  <si>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</si>
  <si>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</si>
  <si>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</si>
  <si>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</si>
  <si>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</si>
  <si>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</si>
  <si>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</si>
  <si>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</si>
  <si>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</si>
  <si>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</si>
  <si>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</si>
  <si>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</si>
  <si>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</si>
  <si>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</si>
  <si>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</si>
  <si>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</si>
  <si>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</si>
  <si>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</si>
  <si>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</si>
  <si>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</si>
  <si>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</si>
  <si>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</si>
  <si>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</si>
  <si>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</si>
  <si>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</si>
  <si>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</si>
  <si>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</si>
  <si>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</si>
  <si>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</si>
  <si>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</si>
  <si>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</si>
  <si>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</si>
  <si>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</si>
  <si>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</si>
  <si>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</si>
  <si>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</si>
  <si>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</si>
  <si>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</si>
  <si>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</si>
  <si>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</si>
  <si>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</si>
  <si>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</si>
  <si>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</si>
  <si>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</si>
  <si>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</si>
  <si>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</si>
  <si>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</si>
  <si>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</si>
  <si>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</si>
  <si>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</si>
  <si>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</si>
  <si>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</si>
  <si>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</si>
  <si>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</si>
  <si>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</si>
  <si>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</si>
  <si>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</si>
  <si>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</si>
  <si>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</si>
  <si>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</si>
  <si>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</si>
  <si>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</si>
  <si>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</si>
  <si>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</si>
  <si>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</si>
  <si>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</si>
  <si>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</si>
  <si>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</si>
  <si>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</si>
  <si>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</si>
  <si>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</si>
  <si>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</si>
  <si>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</si>
  <si>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</si>
  <si>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</si>
  <si>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</si>
  <si>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</si>
  <si>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</si>
  <si>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</si>
  <si>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</si>
  <si>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</si>
  <si>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</si>
  <si>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</si>
  <si>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</si>
  <si>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</si>
  <si>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</si>
  <si>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</si>
  <si>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</si>
  <si>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</si>
  <si>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</si>
  <si>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</si>
  <si>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</si>
  <si>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</si>
  <si>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</si>
  <si>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</si>
  <si>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</si>
  <si>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</si>
  <si>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</si>
  <si>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</si>
  <si>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</si>
  <si>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</si>
  <si>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</si>
  <si>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</si>
  <si>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</si>
  <si>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</si>
  <si>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</si>
  <si>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</si>
  <si>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</si>
  <si>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</si>
  <si>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</si>
  <si>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</si>
  <si>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</si>
  <si>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</si>
  <si>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</si>
  <si>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</si>
  <si>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</si>
  <si>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</si>
  <si>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</si>
  <si>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</si>
  <si>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</si>
  <si>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</si>
  <si>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</si>
  <si>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</si>
  <si>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</si>
  <si>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</si>
  <si>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</si>
  <si>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</si>
  <si>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</si>
  <si>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</si>
  <si>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</si>
  <si>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</si>
  <si>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</si>
  <si>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</si>
  <si>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</si>
  <si>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</si>
  <si>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</si>
  <si>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</si>
  <si>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</si>
  <si>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</si>
  <si>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</si>
  <si>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</si>
  <si>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</si>
  <si>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</si>
  <si>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</si>
  <si>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</si>
  <si>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</si>
  <si>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</si>
  <si>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</si>
  <si>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</si>
  <si>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</si>
  <si>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</si>
  <si>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</si>
  <si>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</si>
  <si>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</si>
  <si>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</si>
  <si>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</si>
  <si>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</si>
  <si>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</si>
  <si>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</si>
  <si>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</si>
  <si>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</si>
  <si>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</si>
  <si>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</si>
  <si>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</si>
  <si>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</si>
  <si>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</si>
  <si>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</si>
  <si>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</si>
  <si>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</si>
  <si>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</si>
  <si>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</si>
  <si>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</si>
  <si>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</si>
  <si>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</si>
  <si>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</si>
  <si>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</si>
  <si>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</si>
  <si>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</si>
  <si>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</si>
  <si>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</si>
  <si>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</si>
  <si>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</si>
  <si>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</si>
  <si>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</si>
  <si>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</si>
  <si>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</si>
  <si>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</si>
  <si>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</si>
  <si>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</si>
  <si>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</si>
  <si>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</si>
  <si>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</si>
  <si>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</si>
  <si>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</si>
  <si>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</si>
  <si>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</si>
  <si>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</si>
  <si>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</si>
  <si>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</si>
  <si>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</si>
  <si>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</si>
  <si>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</si>
  <si>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</si>
  <si>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</si>
  <si>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</si>
  <si>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</si>
  <si>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</si>
  <si>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</si>
  <si>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</si>
  <si>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</si>
  <si>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</si>
  <si>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</si>
  <si>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</si>
  <si>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</si>
  <si>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</si>
  <si>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</si>
  <si>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</si>
  <si>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</si>
  <si>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</si>
  <si>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</si>
  <si>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</si>
  <si>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</si>
  <si>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</si>
  <si>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</si>
  <si>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</si>
  <si>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</si>
  <si>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</si>
  <si>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</si>
  <si>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</si>
  <si>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</si>
  <si>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</si>
  <si>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</si>
  <si>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</si>
  <si>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</si>
  <si>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</si>
  <si>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</si>
  <si>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</si>
  <si>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</si>
  <si>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</si>
  <si>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</si>
  <si>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</si>
  <si>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</si>
  <si>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</si>
  <si>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</si>
  <si>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</si>
  <si>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</si>
  <si>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</si>
  <si>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</si>
  <si>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</si>
  <si>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</si>
  <si>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</si>
  <si>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</si>
  <si>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</si>
  <si>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</si>
  <si>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</si>
  <si>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</si>
  <si>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</si>
  <si>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</si>
  <si>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</si>
  <si>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</si>
  <si>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</si>
  <si>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</si>
  <si>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</si>
  <si>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</si>
  <si>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</si>
  <si>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</si>
  <si>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</si>
  <si>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</si>
  <si>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</si>
  <si>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</si>
  <si>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</si>
  <si>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</si>
  <si>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</si>
  <si>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</si>
  <si>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</si>
  <si>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</si>
  <si>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</si>
  <si>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</si>
  <si>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</si>
  <si>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</si>
  <si>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</si>
  <si>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</si>
  <si>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</si>
  <si>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</si>
  <si>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</si>
  <si>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</si>
  <si>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</si>
  <si>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</si>
  <si>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</si>
  <si>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</si>
  <si>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</si>
  <si>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</si>
  <si>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</si>
  <si>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</si>
  <si>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</si>
  <si>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</si>
  <si>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</si>
  <si>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</si>
  <si>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</si>
  <si>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</si>
  <si>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</si>
  <si>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</si>
  <si>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</si>
  <si>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</si>
  <si>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</si>
  <si>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</si>
  <si>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</si>
  <si>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</si>
  <si>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</si>
  <si>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</si>
  <si>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</si>
  <si>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</si>
  <si>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</si>
  <si>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</si>
  <si>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</si>
  <si>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</si>
  <si>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</si>
  <si>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</si>
  <si>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</si>
  <si>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</si>
  <si>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</si>
  <si>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</si>
  <si>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</si>
  <si>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</si>
  <si>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</si>
  <si>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</si>
  <si>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</si>
  <si>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</si>
  <si>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</si>
  <si>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</si>
  <si>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</si>
  <si>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</si>
  <si>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</si>
  <si>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</si>
  <si>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</si>
  <si>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</si>
  <si>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</si>
  <si>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</si>
  <si>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</si>
  <si>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</si>
  <si>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</si>
  <si>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</si>
  <si>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</si>
  <si>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</si>
  <si>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</si>
  <si>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</si>
  <si>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</si>
  <si>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</si>
  <si>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</si>
  <si>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</si>
  <si>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</si>
  <si>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</si>
  <si>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</si>
  <si>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</si>
  <si>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</si>
  <si>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</si>
  <si>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</si>
  <si>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</si>
  <si>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</si>
  <si>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</si>
  <si>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</si>
  <si>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</si>
  <si>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</si>
  <si>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</si>
  <si>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</si>
  <si>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</si>
  <si>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</si>
  <si>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</si>
  <si>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</si>
  <si>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</si>
  <si>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</si>
  <si>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</si>
  <si>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</si>
  <si>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</si>
  <si>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</si>
  <si>
    <t>Dias de Atraso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</si>
</sst>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  <numFmt numFmtId="172" formatCode="0.00000"/>
  </numFmts>
  <fonts count="33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4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5" fillId="0" borderId="21" xfId="2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  <xf numFmtId="172" fontId="28" fillId="0" borderId="0" xfId="0" applyNumberFormat="1" applyFont="1" applyFill="1" applyBorder="1" applyAlignment="1">
      <alignment vertical="center"/>
    </xf>
  </cellXfs>
  <cellStyles count="3">
    <cellStyle name="Moeda" xfId="2" builtinId="4"/>
    <cellStyle name="Normal" xfId="0" builtinId="0"/>
    <cellStyle name="Vírgula" xfId="1" builtinId="3"/>
  </cellStyles>
  <dxfs count="39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#N/A</c:v>
                </c:pt>
                <c:pt idx="1">
                  <c:v>10916</c:v>
                </c:pt>
                <c:pt idx="2">
                  <c:v>9948</c:v>
                </c:pt>
                <c:pt idx="3">
                  <c:v>#N/A</c:v>
                </c:pt>
                <c:pt idx="4">
                  <c:v>1620</c:v>
                </c:pt>
                <c:pt idx="5">
                  <c:v>2194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618816"/>
        <c:axId val="145620352"/>
      </c:lineChart>
      <c:catAx>
        <c:axId val="145618816"/>
        <c:scaling>
          <c:orientation val="minMax"/>
        </c:scaling>
        <c:delete val="0"/>
        <c:axPos val="b"/>
        <c:majorTickMark val="out"/>
        <c:minorTickMark val="none"/>
        <c:tickLblPos val="nextTo"/>
        <c:crossAx val="145620352"/>
        <c:crosses val="autoZero"/>
        <c:auto val="1"/>
        <c:lblAlgn val="ctr"/>
        <c:lblOffset val="100"/>
        <c:noMultiLvlLbl val="0"/>
      </c:catAx>
      <c:valAx>
        <c:axId val="145620352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5618816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39755</c:v>
                </c:pt>
                <c:pt idx="1">
                  <c:v>89531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nualD"/>
      <sheetName val="DashBoardFinanceiroAtual"/>
      <sheetName val="DashBoardFinanceiroAtua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4">
          <cell r="K14" t="str">
            <v>Vestuário</v>
          </cell>
        </row>
      </sheetData>
      <sheetData sheetId="15"/>
      <sheetData sheetId="16">
        <row r="4">
          <cell r="K4" t="str">
            <v>Livros</v>
          </cell>
        </row>
        <row r="14">
          <cell r="K14" t="str">
            <v>Vestuário</v>
          </cell>
        </row>
      </sheetData>
      <sheetData sheetId="17">
        <row r="22">
          <cell r="E22">
            <v>271771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1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0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8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7" headerRowBorderDxfId="36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5" headerRowBorderDxfId="34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3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Q234" totalsRowShown="0" headerRowDxfId="32">
  <autoFilter ref="B3:Q234">
    <filterColumn colId="2">
      <filters>
        <dateGroupItem year="2019" dateTimeGrouping="year"/>
      </filters>
    </filterColumn>
    <filterColumn colId="15">
      <customFilters>
        <customFilter operator="greaterThan" val="0"/>
      </customFilters>
    </filterColumn>
  </autoFilter>
  <tableColumns count="16">
    <tableColumn id="1" name="Data do Caixa Realizado" dataDxfId="31"/>
    <tableColumn id="2" name="Data da Competência" dataDxfId="30"/>
    <tableColumn id="3" name="Data do Caixa Previsto" dataDxfId="29"/>
    <tableColumn id="4" name="Conta Nível 1"/>
    <tableColumn id="5" name="Conta Nível 2"/>
    <tableColumn id="6" name="Histórico"/>
    <tableColumn id="7" name="Valor" dataDxfId="28"/>
    <tableColumn id="8" name="Mês Caixa" dataDxfId="27">
      <calculatedColumnFormula>IF(TbRegistroEntradas[[#This Row],[Data do Caixa Realizado]]="",0,MONTH(TbRegistroEntradas[[#This Row],[Data do Caixa Realizado]]))</calculatedColumnFormula>
    </tableColumn>
    <tableColumn id="9" name="Ano Caixa" dataDxfId="26">
      <calculatedColumnFormula>IF(TbRegistroEntradas[[#This Row],[Data do Caixa Realizado]]="",0,YEAR(TbRegistroEntradas[[#This Row],[Data do Caixa Realizado]]))</calculatedColumnFormula>
    </tableColumn>
    <tableColumn id="10" name="Mês Competência" dataDxfId="25">
      <calculatedColumnFormula>IF(TbRegistroEntradas[[#This Row],[Data da Competência]]="",0,MONTH(TbRegistroEntradas[[#This Row],[Data da Competência]]))</calculatedColumnFormula>
    </tableColumn>
    <tableColumn id="11" name="Ano Competência" dataDxfId="24">
      <calculatedColumnFormula>IF(TbRegistroEntradas[[#This Row],[Data da Competência]]="",0,YEAR(TbRegistroEntradas[[#This Row],[Data da Competência]]))</calculatedColumnFormula>
    </tableColumn>
    <tableColumn id="12" name="Mês Previsto" dataDxfId="23">
      <calculatedColumnFormula>IF(TbRegistroEntradas[[#This Row],[Data do Caixa Previsto]]="",0,MONTH(TbRegistroEntradas[[#This Row],[Data do Caixa Previsto]]))</calculatedColumnFormula>
    </tableColumn>
    <tableColumn id="13" name="Ano Previsto" dataDxfId="22">
      <calculatedColumnFormula>IF(TbRegistroEntradas[[#This Row],[Data do Caixa Previsto]]="",0,YEAR(TbRegistroEntradas[[#This Row],[Data do Caixa Previsto]]))</calculatedColumnFormula>
    </tableColumn>
    <tableColumn id="14" name="Conta Vencida" dataDxfId="21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2">
      <calculatedColumnFormula>IF(TbRegistroEntradas[[#This Row],[Data da Competência]]=TbRegistroEntradas[[#This Row],[Data do Caixa Previsto]],"Vista","Prazo")</calculatedColumnFormula>
    </tableColumn>
    <tableColumn id="16" name="Dias de Atraso" dataDxfId="1">
      <calculatedColumnFormula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O232" totalsRowShown="0" headerRowDxfId="20" headerRowBorderDxfId="19" tableBorderDxfId="18">
  <autoFilter ref="B3:O232">
    <filterColumn colId="2">
      <filters>
        <dateGroupItem year="2019" dateTimeGrouping="year"/>
      </filters>
    </filterColumn>
    <filterColumn colId="13">
      <customFilters>
        <customFilter operator="greaterThan" val="0"/>
      </customFilters>
    </filterColumn>
  </autoFilter>
  <tableColumns count="14">
    <tableColumn id="1" name="Data do Caixa Realizado" dataDxfId="17"/>
    <tableColumn id="2" name="Data da Competência" dataDxfId="16"/>
    <tableColumn id="3" name="Data do Caixa Previsto" dataDxfId="15"/>
    <tableColumn id="4" name="Conta Nível 1"/>
    <tableColumn id="5" name="Conta Nível 2"/>
    <tableColumn id="6" name="Histórico"/>
    <tableColumn id="7" name="Valor" dataDxfId="14"/>
    <tableColumn id="8" name="Mês Caixa" dataDxfId="13">
      <calculatedColumnFormula>IF(TbRegistroSaídas[[#This Row],[Data do Caixa Realizado]]="",0,MONTH(TbRegistroSaídas[[#This Row],[Data do Caixa Realizado]]))</calculatedColumnFormula>
    </tableColumn>
    <tableColumn id="9" name="Ano Caixa" dataDxfId="12">
      <calculatedColumnFormula>IF(TbRegistroSaídas[[#This Row],[Data do Caixa Realizado]]="",0,YEAR(TbRegistroSaídas[[#This Row],[Data do Caixa Realizado]]))</calculatedColumnFormula>
    </tableColumn>
    <tableColumn id="10" name="Mês Competência" dataDxfId="11">
      <calculatedColumnFormula>IF(TbRegistroSaídas[[#This Row],[Data da Competência]]="",0,MONTH(TbRegistroSaídas[[#This Row],[Data da Competência]]))</calculatedColumnFormula>
    </tableColumn>
    <tableColumn id="11" name="Ano Competência" dataDxfId="10">
      <calculatedColumnFormula>IF(TbRegistroSaídas[[#This Row],[Data da Competência]]="",0,YEAR(TbRegistroSaídas[[#This Row],[Data da Competência]]))</calculatedColumnFormula>
    </tableColumn>
    <tableColumn id="12" name="Mês Previsto" dataDxfId="9">
      <calculatedColumnFormula>IF(TbRegistroSaídas[[#This Row],[Data do Caixa Previsto]]="",0,MONTH(TbRegistroSaídas[[#This Row],[Data do Caixa Previsto]]))</calculatedColumnFormula>
    </tableColumn>
    <tableColumn id="13" name="Ano Previsto" dataDxfId="8">
      <calculatedColumnFormula>IF(TbRegistroSaídas[[#This Row],[Data do Caixa Previsto]]="",0,YEAR(TbRegistroSaídas[[#This Row],[Data do Caixa Previsto]]))</calculatedColumnFormula>
    </tableColumn>
    <tableColumn id="14" name="Dias de Atraso" dataDxfId="0">
      <calculatedColumnFormula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D8" sqref="D8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3" t="s">
        <v>27</v>
      </c>
      <c r="C3" s="1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5" t="s">
        <v>44</v>
      </c>
      <c r="C3" s="1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Q234"/>
  <sheetViews>
    <sheetView showGridLines="0" topLeftCell="F1" zoomScale="85" zoomScaleNormal="85" workbookViewId="0">
      <pane ySplit="3" topLeftCell="A167" activePane="bottomLeft" state="frozen"/>
      <selection pane="bottomLeft" activeCell="Q167" sqref="Q167:Q233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7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7" ht="39.950000000000003" customHeight="1" x14ac:dyDescent="0.25">
      <c r="B2" s="12"/>
      <c r="C2" s="12"/>
      <c r="D2" s="12"/>
      <c r="E2" s="5"/>
      <c r="F2" s="5"/>
      <c r="G2" s="5"/>
      <c r="H2" s="15"/>
    </row>
    <row r="3" spans="2:17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  <c r="P3" s="19" t="s">
        <v>606</v>
      </c>
      <c r="Q3" s="19" t="s">
        <v>607</v>
      </c>
    </row>
    <row r="4" spans="2:17" ht="20.100000000000001" hidden="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46">
        <f>IF(TbRegistroEntradas[[#This Row],[Data do Caixa Previsto]]="",0,MONTH(TbRegistroEntradas[[#This Row],[Data do Caixa Previsto]]))</f>
        <v>8</v>
      </c>
      <c r="N4" s="46">
        <f>IF(TbRegistroEntradas[[#This Row],[Data do Caixa Previsto]]="",0,YEAR(TbRegistroEntradas[[#This Row],[Data do Caixa Previsto]]))</f>
        <v>2017</v>
      </c>
      <c r="O4" s="46" t="str">
        <f ca="1">IF(AND(TbRegistroEntradas[[#This Row],[Data do Caixa Previsto]]&lt;TODAY(),TbRegistroEntradas[[#This Row],[Data do Caixa Realizado]]=""),"Vencida","Não Vencida")</f>
        <v>Não Vencida</v>
      </c>
      <c r="P4" s="46" t="str">
        <f>IF(TbRegistroEntradas[[#This Row],[Data da Competência]]=TbRegistroEntradas[[#This Row],[Data do Caixa Previsto]],"Vista","Prazo")</f>
        <v>Prazo</v>
      </c>
      <c r="Q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22</v>
      </c>
    </row>
    <row r="5" spans="2:17" ht="20.100000000000001" hidden="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46">
        <f>IF(TbRegistroEntradas[[#This Row],[Data do Caixa Previsto]]="",0,MONTH(TbRegistroEntradas[[#This Row],[Data do Caixa Previsto]]))</f>
        <v>9</v>
      </c>
      <c r="N5" s="46">
        <f>IF(TbRegistroEntradas[[#This Row],[Data do Caixa Previsto]]="",0,YEAR(TbRegistroEntradas[[#This Row],[Data do Caixa Previsto]]))</f>
        <v>2017</v>
      </c>
      <c r="O5" s="46" t="str">
        <f ca="1">IF(AND(TbRegistroEntradas[[#This Row],[Data do Caixa Previsto]]&lt;TODAY(),TbRegistroEntradas[[#This Row],[Data do Caixa Realizado]]=""),"Vencida","Não Vencida")</f>
        <v>Não Vencida</v>
      </c>
      <c r="P5" s="46" t="str">
        <f>IF(TbRegistroEntradas[[#This Row],[Data da Competência]]=TbRegistroEntradas[[#This Row],[Data do Caixa Previsto]],"Vista","Prazo")</f>
        <v>Prazo</v>
      </c>
      <c r="Q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" spans="2:17" ht="20.100000000000001" hidden="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46">
        <f>IF(TbRegistroEntradas[[#This Row],[Data do Caixa Previsto]]="",0,MONTH(TbRegistroEntradas[[#This Row],[Data do Caixa Previsto]]))</f>
        <v>9</v>
      </c>
      <c r="N6" s="46">
        <f>IF(TbRegistroEntradas[[#This Row],[Data do Caixa Previsto]]="",0,YEAR(TbRegistroEntradas[[#This Row],[Data do Caixa Previsto]]))</f>
        <v>2017</v>
      </c>
      <c r="O6" s="46" t="str">
        <f ca="1">IF(AND(TbRegistroEntradas[[#This Row],[Data do Caixa Previsto]]&lt;TODAY(),TbRegistroEntradas[[#This Row],[Data do Caixa Realizado]]=""),"Vencida","Não Vencida")</f>
        <v>Não Vencida</v>
      </c>
      <c r="P6" s="46" t="str">
        <f>IF(TbRegistroEntradas[[#This Row],[Data da Competência]]=TbRegistroEntradas[[#This Row],[Data do Caixa Previsto]],"Vista","Prazo")</f>
        <v>Prazo</v>
      </c>
      <c r="Q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7" spans="2:17" ht="20.100000000000001" hidden="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46">
        <f>IF(TbRegistroEntradas[[#This Row],[Data do Caixa Previsto]]="",0,MONTH(TbRegistroEntradas[[#This Row],[Data do Caixa Previsto]]))</f>
        <v>10</v>
      </c>
      <c r="N7" s="46">
        <f>IF(TbRegistroEntradas[[#This Row],[Data do Caixa Previsto]]="",0,YEAR(TbRegistroEntradas[[#This Row],[Data do Caixa Previsto]]))</f>
        <v>2017</v>
      </c>
      <c r="O7" s="46" t="str">
        <f ca="1">IF(AND(TbRegistroEntradas[[#This Row],[Data do Caixa Previsto]]&lt;TODAY(),TbRegistroEntradas[[#This Row],[Data do Caixa Realizado]]=""),"Vencida","Não Vencida")</f>
        <v>Não Vencida</v>
      </c>
      <c r="P7" s="46" t="str">
        <f>IF(TbRegistroEntradas[[#This Row],[Data da Competência]]=TbRegistroEntradas[[#This Row],[Data do Caixa Previsto]],"Vista","Prazo")</f>
        <v>Prazo</v>
      </c>
      <c r="Q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" spans="2:17" ht="20.100000000000001" hidden="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46">
        <f>IF(TbRegistroEntradas[[#This Row],[Data do Caixa Previsto]]="",0,MONTH(TbRegistroEntradas[[#This Row],[Data do Caixa Previsto]]))</f>
        <v>10</v>
      </c>
      <c r="N8" s="46">
        <f>IF(TbRegistroEntradas[[#This Row],[Data do Caixa Previsto]]="",0,YEAR(TbRegistroEntradas[[#This Row],[Data do Caixa Previsto]]))</f>
        <v>2017</v>
      </c>
      <c r="O8" s="46" t="str">
        <f ca="1">IF(AND(TbRegistroEntradas[[#This Row],[Data do Caixa Previsto]]&lt;TODAY(),TbRegistroEntradas[[#This Row],[Data do Caixa Realizado]]=""),"Vencida","Não Vencida")</f>
        <v>Não Vencida</v>
      </c>
      <c r="P8" s="46" t="str">
        <f>IF(TbRegistroEntradas[[#This Row],[Data da Competência]]=TbRegistroEntradas[[#This Row],[Data do Caixa Previsto]],"Vista","Prazo")</f>
        <v>Prazo</v>
      </c>
      <c r="Q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" spans="2:17" ht="20.100000000000001" hidden="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46">
        <f>IF(TbRegistroEntradas[[#This Row],[Data do Caixa Previsto]]="",0,MONTH(TbRegistroEntradas[[#This Row],[Data do Caixa Previsto]]))</f>
        <v>10</v>
      </c>
      <c r="N9" s="46">
        <f>IF(TbRegistroEntradas[[#This Row],[Data do Caixa Previsto]]="",0,YEAR(TbRegistroEntradas[[#This Row],[Data do Caixa Previsto]]))</f>
        <v>2017</v>
      </c>
      <c r="O9" s="46" t="str">
        <f ca="1">IF(AND(TbRegistroEntradas[[#This Row],[Data do Caixa Previsto]]&lt;TODAY(),TbRegistroEntradas[[#This Row],[Data do Caixa Realizado]]=""),"Vencida","Não Vencida")</f>
        <v>Não Vencida</v>
      </c>
      <c r="P9" s="46" t="str">
        <f>IF(TbRegistroEntradas[[#This Row],[Data da Competência]]=TbRegistroEntradas[[#This Row],[Data do Caixa Previsto]],"Vista","Prazo")</f>
        <v>Prazo</v>
      </c>
      <c r="Q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24</v>
      </c>
    </row>
    <row r="10" spans="2:17" ht="20.100000000000001" hidden="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46">
        <f>IF(TbRegistroEntradas[[#This Row],[Data do Caixa Previsto]]="",0,MONTH(TbRegistroEntradas[[#This Row],[Data do Caixa Previsto]]))</f>
        <v>10</v>
      </c>
      <c r="N10" s="46">
        <f>IF(TbRegistroEntradas[[#This Row],[Data do Caixa Previsto]]="",0,YEAR(TbRegistroEntradas[[#This Row],[Data do Caixa Previsto]]))</f>
        <v>2017</v>
      </c>
      <c r="O10" s="46" t="str">
        <f ca="1">IF(AND(TbRegistroEntradas[[#This Row],[Data do Caixa Previsto]]&lt;TODAY(),TbRegistroEntradas[[#This Row],[Data do Caixa Realizado]]=""),"Vencida","Não Vencida")</f>
        <v>Não Vencida</v>
      </c>
      <c r="P10" s="46" t="str">
        <f>IF(TbRegistroEntradas[[#This Row],[Data da Competência]]=TbRegistroEntradas[[#This Row],[Data do Caixa Previsto]],"Vista","Prazo")</f>
        <v>Prazo</v>
      </c>
      <c r="Q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11" spans="2:17" ht="20.100000000000001" hidden="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46">
        <f>IF(TbRegistroEntradas[[#This Row],[Data do Caixa Previsto]]="",0,MONTH(TbRegistroEntradas[[#This Row],[Data do Caixa Previsto]]))</f>
        <v>9</v>
      </c>
      <c r="N11" s="46">
        <f>IF(TbRegistroEntradas[[#This Row],[Data do Caixa Previsto]]="",0,YEAR(TbRegistroEntradas[[#This Row],[Data do Caixa Previsto]]))</f>
        <v>2017</v>
      </c>
      <c r="O11" s="46" t="str">
        <f ca="1">IF(AND(TbRegistroEntradas[[#This Row],[Data do Caixa Previsto]]&lt;TODAY(),TbRegistroEntradas[[#This Row],[Data do Caixa Realizado]]=""),"Vencida","Não Vencida")</f>
        <v>Não Vencida</v>
      </c>
      <c r="P11" s="46" t="str">
        <f>IF(TbRegistroEntradas[[#This Row],[Data da Competência]]=TbRegistroEntradas[[#This Row],[Data do Caixa Previsto]],"Vista","Prazo")</f>
        <v>Prazo</v>
      </c>
      <c r="Q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" spans="2:17" ht="20.100000000000001" hidden="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46">
        <f>IF(TbRegistroEntradas[[#This Row],[Data do Caixa Previsto]]="",0,MONTH(TbRegistroEntradas[[#This Row],[Data do Caixa Previsto]]))</f>
        <v>10</v>
      </c>
      <c r="N12" s="46">
        <f>IF(TbRegistroEntradas[[#This Row],[Data do Caixa Previsto]]="",0,YEAR(TbRegistroEntradas[[#This Row],[Data do Caixa Previsto]]))</f>
        <v>2017</v>
      </c>
      <c r="O12" s="46" t="str">
        <f ca="1">IF(AND(TbRegistroEntradas[[#This Row],[Data do Caixa Previsto]]&lt;TODAY(),TbRegistroEntradas[[#This Row],[Data do Caixa Realizado]]=""),"Vencida","Não Vencida")</f>
        <v>Não Vencida</v>
      </c>
      <c r="P12" s="46" t="str">
        <f>IF(TbRegistroEntradas[[#This Row],[Data da Competência]]=TbRegistroEntradas[[#This Row],[Data do Caixa Previsto]],"Vista","Prazo")</f>
        <v>Prazo</v>
      </c>
      <c r="Q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" spans="2:17" ht="20.100000000000001" hidden="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46">
        <f>IF(TbRegistroEntradas[[#This Row],[Data do Caixa Previsto]]="",0,MONTH(TbRegistroEntradas[[#This Row],[Data do Caixa Previsto]]))</f>
        <v>10</v>
      </c>
      <c r="N13" s="46">
        <f>IF(TbRegistroEntradas[[#This Row],[Data do Caixa Previsto]]="",0,YEAR(TbRegistroEntradas[[#This Row],[Data do Caixa Previsto]]))</f>
        <v>2017</v>
      </c>
      <c r="O13" s="46" t="str">
        <f ca="1">IF(AND(TbRegistroEntradas[[#This Row],[Data do Caixa Previsto]]&lt;TODAY(),TbRegistroEntradas[[#This Row],[Data do Caixa Realizado]]=""),"Vencida","Não Vencida")</f>
        <v>Vencida</v>
      </c>
      <c r="P13" s="46" t="str">
        <f>IF(TbRegistroEntradas[[#This Row],[Data da Competência]]=TbRegistroEntradas[[#This Row],[Data do Caixa Previsto]],"Vista","Prazo")</f>
        <v>Prazo</v>
      </c>
      <c r="Q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932</v>
      </c>
    </row>
    <row r="14" spans="2:17" ht="20.100000000000001" hidden="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46">
        <f>IF(TbRegistroEntradas[[#This Row],[Data do Caixa Previsto]]="",0,MONTH(TbRegistroEntradas[[#This Row],[Data do Caixa Previsto]]))</f>
        <v>9</v>
      </c>
      <c r="N14" s="46">
        <f>IF(TbRegistroEntradas[[#This Row],[Data do Caixa Previsto]]="",0,YEAR(TbRegistroEntradas[[#This Row],[Data do Caixa Previsto]]))</f>
        <v>2017</v>
      </c>
      <c r="O14" s="46" t="str">
        <f ca="1">IF(AND(TbRegistroEntradas[[#This Row],[Data do Caixa Previsto]]&lt;TODAY(),TbRegistroEntradas[[#This Row],[Data do Caixa Realizado]]=""),"Vencida","Não Vencida")</f>
        <v>Não Vencida</v>
      </c>
      <c r="P14" s="46" t="str">
        <f>IF(TbRegistroEntradas[[#This Row],[Data da Competência]]=TbRegistroEntradas[[#This Row],[Data do Caixa Previsto]],"Vista","Prazo")</f>
        <v>Prazo</v>
      </c>
      <c r="Q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" spans="2:17" ht="20.100000000000001" hidden="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46">
        <f>IF(TbRegistroEntradas[[#This Row],[Data do Caixa Previsto]]="",0,MONTH(TbRegistroEntradas[[#This Row],[Data do Caixa Previsto]]))</f>
        <v>9</v>
      </c>
      <c r="N15" s="46">
        <f>IF(TbRegistroEntradas[[#This Row],[Data do Caixa Previsto]]="",0,YEAR(TbRegistroEntradas[[#This Row],[Data do Caixa Previsto]]))</f>
        <v>2017</v>
      </c>
      <c r="O15" s="46" t="str">
        <f ca="1">IF(AND(TbRegistroEntradas[[#This Row],[Data do Caixa Previsto]]&lt;TODAY(),TbRegistroEntradas[[#This Row],[Data do Caixa Realizado]]=""),"Vencida","Não Vencida")</f>
        <v>Não Vencida</v>
      </c>
      <c r="P15" s="46" t="str">
        <f>IF(TbRegistroEntradas[[#This Row],[Data da Competência]]=TbRegistroEntradas[[#This Row],[Data do Caixa Previsto]],"Vista","Prazo")</f>
        <v>Prazo</v>
      </c>
      <c r="Q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" spans="2:17" ht="20.100000000000001" hidden="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46">
        <f>IF(TbRegistroEntradas[[#This Row],[Data do Caixa Previsto]]="",0,MONTH(TbRegistroEntradas[[#This Row],[Data do Caixa Previsto]]))</f>
        <v>9</v>
      </c>
      <c r="N16" s="46">
        <f>IF(TbRegistroEntradas[[#This Row],[Data do Caixa Previsto]]="",0,YEAR(TbRegistroEntradas[[#This Row],[Data do Caixa Previsto]]))</f>
        <v>2017</v>
      </c>
      <c r="O16" s="46" t="str">
        <f ca="1">IF(AND(TbRegistroEntradas[[#This Row],[Data do Caixa Previsto]]&lt;TODAY(),TbRegistroEntradas[[#This Row],[Data do Caixa Realizado]]=""),"Vencida","Não Vencida")</f>
        <v>Não Vencida</v>
      </c>
      <c r="P16" s="46" t="str">
        <f>IF(TbRegistroEntradas[[#This Row],[Data da Competência]]=TbRegistroEntradas[[#This Row],[Data do Caixa Previsto]],"Vista","Prazo")</f>
        <v>Vista</v>
      </c>
      <c r="Q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" spans="2:17" ht="20.100000000000001" hidden="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46">
        <f>IF(TbRegistroEntradas[[#This Row],[Data do Caixa Previsto]]="",0,MONTH(TbRegistroEntradas[[#This Row],[Data do Caixa Previsto]]))</f>
        <v>11</v>
      </c>
      <c r="N17" s="46">
        <f>IF(TbRegistroEntradas[[#This Row],[Data do Caixa Previsto]]="",0,YEAR(TbRegistroEntradas[[#This Row],[Data do Caixa Previsto]]))</f>
        <v>2017</v>
      </c>
      <c r="O17" s="46" t="str">
        <f ca="1">IF(AND(TbRegistroEntradas[[#This Row],[Data do Caixa Previsto]]&lt;TODAY(),TbRegistroEntradas[[#This Row],[Data do Caixa Realizado]]=""),"Vencida","Não Vencida")</f>
        <v>Não Vencida</v>
      </c>
      <c r="P17" s="46" t="str">
        <f>IF(TbRegistroEntradas[[#This Row],[Data da Competência]]=TbRegistroEntradas[[#This Row],[Data do Caixa Previsto]],"Vista","Prazo")</f>
        <v>Prazo</v>
      </c>
      <c r="Q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" spans="2:17" hidden="1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46">
        <f>IF(TbRegistroEntradas[[#This Row],[Data do Caixa Previsto]]="",0,MONTH(TbRegistroEntradas[[#This Row],[Data do Caixa Previsto]]))</f>
        <v>10</v>
      </c>
      <c r="N18" s="46">
        <f>IF(TbRegistroEntradas[[#This Row],[Data do Caixa Previsto]]="",0,YEAR(TbRegistroEntradas[[#This Row],[Data do Caixa Previsto]]))</f>
        <v>2017</v>
      </c>
      <c r="O18" s="46" t="str">
        <f ca="1">IF(AND(TbRegistroEntradas[[#This Row],[Data do Caixa Previsto]]&lt;TODAY(),TbRegistroEntradas[[#This Row],[Data do Caixa Realizado]]=""),"Vencida","Não Vencida")</f>
        <v>Não Vencida</v>
      </c>
      <c r="P18" s="46" t="str">
        <f>IF(TbRegistroEntradas[[#This Row],[Data da Competência]]=TbRegistroEntradas[[#This Row],[Data do Caixa Previsto]],"Vista","Prazo")</f>
        <v>Prazo</v>
      </c>
      <c r="Q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" spans="2:17" hidden="1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46">
        <f>IF(TbRegistroEntradas[[#This Row],[Data do Caixa Previsto]]="",0,MONTH(TbRegistroEntradas[[#This Row],[Data do Caixa Previsto]]))</f>
        <v>10</v>
      </c>
      <c r="N19" s="46">
        <f>IF(TbRegistroEntradas[[#This Row],[Data do Caixa Previsto]]="",0,YEAR(TbRegistroEntradas[[#This Row],[Data do Caixa Previsto]]))</f>
        <v>2017</v>
      </c>
      <c r="O19" s="46" t="str">
        <f ca="1">IF(AND(TbRegistroEntradas[[#This Row],[Data do Caixa Previsto]]&lt;TODAY(),TbRegistroEntradas[[#This Row],[Data do Caixa Realizado]]=""),"Vencida","Não Vencida")</f>
        <v>Não Vencida</v>
      </c>
      <c r="P19" s="46" t="str">
        <f>IF(TbRegistroEntradas[[#This Row],[Data da Competência]]=TbRegistroEntradas[[#This Row],[Data do Caixa Previsto]],"Vista","Prazo")</f>
        <v>Prazo</v>
      </c>
      <c r="Q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" spans="2:17" hidden="1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46">
        <f>IF(TbRegistroEntradas[[#This Row],[Data do Caixa Previsto]]="",0,MONTH(TbRegistroEntradas[[#This Row],[Data do Caixa Previsto]]))</f>
        <v>10</v>
      </c>
      <c r="N20" s="46">
        <f>IF(TbRegistroEntradas[[#This Row],[Data do Caixa Previsto]]="",0,YEAR(TbRegistroEntradas[[#This Row],[Data do Caixa Previsto]]))</f>
        <v>2017</v>
      </c>
      <c r="O20" s="46" t="str">
        <f ca="1">IF(AND(TbRegistroEntradas[[#This Row],[Data do Caixa Previsto]]&lt;TODAY(),TbRegistroEntradas[[#This Row],[Data do Caixa Realizado]]=""),"Vencida","Não Vencida")</f>
        <v>Não Vencida</v>
      </c>
      <c r="P20" s="46" t="str">
        <f>IF(TbRegistroEntradas[[#This Row],[Data da Competência]]=TbRegistroEntradas[[#This Row],[Data do Caixa Previsto]],"Vista","Prazo")</f>
        <v>Prazo</v>
      </c>
      <c r="Q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21" spans="2:17" hidden="1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46">
        <f>IF(TbRegistroEntradas[[#This Row],[Data do Caixa Previsto]]="",0,MONTH(TbRegistroEntradas[[#This Row],[Data do Caixa Previsto]]))</f>
        <v>11</v>
      </c>
      <c r="N21" s="46">
        <f>IF(TbRegistroEntradas[[#This Row],[Data do Caixa Previsto]]="",0,YEAR(TbRegistroEntradas[[#This Row],[Data do Caixa Previsto]]))</f>
        <v>2017</v>
      </c>
      <c r="O21" s="46" t="str">
        <f ca="1">IF(AND(TbRegistroEntradas[[#This Row],[Data do Caixa Previsto]]&lt;TODAY(),TbRegistroEntradas[[#This Row],[Data do Caixa Realizado]]=""),"Vencida","Não Vencida")</f>
        <v>Não Vencida</v>
      </c>
      <c r="P21" s="46" t="str">
        <f>IF(TbRegistroEntradas[[#This Row],[Data da Competência]]=TbRegistroEntradas[[#This Row],[Data do Caixa Previsto]],"Vista","Prazo")</f>
        <v>Prazo</v>
      </c>
      <c r="Q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" spans="2:17" hidden="1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46">
        <f>IF(TbRegistroEntradas[[#This Row],[Data do Caixa Previsto]]="",0,MONTH(TbRegistroEntradas[[#This Row],[Data do Caixa Previsto]]))</f>
        <v>11</v>
      </c>
      <c r="N22" s="46">
        <f>IF(TbRegistroEntradas[[#This Row],[Data do Caixa Previsto]]="",0,YEAR(TbRegistroEntradas[[#This Row],[Data do Caixa Previsto]]))</f>
        <v>2017</v>
      </c>
      <c r="O22" s="46" t="str">
        <f ca="1">IF(AND(TbRegistroEntradas[[#This Row],[Data do Caixa Previsto]]&lt;TODAY(),TbRegistroEntradas[[#This Row],[Data do Caixa Realizado]]=""),"Vencida","Não Vencida")</f>
        <v>Não Vencida</v>
      </c>
      <c r="P22" s="46" t="str">
        <f>IF(TbRegistroEntradas[[#This Row],[Data da Competência]]=TbRegistroEntradas[[#This Row],[Data do Caixa Previsto]],"Vista","Prazo")</f>
        <v>Prazo</v>
      </c>
      <c r="Q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" spans="2:17" hidden="1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46">
        <f>IF(TbRegistroEntradas[[#This Row],[Data do Caixa Previsto]]="",0,MONTH(TbRegistroEntradas[[#This Row],[Data do Caixa Previsto]]))</f>
        <v>11</v>
      </c>
      <c r="N23" s="46">
        <f>IF(TbRegistroEntradas[[#This Row],[Data do Caixa Previsto]]="",0,YEAR(TbRegistroEntradas[[#This Row],[Data do Caixa Previsto]]))</f>
        <v>2017</v>
      </c>
      <c r="O23" s="46" t="str">
        <f ca="1">IF(AND(TbRegistroEntradas[[#This Row],[Data do Caixa Previsto]]&lt;TODAY(),TbRegistroEntradas[[#This Row],[Data do Caixa Realizado]]=""),"Vencida","Não Vencida")</f>
        <v>Não Vencida</v>
      </c>
      <c r="P23" s="46" t="str">
        <f>IF(TbRegistroEntradas[[#This Row],[Data da Competência]]=TbRegistroEntradas[[#This Row],[Data do Caixa Previsto]],"Vista","Prazo")</f>
        <v>Prazo</v>
      </c>
      <c r="Q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4" spans="2:17" hidden="1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46">
        <f>IF(TbRegistroEntradas[[#This Row],[Data do Caixa Previsto]]="",0,MONTH(TbRegistroEntradas[[#This Row],[Data do Caixa Previsto]]))</f>
        <v>11</v>
      </c>
      <c r="N24" s="46">
        <f>IF(TbRegistroEntradas[[#This Row],[Data do Caixa Previsto]]="",0,YEAR(TbRegistroEntradas[[#This Row],[Data do Caixa Previsto]]))</f>
        <v>2017</v>
      </c>
      <c r="O24" s="46" t="str">
        <f ca="1">IF(AND(TbRegistroEntradas[[#This Row],[Data do Caixa Previsto]]&lt;TODAY(),TbRegistroEntradas[[#This Row],[Data do Caixa Realizado]]=""),"Vencida","Não Vencida")</f>
        <v>Vencida</v>
      </c>
      <c r="P24" s="46" t="str">
        <f>IF(TbRegistroEntradas[[#This Row],[Data da Competência]]=TbRegistroEntradas[[#This Row],[Data do Caixa Previsto]],"Vista","Prazo")</f>
        <v>Prazo</v>
      </c>
      <c r="Q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900</v>
      </c>
    </row>
    <row r="25" spans="2:17" hidden="1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46">
        <f>IF(TbRegistroEntradas[[#This Row],[Data do Caixa Previsto]]="",0,MONTH(TbRegistroEntradas[[#This Row],[Data do Caixa Previsto]]))</f>
        <v>10</v>
      </c>
      <c r="N25" s="46">
        <f>IF(TbRegistroEntradas[[#This Row],[Data do Caixa Previsto]]="",0,YEAR(TbRegistroEntradas[[#This Row],[Data do Caixa Previsto]]))</f>
        <v>2017</v>
      </c>
      <c r="O25" s="46" t="str">
        <f ca="1">IF(AND(TbRegistroEntradas[[#This Row],[Data do Caixa Previsto]]&lt;TODAY(),TbRegistroEntradas[[#This Row],[Data do Caixa Realizado]]=""),"Vencida","Não Vencida")</f>
        <v>Não Vencida</v>
      </c>
      <c r="P25" s="46" t="str">
        <f>IF(TbRegistroEntradas[[#This Row],[Data da Competência]]=TbRegistroEntradas[[#This Row],[Data do Caixa Previsto]],"Vista","Prazo")</f>
        <v>Vista</v>
      </c>
      <c r="Q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26" spans="2:17" hidden="1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46">
        <f>IF(TbRegistroEntradas[[#This Row],[Data do Caixa Previsto]]="",0,MONTH(TbRegistroEntradas[[#This Row],[Data do Caixa Previsto]]))</f>
        <v>10</v>
      </c>
      <c r="N26" s="46">
        <f>IF(TbRegistroEntradas[[#This Row],[Data do Caixa Previsto]]="",0,YEAR(TbRegistroEntradas[[#This Row],[Data do Caixa Previsto]]))</f>
        <v>2017</v>
      </c>
      <c r="O26" s="46" t="str">
        <f ca="1">IF(AND(TbRegistroEntradas[[#This Row],[Data do Caixa Previsto]]&lt;TODAY(),TbRegistroEntradas[[#This Row],[Data do Caixa Realizado]]=""),"Vencida","Não Vencida")</f>
        <v>Não Vencida</v>
      </c>
      <c r="P26" s="46" t="str">
        <f>IF(TbRegistroEntradas[[#This Row],[Data da Competência]]=TbRegistroEntradas[[#This Row],[Data do Caixa Previsto]],"Vista","Prazo")</f>
        <v>Vista</v>
      </c>
      <c r="Q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7" spans="2:17" hidden="1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46">
        <f>IF(TbRegistroEntradas[[#This Row],[Data do Caixa Previsto]]="",0,MONTH(TbRegistroEntradas[[#This Row],[Data do Caixa Previsto]]))</f>
        <v>10</v>
      </c>
      <c r="N27" s="46">
        <f>IF(TbRegistroEntradas[[#This Row],[Data do Caixa Previsto]]="",0,YEAR(TbRegistroEntradas[[#This Row],[Data do Caixa Previsto]]))</f>
        <v>2017</v>
      </c>
      <c r="O27" s="46" t="str">
        <f ca="1">IF(AND(TbRegistroEntradas[[#This Row],[Data do Caixa Previsto]]&lt;TODAY(),TbRegistroEntradas[[#This Row],[Data do Caixa Realizado]]=""),"Vencida","Não Vencida")</f>
        <v>Não Vencida</v>
      </c>
      <c r="P27" s="46" t="str">
        <f>IF(TbRegistroEntradas[[#This Row],[Data da Competência]]=TbRegistroEntradas[[#This Row],[Data do Caixa Previsto]],"Vista","Prazo")</f>
        <v>Vista</v>
      </c>
      <c r="Q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8" spans="2:17" hidden="1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46">
        <f>IF(TbRegistroEntradas[[#This Row],[Data do Caixa Previsto]]="",0,MONTH(TbRegistroEntradas[[#This Row],[Data do Caixa Previsto]]))</f>
        <v>11</v>
      </c>
      <c r="N28" s="46">
        <f>IF(TbRegistroEntradas[[#This Row],[Data do Caixa Previsto]]="",0,YEAR(TbRegistroEntradas[[#This Row],[Data do Caixa Previsto]]))</f>
        <v>2017</v>
      </c>
      <c r="O28" s="46" t="str">
        <f ca="1">IF(AND(TbRegistroEntradas[[#This Row],[Data do Caixa Previsto]]&lt;TODAY(),TbRegistroEntradas[[#This Row],[Data do Caixa Realizado]]=""),"Vencida","Não Vencida")</f>
        <v>Não Vencida</v>
      </c>
      <c r="P28" s="46" t="str">
        <f>IF(TbRegistroEntradas[[#This Row],[Data da Competência]]=TbRegistroEntradas[[#This Row],[Data do Caixa Previsto]],"Vista","Prazo")</f>
        <v>Prazo</v>
      </c>
      <c r="Q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</v>
      </c>
    </row>
    <row r="29" spans="2:17" hidden="1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46">
        <f>IF(TbRegistroEntradas[[#This Row],[Data do Caixa Previsto]]="",0,MONTH(TbRegistroEntradas[[#This Row],[Data do Caixa Previsto]]))</f>
        <v>10</v>
      </c>
      <c r="N29" s="46">
        <f>IF(TbRegistroEntradas[[#This Row],[Data do Caixa Previsto]]="",0,YEAR(TbRegistroEntradas[[#This Row],[Data do Caixa Previsto]]))</f>
        <v>2017</v>
      </c>
      <c r="O29" s="46" t="str">
        <f ca="1">IF(AND(TbRegistroEntradas[[#This Row],[Data do Caixa Previsto]]&lt;TODAY(),TbRegistroEntradas[[#This Row],[Data do Caixa Realizado]]=""),"Vencida","Não Vencida")</f>
        <v>Não Vencida</v>
      </c>
      <c r="P29" s="46" t="str">
        <f>IF(TbRegistroEntradas[[#This Row],[Data da Competência]]=TbRegistroEntradas[[#This Row],[Data do Caixa Previsto]],"Vista","Prazo")</f>
        <v>Vista</v>
      </c>
      <c r="Q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0" spans="2:17" hidden="1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46">
        <f>IF(TbRegistroEntradas[[#This Row],[Data do Caixa Previsto]]="",0,MONTH(TbRegistroEntradas[[#This Row],[Data do Caixa Previsto]]))</f>
        <v>11</v>
      </c>
      <c r="N30" s="46">
        <f>IF(TbRegistroEntradas[[#This Row],[Data do Caixa Previsto]]="",0,YEAR(TbRegistroEntradas[[#This Row],[Data do Caixa Previsto]]))</f>
        <v>2017</v>
      </c>
      <c r="O30" s="46" t="str">
        <f ca="1">IF(AND(TbRegistroEntradas[[#This Row],[Data do Caixa Previsto]]&lt;TODAY(),TbRegistroEntradas[[#This Row],[Data do Caixa Realizado]]=""),"Vencida","Não Vencida")</f>
        <v>Não Vencida</v>
      </c>
      <c r="P30" s="46" t="str">
        <f>IF(TbRegistroEntradas[[#This Row],[Data da Competência]]=TbRegistroEntradas[[#This Row],[Data do Caixa Previsto]],"Vista","Prazo")</f>
        <v>Prazo</v>
      </c>
      <c r="Q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1" spans="2:17" hidden="1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46">
        <f>IF(TbRegistroEntradas[[#This Row],[Data do Caixa Previsto]]="",0,MONTH(TbRegistroEntradas[[#This Row],[Data do Caixa Previsto]]))</f>
        <v>11</v>
      </c>
      <c r="N31" s="46">
        <f>IF(TbRegistroEntradas[[#This Row],[Data do Caixa Previsto]]="",0,YEAR(TbRegistroEntradas[[#This Row],[Data do Caixa Previsto]]))</f>
        <v>2017</v>
      </c>
      <c r="O31" s="46" t="str">
        <f ca="1">IF(AND(TbRegistroEntradas[[#This Row],[Data do Caixa Previsto]]&lt;TODAY(),TbRegistroEntradas[[#This Row],[Data do Caixa Realizado]]=""),"Vencida","Não Vencida")</f>
        <v>Vencida</v>
      </c>
      <c r="P31" s="46" t="str">
        <f>IF(TbRegistroEntradas[[#This Row],[Data da Competência]]=TbRegistroEntradas[[#This Row],[Data do Caixa Previsto]],"Vista","Prazo")</f>
        <v>Prazo</v>
      </c>
      <c r="Q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888</v>
      </c>
    </row>
    <row r="32" spans="2:17" hidden="1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46">
        <f>IF(TbRegistroEntradas[[#This Row],[Data do Caixa Previsto]]="",0,MONTH(TbRegistroEntradas[[#This Row],[Data do Caixa Previsto]]))</f>
        <v>11</v>
      </c>
      <c r="N32" s="46">
        <f>IF(TbRegistroEntradas[[#This Row],[Data do Caixa Previsto]]="",0,YEAR(TbRegistroEntradas[[#This Row],[Data do Caixa Previsto]]))</f>
        <v>2017</v>
      </c>
      <c r="O32" s="46" t="str">
        <f ca="1">IF(AND(TbRegistroEntradas[[#This Row],[Data do Caixa Previsto]]&lt;TODAY(),TbRegistroEntradas[[#This Row],[Data do Caixa Realizado]]=""),"Vencida","Não Vencida")</f>
        <v>Não Vencida</v>
      </c>
      <c r="P32" s="46" t="str">
        <f>IF(TbRegistroEntradas[[#This Row],[Data da Competência]]=TbRegistroEntradas[[#This Row],[Data do Caixa Previsto]],"Vista","Prazo")</f>
        <v>Prazo</v>
      </c>
      <c r="Q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49</v>
      </c>
    </row>
    <row r="33" spans="2:17" hidden="1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46">
        <f>IF(TbRegistroEntradas[[#This Row],[Data do Caixa Previsto]]="",0,MONTH(TbRegistroEntradas[[#This Row],[Data do Caixa Previsto]]))</f>
        <v>11</v>
      </c>
      <c r="N33" s="46">
        <f>IF(TbRegistroEntradas[[#This Row],[Data do Caixa Previsto]]="",0,YEAR(TbRegistroEntradas[[#This Row],[Data do Caixa Previsto]]))</f>
        <v>2017</v>
      </c>
      <c r="O33" s="46" t="str">
        <f ca="1">IF(AND(TbRegistroEntradas[[#This Row],[Data do Caixa Previsto]]&lt;TODAY(),TbRegistroEntradas[[#This Row],[Data do Caixa Realizado]]=""),"Vencida","Não Vencida")</f>
        <v>Não Vencida</v>
      </c>
      <c r="P33" s="46" t="str">
        <f>IF(TbRegistroEntradas[[#This Row],[Data da Competência]]=TbRegistroEntradas[[#This Row],[Data do Caixa Previsto]],"Vista","Prazo")</f>
        <v>Vista</v>
      </c>
      <c r="Q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4" spans="2:17" hidden="1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46">
        <f>IF(TbRegistroEntradas[[#This Row],[Data do Caixa Previsto]]="",0,MONTH(TbRegistroEntradas[[#This Row],[Data do Caixa Previsto]]))</f>
        <v>11</v>
      </c>
      <c r="N34" s="46">
        <f>IF(TbRegistroEntradas[[#This Row],[Data do Caixa Previsto]]="",0,YEAR(TbRegistroEntradas[[#This Row],[Data do Caixa Previsto]]))</f>
        <v>2017</v>
      </c>
      <c r="O34" s="46" t="str">
        <f ca="1">IF(AND(TbRegistroEntradas[[#This Row],[Data do Caixa Previsto]]&lt;TODAY(),TbRegistroEntradas[[#This Row],[Data do Caixa Realizado]]=""),"Vencida","Não Vencida")</f>
        <v>Não Vencida</v>
      </c>
      <c r="P34" s="46" t="str">
        <f>IF(TbRegistroEntradas[[#This Row],[Data da Competência]]=TbRegistroEntradas[[#This Row],[Data do Caixa Previsto]],"Vista","Prazo")</f>
        <v>Vista</v>
      </c>
      <c r="Q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26</v>
      </c>
    </row>
    <row r="35" spans="2:17" hidden="1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46">
        <f>IF(TbRegistroEntradas[[#This Row],[Data do Caixa Previsto]]="",0,MONTH(TbRegistroEntradas[[#This Row],[Data do Caixa Previsto]]))</f>
        <v>1</v>
      </c>
      <c r="N35" s="46">
        <f>IF(TbRegistroEntradas[[#This Row],[Data do Caixa Previsto]]="",0,YEAR(TbRegistroEntradas[[#This Row],[Data do Caixa Previsto]]))</f>
        <v>2018</v>
      </c>
      <c r="O35" s="46" t="str">
        <f ca="1">IF(AND(TbRegistroEntradas[[#This Row],[Data do Caixa Previsto]]&lt;TODAY(),TbRegistroEntradas[[#This Row],[Data do Caixa Realizado]]=""),"Vencida","Não Vencida")</f>
        <v>Não Vencida</v>
      </c>
      <c r="P35" s="46" t="str">
        <f>IF(TbRegistroEntradas[[#This Row],[Data da Competência]]=TbRegistroEntradas[[#This Row],[Data do Caixa Previsto]],"Vista","Prazo")</f>
        <v>Prazo</v>
      </c>
      <c r="Q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6" spans="2:17" hidden="1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46">
        <f>IF(TbRegistroEntradas[[#This Row],[Data do Caixa Previsto]]="",0,MONTH(TbRegistroEntradas[[#This Row],[Data do Caixa Previsto]]))</f>
        <v>11</v>
      </c>
      <c r="N36" s="46">
        <f>IF(TbRegistroEntradas[[#This Row],[Data do Caixa Previsto]]="",0,YEAR(TbRegistroEntradas[[#This Row],[Data do Caixa Previsto]]))</f>
        <v>2017</v>
      </c>
      <c r="O36" s="46" t="str">
        <f ca="1">IF(AND(TbRegistroEntradas[[#This Row],[Data do Caixa Previsto]]&lt;TODAY(),TbRegistroEntradas[[#This Row],[Data do Caixa Realizado]]=""),"Vencida","Não Vencida")</f>
        <v>Não Vencida</v>
      </c>
      <c r="P36" s="46" t="str">
        <f>IF(TbRegistroEntradas[[#This Row],[Data da Competência]]=TbRegistroEntradas[[#This Row],[Data do Caixa Previsto]],"Vista","Prazo")</f>
        <v>Vista</v>
      </c>
      <c r="Q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7" spans="2:17" hidden="1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46">
        <f>IF(TbRegistroEntradas[[#This Row],[Data do Caixa Previsto]]="",0,MONTH(TbRegistroEntradas[[#This Row],[Data do Caixa Previsto]]))</f>
        <v>1</v>
      </c>
      <c r="N37" s="46">
        <f>IF(TbRegistroEntradas[[#This Row],[Data do Caixa Previsto]]="",0,YEAR(TbRegistroEntradas[[#This Row],[Data do Caixa Previsto]]))</f>
        <v>2018</v>
      </c>
      <c r="O37" s="46" t="str">
        <f ca="1">IF(AND(TbRegistroEntradas[[#This Row],[Data do Caixa Previsto]]&lt;TODAY(),TbRegistroEntradas[[#This Row],[Data do Caixa Realizado]]=""),"Vencida","Não Vencida")</f>
        <v>Vencida</v>
      </c>
      <c r="P37" s="46" t="str">
        <f>IF(TbRegistroEntradas[[#This Row],[Data da Competência]]=TbRegistroEntradas[[#This Row],[Data do Caixa Previsto]],"Vista","Prazo")</f>
        <v>Prazo</v>
      </c>
      <c r="Q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844</v>
      </c>
    </row>
    <row r="38" spans="2:17" hidden="1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46">
        <f>IF(TbRegistroEntradas[[#This Row],[Data do Caixa Previsto]]="",0,MONTH(TbRegistroEntradas[[#This Row],[Data do Caixa Previsto]]))</f>
        <v>12</v>
      </c>
      <c r="N38" s="46">
        <f>IF(TbRegistroEntradas[[#This Row],[Data do Caixa Previsto]]="",0,YEAR(TbRegistroEntradas[[#This Row],[Data do Caixa Previsto]]))</f>
        <v>2017</v>
      </c>
      <c r="O38" s="46" t="str">
        <f ca="1">IF(AND(TbRegistroEntradas[[#This Row],[Data do Caixa Previsto]]&lt;TODAY(),TbRegistroEntradas[[#This Row],[Data do Caixa Realizado]]=""),"Vencida","Não Vencida")</f>
        <v>Não Vencida</v>
      </c>
      <c r="P38" s="46" t="str">
        <f>IF(TbRegistroEntradas[[#This Row],[Data da Competência]]=TbRegistroEntradas[[#This Row],[Data do Caixa Previsto]],"Vista","Prazo")</f>
        <v>Prazo</v>
      </c>
      <c r="Q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9" spans="2:17" hidden="1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46">
        <f>IF(TbRegistroEntradas[[#This Row],[Data do Caixa Previsto]]="",0,MONTH(TbRegistroEntradas[[#This Row],[Data do Caixa Previsto]]))</f>
        <v>11</v>
      </c>
      <c r="N39" s="46">
        <f>IF(TbRegistroEntradas[[#This Row],[Data do Caixa Previsto]]="",0,YEAR(TbRegistroEntradas[[#This Row],[Data do Caixa Previsto]]))</f>
        <v>2017</v>
      </c>
      <c r="O39" s="46" t="str">
        <f ca="1">IF(AND(TbRegistroEntradas[[#This Row],[Data do Caixa Previsto]]&lt;TODAY(),TbRegistroEntradas[[#This Row],[Data do Caixa Realizado]]=""),"Vencida","Não Vencida")</f>
        <v>Não Vencida</v>
      </c>
      <c r="P39" s="46" t="str">
        <f>IF(TbRegistroEntradas[[#This Row],[Data da Competência]]=TbRegistroEntradas[[#This Row],[Data do Caixa Previsto]],"Vista","Prazo")</f>
        <v>Vista</v>
      </c>
      <c r="Q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0" spans="2:17" hidden="1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46">
        <f>IF(TbRegistroEntradas[[#This Row],[Data do Caixa Previsto]]="",0,MONTH(TbRegistroEntradas[[#This Row],[Data do Caixa Previsto]]))</f>
        <v>1</v>
      </c>
      <c r="N40" s="46">
        <f>IF(TbRegistroEntradas[[#This Row],[Data do Caixa Previsto]]="",0,YEAR(TbRegistroEntradas[[#This Row],[Data do Caixa Previsto]]))</f>
        <v>2018</v>
      </c>
      <c r="O40" s="46" t="str">
        <f ca="1">IF(AND(TbRegistroEntradas[[#This Row],[Data do Caixa Previsto]]&lt;TODAY(),TbRegistroEntradas[[#This Row],[Data do Caixa Realizado]]=""),"Vencida","Não Vencida")</f>
        <v>Não Vencida</v>
      </c>
      <c r="P40" s="46" t="str">
        <f>IF(TbRegistroEntradas[[#This Row],[Data da Competência]]=TbRegistroEntradas[[#This Row],[Data do Caixa Previsto]],"Vista","Prazo")</f>
        <v>Prazo</v>
      </c>
      <c r="Q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1" spans="2:17" hidden="1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46">
        <f>IF(TbRegistroEntradas[[#This Row],[Data do Caixa Previsto]]="",0,MONTH(TbRegistroEntradas[[#This Row],[Data do Caixa Previsto]]))</f>
        <v>11</v>
      </c>
      <c r="N41" s="46">
        <f>IF(TbRegistroEntradas[[#This Row],[Data do Caixa Previsto]]="",0,YEAR(TbRegistroEntradas[[#This Row],[Data do Caixa Previsto]]))</f>
        <v>2017</v>
      </c>
      <c r="O41" s="46" t="str">
        <f ca="1">IF(AND(TbRegistroEntradas[[#This Row],[Data do Caixa Previsto]]&lt;TODAY(),TbRegistroEntradas[[#This Row],[Data do Caixa Realizado]]=""),"Vencida","Não Vencida")</f>
        <v>Não Vencida</v>
      </c>
      <c r="P41" s="46" t="str">
        <f>IF(TbRegistroEntradas[[#This Row],[Data da Competência]]=TbRegistroEntradas[[#This Row],[Data do Caixa Previsto]],"Vista","Prazo")</f>
        <v>Vista</v>
      </c>
      <c r="Q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46</v>
      </c>
    </row>
    <row r="42" spans="2:17" hidden="1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46">
        <f>IF(TbRegistroEntradas[[#This Row],[Data do Caixa Previsto]]="",0,MONTH(TbRegistroEntradas[[#This Row],[Data do Caixa Previsto]]))</f>
        <v>12</v>
      </c>
      <c r="N42" s="46">
        <f>IF(TbRegistroEntradas[[#This Row],[Data do Caixa Previsto]]="",0,YEAR(TbRegistroEntradas[[#This Row],[Data do Caixa Previsto]]))</f>
        <v>2017</v>
      </c>
      <c r="O42" s="46" t="str">
        <f ca="1">IF(AND(TbRegistroEntradas[[#This Row],[Data do Caixa Previsto]]&lt;TODAY(),TbRegistroEntradas[[#This Row],[Data do Caixa Realizado]]=""),"Vencida","Não Vencida")</f>
        <v>Não Vencida</v>
      </c>
      <c r="P42" s="46" t="str">
        <f>IF(TbRegistroEntradas[[#This Row],[Data da Competência]]=TbRegistroEntradas[[#This Row],[Data do Caixa Previsto]],"Vista","Prazo")</f>
        <v>Vista</v>
      </c>
      <c r="Q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3" spans="2:17" hidden="1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46">
        <f>IF(TbRegistroEntradas[[#This Row],[Data do Caixa Previsto]]="",0,MONTH(TbRegistroEntradas[[#This Row],[Data do Caixa Previsto]]))</f>
        <v>12</v>
      </c>
      <c r="N43" s="46">
        <f>IF(TbRegistroEntradas[[#This Row],[Data do Caixa Previsto]]="",0,YEAR(TbRegistroEntradas[[#This Row],[Data do Caixa Previsto]]))</f>
        <v>2017</v>
      </c>
      <c r="O43" s="46" t="str">
        <f ca="1">IF(AND(TbRegistroEntradas[[#This Row],[Data do Caixa Previsto]]&lt;TODAY(),TbRegistroEntradas[[#This Row],[Data do Caixa Realizado]]=""),"Vencida","Não Vencida")</f>
        <v>Não Vencida</v>
      </c>
      <c r="P43" s="46" t="str">
        <f>IF(TbRegistroEntradas[[#This Row],[Data da Competência]]=TbRegistroEntradas[[#This Row],[Data do Caixa Previsto]],"Vista","Prazo")</f>
        <v>Vista</v>
      </c>
      <c r="Q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4" spans="2:17" hidden="1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46">
        <f>IF(TbRegistroEntradas[[#This Row],[Data do Caixa Previsto]]="",0,MONTH(TbRegistroEntradas[[#This Row],[Data do Caixa Previsto]]))</f>
        <v>12</v>
      </c>
      <c r="N44" s="46">
        <f>IF(TbRegistroEntradas[[#This Row],[Data do Caixa Previsto]]="",0,YEAR(TbRegistroEntradas[[#This Row],[Data do Caixa Previsto]]))</f>
        <v>2017</v>
      </c>
      <c r="O44" s="46" t="str">
        <f ca="1">IF(AND(TbRegistroEntradas[[#This Row],[Data do Caixa Previsto]]&lt;TODAY(),TbRegistroEntradas[[#This Row],[Data do Caixa Realizado]]=""),"Vencida","Não Vencida")</f>
        <v>Não Vencida</v>
      </c>
      <c r="P44" s="46" t="str">
        <f>IF(TbRegistroEntradas[[#This Row],[Data da Competência]]=TbRegistroEntradas[[#This Row],[Data do Caixa Previsto]],"Vista","Prazo")</f>
        <v>Vista</v>
      </c>
      <c r="Q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23</v>
      </c>
    </row>
    <row r="45" spans="2:17" hidden="1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46">
        <f>IF(TbRegistroEntradas[[#This Row],[Data do Caixa Previsto]]="",0,MONTH(TbRegistroEntradas[[#This Row],[Data do Caixa Previsto]]))</f>
        <v>1</v>
      </c>
      <c r="N45" s="46">
        <f>IF(TbRegistroEntradas[[#This Row],[Data do Caixa Previsto]]="",0,YEAR(TbRegistroEntradas[[#This Row],[Data do Caixa Previsto]]))</f>
        <v>2018</v>
      </c>
      <c r="O45" s="46" t="str">
        <f ca="1">IF(AND(TbRegistroEntradas[[#This Row],[Data do Caixa Previsto]]&lt;TODAY(),TbRegistroEntradas[[#This Row],[Data do Caixa Realizado]]=""),"Vencida","Não Vencida")</f>
        <v>Não Vencida</v>
      </c>
      <c r="P45" s="46" t="str">
        <f>IF(TbRegistroEntradas[[#This Row],[Data da Competência]]=TbRegistroEntradas[[#This Row],[Data do Caixa Previsto]],"Vista","Prazo")</f>
        <v>Prazo</v>
      </c>
      <c r="Q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6" spans="2:17" hidden="1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46">
        <f>IF(TbRegistroEntradas[[#This Row],[Data do Caixa Previsto]]="",0,MONTH(TbRegistroEntradas[[#This Row],[Data do Caixa Previsto]]))</f>
        <v>12</v>
      </c>
      <c r="N46" s="46">
        <f>IF(TbRegistroEntradas[[#This Row],[Data do Caixa Previsto]]="",0,YEAR(TbRegistroEntradas[[#This Row],[Data do Caixa Previsto]]))</f>
        <v>2017</v>
      </c>
      <c r="O46" s="46" t="str">
        <f ca="1">IF(AND(TbRegistroEntradas[[#This Row],[Data do Caixa Previsto]]&lt;TODAY(),TbRegistroEntradas[[#This Row],[Data do Caixa Realizado]]=""),"Vencida","Não Vencida")</f>
        <v>Não Vencida</v>
      </c>
      <c r="P46" s="46" t="str">
        <f>IF(TbRegistroEntradas[[#This Row],[Data da Competência]]=TbRegistroEntradas[[#This Row],[Data do Caixa Previsto]],"Vista","Prazo")</f>
        <v>Prazo</v>
      </c>
      <c r="Q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7" spans="2:17" hidden="1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46">
        <f>IF(TbRegistroEntradas[[#This Row],[Data do Caixa Previsto]]="",0,MONTH(TbRegistroEntradas[[#This Row],[Data do Caixa Previsto]]))</f>
        <v>1</v>
      </c>
      <c r="N47" s="46">
        <f>IF(TbRegistroEntradas[[#This Row],[Data do Caixa Previsto]]="",0,YEAR(TbRegistroEntradas[[#This Row],[Data do Caixa Previsto]]))</f>
        <v>2018</v>
      </c>
      <c r="O47" s="46" t="str">
        <f ca="1">IF(AND(TbRegistroEntradas[[#This Row],[Data do Caixa Previsto]]&lt;TODAY(),TbRegistroEntradas[[#This Row],[Data do Caixa Realizado]]=""),"Vencida","Não Vencida")</f>
        <v>Não Vencida</v>
      </c>
      <c r="P47" s="46" t="str">
        <f>IF(TbRegistroEntradas[[#This Row],[Data da Competência]]=TbRegistroEntradas[[#This Row],[Data do Caixa Previsto]],"Vista","Prazo")</f>
        <v>Prazo</v>
      </c>
      <c r="Q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8" spans="2:17" hidden="1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46">
        <f>IF(TbRegistroEntradas[[#This Row],[Data do Caixa Previsto]]="",0,MONTH(TbRegistroEntradas[[#This Row],[Data do Caixa Previsto]]))</f>
        <v>1</v>
      </c>
      <c r="N48" s="46">
        <f>IF(TbRegistroEntradas[[#This Row],[Data do Caixa Previsto]]="",0,YEAR(TbRegistroEntradas[[#This Row],[Data do Caixa Previsto]]))</f>
        <v>2018</v>
      </c>
      <c r="O48" s="46" t="str">
        <f ca="1">IF(AND(TbRegistroEntradas[[#This Row],[Data do Caixa Previsto]]&lt;TODAY(),TbRegistroEntradas[[#This Row],[Data do Caixa Realizado]]=""),"Vencida","Não Vencida")</f>
        <v>Não Vencida</v>
      </c>
      <c r="P48" s="46" t="str">
        <f>IF(TbRegistroEntradas[[#This Row],[Data da Competência]]=TbRegistroEntradas[[#This Row],[Data do Caixa Previsto]],"Vista","Prazo")</f>
        <v>Prazo</v>
      </c>
      <c r="Q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9" spans="2:17" hidden="1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46">
        <f>IF(TbRegistroEntradas[[#This Row],[Data do Caixa Previsto]]="",0,MONTH(TbRegistroEntradas[[#This Row],[Data do Caixa Previsto]]))</f>
        <v>1</v>
      </c>
      <c r="N49" s="46">
        <f>IF(TbRegistroEntradas[[#This Row],[Data do Caixa Previsto]]="",0,YEAR(TbRegistroEntradas[[#This Row],[Data do Caixa Previsto]]))</f>
        <v>2018</v>
      </c>
      <c r="O49" s="46" t="str">
        <f ca="1">IF(AND(TbRegistroEntradas[[#This Row],[Data do Caixa Previsto]]&lt;TODAY(),TbRegistroEntradas[[#This Row],[Data do Caixa Realizado]]=""),"Vencida","Não Vencida")</f>
        <v>Não Vencida</v>
      </c>
      <c r="P49" s="46" t="str">
        <f>IF(TbRegistroEntradas[[#This Row],[Data da Competência]]=TbRegistroEntradas[[#This Row],[Data do Caixa Previsto]],"Vista","Prazo")</f>
        <v>Prazo</v>
      </c>
      <c r="Q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0" spans="2:17" hidden="1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46">
        <f>IF(TbRegistroEntradas[[#This Row],[Data do Caixa Previsto]]="",0,MONTH(TbRegistroEntradas[[#This Row],[Data do Caixa Previsto]]))</f>
        <v>12</v>
      </c>
      <c r="N50" s="46">
        <f>IF(TbRegistroEntradas[[#This Row],[Data do Caixa Previsto]]="",0,YEAR(TbRegistroEntradas[[#This Row],[Data do Caixa Previsto]]))</f>
        <v>2017</v>
      </c>
      <c r="O50" s="46" t="str">
        <f ca="1">IF(AND(TbRegistroEntradas[[#This Row],[Data do Caixa Previsto]]&lt;TODAY(),TbRegistroEntradas[[#This Row],[Data do Caixa Realizado]]=""),"Vencida","Não Vencida")</f>
        <v>Não Vencida</v>
      </c>
      <c r="P50" s="46" t="str">
        <f>IF(TbRegistroEntradas[[#This Row],[Data da Competência]]=TbRegistroEntradas[[#This Row],[Data do Caixa Previsto]],"Vista","Prazo")</f>
        <v>Vista</v>
      </c>
      <c r="Q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1" spans="2:17" hidden="1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46">
        <f>IF(TbRegistroEntradas[[#This Row],[Data do Caixa Previsto]]="",0,MONTH(TbRegistroEntradas[[#This Row],[Data do Caixa Previsto]]))</f>
        <v>2</v>
      </c>
      <c r="N51" s="46">
        <f>IF(TbRegistroEntradas[[#This Row],[Data do Caixa Previsto]]="",0,YEAR(TbRegistroEntradas[[#This Row],[Data do Caixa Previsto]]))</f>
        <v>2018</v>
      </c>
      <c r="O51" s="46" t="str">
        <f ca="1">IF(AND(TbRegistroEntradas[[#This Row],[Data do Caixa Previsto]]&lt;TODAY(),TbRegistroEntradas[[#This Row],[Data do Caixa Realizado]]=""),"Vencida","Não Vencida")</f>
        <v>Não Vencida</v>
      </c>
      <c r="P51" s="46" t="str">
        <f>IF(TbRegistroEntradas[[#This Row],[Data da Competência]]=TbRegistroEntradas[[#This Row],[Data do Caixa Previsto]],"Vista","Prazo")</f>
        <v>Prazo</v>
      </c>
      <c r="Q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2" spans="2:17" hidden="1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46">
        <f>IF(TbRegistroEntradas[[#This Row],[Data do Caixa Previsto]]="",0,MONTH(TbRegistroEntradas[[#This Row],[Data do Caixa Previsto]]))</f>
        <v>12</v>
      </c>
      <c r="N52" s="46">
        <f>IF(TbRegistroEntradas[[#This Row],[Data do Caixa Previsto]]="",0,YEAR(TbRegistroEntradas[[#This Row],[Data do Caixa Previsto]]))</f>
        <v>2017</v>
      </c>
      <c r="O52" s="46" t="str">
        <f ca="1">IF(AND(TbRegistroEntradas[[#This Row],[Data do Caixa Previsto]]&lt;TODAY(),TbRegistroEntradas[[#This Row],[Data do Caixa Realizado]]=""),"Vencida","Não Vencida")</f>
        <v>Não Vencida</v>
      </c>
      <c r="P52" s="46" t="str">
        <f>IF(TbRegistroEntradas[[#This Row],[Data da Competência]]=TbRegistroEntradas[[#This Row],[Data do Caixa Previsto]],"Vista","Prazo")</f>
        <v>Vista</v>
      </c>
      <c r="Q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53" spans="2:17" hidden="1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46">
        <f>IF(TbRegistroEntradas[[#This Row],[Data do Caixa Previsto]]="",0,MONTH(TbRegistroEntradas[[#This Row],[Data do Caixa Previsto]]))</f>
        <v>1</v>
      </c>
      <c r="N53" s="46">
        <f>IF(TbRegistroEntradas[[#This Row],[Data do Caixa Previsto]]="",0,YEAR(TbRegistroEntradas[[#This Row],[Data do Caixa Previsto]]))</f>
        <v>2018</v>
      </c>
      <c r="O53" s="46" t="str">
        <f ca="1">IF(AND(TbRegistroEntradas[[#This Row],[Data do Caixa Previsto]]&lt;TODAY(),TbRegistroEntradas[[#This Row],[Data do Caixa Realizado]]=""),"Vencida","Não Vencida")</f>
        <v>Não Vencida</v>
      </c>
      <c r="P53" s="46" t="str">
        <f>IF(TbRegistroEntradas[[#This Row],[Data da Competência]]=TbRegistroEntradas[[#This Row],[Data do Caixa Previsto]],"Vista","Prazo")</f>
        <v>Prazo</v>
      </c>
      <c r="Q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4" spans="2:17" hidden="1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46">
        <f>IF(TbRegistroEntradas[[#This Row],[Data do Caixa Previsto]]="",0,MONTH(TbRegistroEntradas[[#This Row],[Data do Caixa Previsto]]))</f>
        <v>2</v>
      </c>
      <c r="N54" s="46">
        <f>IF(TbRegistroEntradas[[#This Row],[Data do Caixa Previsto]]="",0,YEAR(TbRegistroEntradas[[#This Row],[Data do Caixa Previsto]]))</f>
        <v>2018</v>
      </c>
      <c r="O54" s="46" t="str">
        <f ca="1">IF(AND(TbRegistroEntradas[[#This Row],[Data do Caixa Previsto]]&lt;TODAY(),TbRegistroEntradas[[#This Row],[Data do Caixa Realizado]]=""),"Vencida","Não Vencida")</f>
        <v>Não Vencida</v>
      </c>
      <c r="P54" s="46" t="str">
        <f>IF(TbRegistroEntradas[[#This Row],[Data da Competência]]=TbRegistroEntradas[[#This Row],[Data do Caixa Previsto]],"Vista","Prazo")</f>
        <v>Prazo</v>
      </c>
      <c r="Q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5" spans="2:17" hidden="1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46">
        <f>IF(TbRegistroEntradas[[#This Row],[Data do Caixa Previsto]]="",0,MONTH(TbRegistroEntradas[[#This Row],[Data do Caixa Previsto]]))</f>
        <v>2</v>
      </c>
      <c r="N55" s="46">
        <f>IF(TbRegistroEntradas[[#This Row],[Data do Caixa Previsto]]="",0,YEAR(TbRegistroEntradas[[#This Row],[Data do Caixa Previsto]]))</f>
        <v>2018</v>
      </c>
      <c r="O55" s="46" t="str">
        <f ca="1">IF(AND(TbRegistroEntradas[[#This Row],[Data do Caixa Previsto]]&lt;TODAY(),TbRegistroEntradas[[#This Row],[Data do Caixa Realizado]]=""),"Vencida","Não Vencida")</f>
        <v>Vencida</v>
      </c>
      <c r="P55" s="46" t="str">
        <f>IF(TbRegistroEntradas[[#This Row],[Data da Competência]]=TbRegistroEntradas[[#This Row],[Data do Caixa Previsto]],"Vista","Prazo")</f>
        <v>Prazo</v>
      </c>
      <c r="Q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786</v>
      </c>
    </row>
    <row r="56" spans="2:17" hidden="1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46">
        <f>IF(TbRegistroEntradas[[#This Row],[Data do Caixa Previsto]]="",0,MONTH(TbRegistroEntradas[[#This Row],[Data do Caixa Previsto]]))</f>
        <v>1</v>
      </c>
      <c r="N56" s="46">
        <f>IF(TbRegistroEntradas[[#This Row],[Data do Caixa Previsto]]="",0,YEAR(TbRegistroEntradas[[#This Row],[Data do Caixa Previsto]]))</f>
        <v>2018</v>
      </c>
      <c r="O56" s="46" t="str">
        <f ca="1">IF(AND(TbRegistroEntradas[[#This Row],[Data do Caixa Previsto]]&lt;TODAY(),TbRegistroEntradas[[#This Row],[Data do Caixa Realizado]]=""),"Vencida","Não Vencida")</f>
        <v>Não Vencida</v>
      </c>
      <c r="P56" s="46" t="str">
        <f>IF(TbRegistroEntradas[[#This Row],[Data da Competência]]=TbRegistroEntradas[[#This Row],[Data do Caixa Previsto]],"Vista","Prazo")</f>
        <v>Prazo</v>
      </c>
      <c r="Q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</v>
      </c>
    </row>
    <row r="57" spans="2:17" hidden="1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46">
        <f>IF(TbRegistroEntradas[[#This Row],[Data do Caixa Previsto]]="",0,MONTH(TbRegistroEntradas[[#This Row],[Data do Caixa Previsto]]))</f>
        <v>1</v>
      </c>
      <c r="N57" s="46">
        <f>IF(TbRegistroEntradas[[#This Row],[Data do Caixa Previsto]]="",0,YEAR(TbRegistroEntradas[[#This Row],[Data do Caixa Previsto]]))</f>
        <v>2018</v>
      </c>
      <c r="O57" s="46" t="str">
        <f ca="1">IF(AND(TbRegistroEntradas[[#This Row],[Data do Caixa Previsto]]&lt;TODAY(),TbRegistroEntradas[[#This Row],[Data do Caixa Realizado]]=""),"Vencida","Não Vencida")</f>
        <v>Não Vencida</v>
      </c>
      <c r="P57" s="46" t="str">
        <f>IF(TbRegistroEntradas[[#This Row],[Data da Competência]]=TbRegistroEntradas[[#This Row],[Data do Caixa Previsto]],"Vista","Prazo")</f>
        <v>Vista</v>
      </c>
      <c r="Q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8" spans="2:17" hidden="1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46">
        <f>IF(TbRegistroEntradas[[#This Row],[Data do Caixa Previsto]]="",0,MONTH(TbRegistroEntradas[[#This Row],[Data do Caixa Previsto]]))</f>
        <v>3</v>
      </c>
      <c r="N58" s="46">
        <f>IF(TbRegistroEntradas[[#This Row],[Data do Caixa Previsto]]="",0,YEAR(TbRegistroEntradas[[#This Row],[Data do Caixa Previsto]]))</f>
        <v>2018</v>
      </c>
      <c r="O58" s="46" t="str">
        <f ca="1">IF(AND(TbRegistroEntradas[[#This Row],[Data do Caixa Previsto]]&lt;TODAY(),TbRegistroEntradas[[#This Row],[Data do Caixa Realizado]]=""),"Vencida","Não Vencida")</f>
        <v>Não Vencida</v>
      </c>
      <c r="P58" s="46" t="str">
        <f>IF(TbRegistroEntradas[[#This Row],[Data da Competência]]=TbRegistroEntradas[[#This Row],[Data do Caixa Previsto]],"Vista","Prazo")</f>
        <v>Prazo</v>
      </c>
      <c r="Q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9" spans="2:17" hidden="1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46">
        <f>IF(TbRegistroEntradas[[#This Row],[Data do Caixa Previsto]]="",0,MONTH(TbRegistroEntradas[[#This Row],[Data do Caixa Previsto]]))</f>
        <v>2</v>
      </c>
      <c r="N59" s="46">
        <f>IF(TbRegistroEntradas[[#This Row],[Data do Caixa Previsto]]="",0,YEAR(TbRegistroEntradas[[#This Row],[Data do Caixa Previsto]]))</f>
        <v>2018</v>
      </c>
      <c r="O59" s="46" t="str">
        <f ca="1">IF(AND(TbRegistroEntradas[[#This Row],[Data do Caixa Previsto]]&lt;TODAY(),TbRegistroEntradas[[#This Row],[Data do Caixa Realizado]]=""),"Vencida","Não Vencida")</f>
        <v>Não Vencida</v>
      </c>
      <c r="P59" s="46" t="str">
        <f>IF(TbRegistroEntradas[[#This Row],[Data da Competência]]=TbRegistroEntradas[[#This Row],[Data do Caixa Previsto]],"Vista","Prazo")</f>
        <v>Prazo</v>
      </c>
      <c r="Q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0" spans="2:17" hidden="1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46">
        <f>IF(TbRegistroEntradas[[#This Row],[Data do Caixa Previsto]]="",0,MONTH(TbRegistroEntradas[[#This Row],[Data do Caixa Previsto]]))</f>
        <v>2</v>
      </c>
      <c r="N60" s="46">
        <f>IF(TbRegistroEntradas[[#This Row],[Data do Caixa Previsto]]="",0,YEAR(TbRegistroEntradas[[#This Row],[Data do Caixa Previsto]]))</f>
        <v>2018</v>
      </c>
      <c r="O60" s="46" t="str">
        <f ca="1">IF(AND(TbRegistroEntradas[[#This Row],[Data do Caixa Previsto]]&lt;TODAY(),TbRegistroEntradas[[#This Row],[Data do Caixa Realizado]]=""),"Vencida","Não Vencida")</f>
        <v>Não Vencida</v>
      </c>
      <c r="P60" s="46" t="str">
        <f>IF(TbRegistroEntradas[[#This Row],[Data da Competência]]=TbRegistroEntradas[[#This Row],[Data do Caixa Previsto]],"Vista","Prazo")</f>
        <v>Prazo</v>
      </c>
      <c r="Q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1" spans="2:17" hidden="1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46">
        <f>IF(TbRegistroEntradas[[#This Row],[Data do Caixa Previsto]]="",0,MONTH(TbRegistroEntradas[[#This Row],[Data do Caixa Previsto]]))</f>
        <v>1</v>
      </c>
      <c r="N61" s="46">
        <f>IF(TbRegistroEntradas[[#This Row],[Data do Caixa Previsto]]="",0,YEAR(TbRegistroEntradas[[#This Row],[Data do Caixa Previsto]]))</f>
        <v>2018</v>
      </c>
      <c r="O61" s="46" t="str">
        <f ca="1">IF(AND(TbRegistroEntradas[[#This Row],[Data do Caixa Previsto]]&lt;TODAY(),TbRegistroEntradas[[#This Row],[Data do Caixa Realizado]]=""),"Vencida","Não Vencida")</f>
        <v>Não Vencida</v>
      </c>
      <c r="P61" s="46" t="str">
        <f>IF(TbRegistroEntradas[[#This Row],[Data da Competência]]=TbRegistroEntradas[[#This Row],[Data do Caixa Previsto]],"Vista","Prazo")</f>
        <v>Prazo</v>
      </c>
      <c r="Q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77</v>
      </c>
    </row>
    <row r="62" spans="2:17" hidden="1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46">
        <f>IF(TbRegistroEntradas[[#This Row],[Data do Caixa Previsto]]="",0,MONTH(TbRegistroEntradas[[#This Row],[Data do Caixa Previsto]]))</f>
        <v>1</v>
      </c>
      <c r="N62" s="46">
        <f>IF(TbRegistroEntradas[[#This Row],[Data do Caixa Previsto]]="",0,YEAR(TbRegistroEntradas[[#This Row],[Data do Caixa Previsto]]))</f>
        <v>2018</v>
      </c>
      <c r="O62" s="46" t="str">
        <f ca="1">IF(AND(TbRegistroEntradas[[#This Row],[Data do Caixa Previsto]]&lt;TODAY(),TbRegistroEntradas[[#This Row],[Data do Caixa Realizado]]=""),"Vencida","Não Vencida")</f>
        <v>Não Vencida</v>
      </c>
      <c r="P62" s="46" t="str">
        <f>IF(TbRegistroEntradas[[#This Row],[Data da Competência]]=TbRegistroEntradas[[#This Row],[Data do Caixa Previsto]],"Vista","Prazo")</f>
        <v>Vista</v>
      </c>
      <c r="Q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</v>
      </c>
    </row>
    <row r="63" spans="2:17" hidden="1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46">
        <f>IF(TbRegistroEntradas[[#This Row],[Data do Caixa Previsto]]="",0,MONTH(TbRegistroEntradas[[#This Row],[Data do Caixa Previsto]]))</f>
        <v>3</v>
      </c>
      <c r="N63" s="46">
        <f>IF(TbRegistroEntradas[[#This Row],[Data do Caixa Previsto]]="",0,YEAR(TbRegistroEntradas[[#This Row],[Data do Caixa Previsto]]))</f>
        <v>2018</v>
      </c>
      <c r="O63" s="46" t="str">
        <f ca="1">IF(AND(TbRegistroEntradas[[#This Row],[Data do Caixa Previsto]]&lt;TODAY(),TbRegistroEntradas[[#This Row],[Data do Caixa Realizado]]=""),"Vencida","Não Vencida")</f>
        <v>Não Vencida</v>
      </c>
      <c r="P63" s="46" t="str">
        <f>IF(TbRegistroEntradas[[#This Row],[Data da Competência]]=TbRegistroEntradas[[#This Row],[Data do Caixa Previsto]],"Vista","Prazo")</f>
        <v>Prazo</v>
      </c>
      <c r="Q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4" spans="2:17" hidden="1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46">
        <f>IF(TbRegistroEntradas[[#This Row],[Data do Caixa Previsto]]="",0,MONTH(TbRegistroEntradas[[#This Row],[Data do Caixa Previsto]]))</f>
        <v>3</v>
      </c>
      <c r="N64" s="46">
        <f>IF(TbRegistroEntradas[[#This Row],[Data do Caixa Previsto]]="",0,YEAR(TbRegistroEntradas[[#This Row],[Data do Caixa Previsto]]))</f>
        <v>2018</v>
      </c>
      <c r="O64" s="46" t="str">
        <f ca="1">IF(AND(TbRegistroEntradas[[#This Row],[Data do Caixa Previsto]]&lt;TODAY(),TbRegistroEntradas[[#This Row],[Data do Caixa Realizado]]=""),"Vencida","Não Vencida")</f>
        <v>Não Vencida</v>
      </c>
      <c r="P64" s="46" t="str">
        <f>IF(TbRegistroEntradas[[#This Row],[Data da Competência]]=TbRegistroEntradas[[#This Row],[Data do Caixa Previsto]],"Vista","Prazo")</f>
        <v>Prazo</v>
      </c>
      <c r="Q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5" spans="2:17" hidden="1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46">
        <f>IF(TbRegistroEntradas[[#This Row],[Data do Caixa Previsto]]="",0,MONTH(TbRegistroEntradas[[#This Row],[Data do Caixa Previsto]]))</f>
        <v>2</v>
      </c>
      <c r="N65" s="46">
        <f>IF(TbRegistroEntradas[[#This Row],[Data do Caixa Previsto]]="",0,YEAR(TbRegistroEntradas[[#This Row],[Data do Caixa Previsto]]))</f>
        <v>2018</v>
      </c>
      <c r="O65" s="46" t="str">
        <f ca="1">IF(AND(TbRegistroEntradas[[#This Row],[Data do Caixa Previsto]]&lt;TODAY(),TbRegistroEntradas[[#This Row],[Data do Caixa Realizado]]=""),"Vencida","Não Vencida")</f>
        <v>Não Vencida</v>
      </c>
      <c r="P65" s="46" t="str">
        <f>IF(TbRegistroEntradas[[#This Row],[Data da Competência]]=TbRegistroEntradas[[#This Row],[Data do Caixa Previsto]],"Vista","Prazo")</f>
        <v>Prazo</v>
      </c>
      <c r="Q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6" spans="2:17" hidden="1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46">
        <f>IF(TbRegistroEntradas[[#This Row],[Data do Caixa Previsto]]="",0,MONTH(TbRegistroEntradas[[#This Row],[Data do Caixa Previsto]]))</f>
        <v>3</v>
      </c>
      <c r="N66" s="46">
        <f>IF(TbRegistroEntradas[[#This Row],[Data do Caixa Previsto]]="",0,YEAR(TbRegistroEntradas[[#This Row],[Data do Caixa Previsto]]))</f>
        <v>2018</v>
      </c>
      <c r="O66" s="46" t="str">
        <f ca="1">IF(AND(TbRegistroEntradas[[#This Row],[Data do Caixa Previsto]]&lt;TODAY(),TbRegistroEntradas[[#This Row],[Data do Caixa Realizado]]=""),"Vencida","Não Vencida")</f>
        <v>Vencida</v>
      </c>
      <c r="P66" s="46" t="str">
        <f>IF(TbRegistroEntradas[[#This Row],[Data da Competência]]=TbRegistroEntradas[[#This Row],[Data do Caixa Previsto]],"Vista","Prazo")</f>
        <v>Prazo</v>
      </c>
      <c r="Q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755</v>
      </c>
    </row>
    <row r="67" spans="2:17" hidden="1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46">
        <f>IF(TbRegistroEntradas[[#This Row],[Data do Caixa Previsto]]="",0,MONTH(TbRegistroEntradas[[#This Row],[Data do Caixa Previsto]]))</f>
        <v>2</v>
      </c>
      <c r="N67" s="46">
        <f>IF(TbRegistroEntradas[[#This Row],[Data do Caixa Previsto]]="",0,YEAR(TbRegistroEntradas[[#This Row],[Data do Caixa Previsto]]))</f>
        <v>2018</v>
      </c>
      <c r="O67" s="46" t="str">
        <f ca="1">IF(AND(TbRegistroEntradas[[#This Row],[Data do Caixa Previsto]]&lt;TODAY(),TbRegistroEntradas[[#This Row],[Data do Caixa Realizado]]=""),"Vencida","Não Vencida")</f>
        <v>Não Vencida</v>
      </c>
      <c r="P67" s="46" t="str">
        <f>IF(TbRegistroEntradas[[#This Row],[Data da Competência]]=TbRegistroEntradas[[#This Row],[Data do Caixa Previsto]],"Vista","Prazo")</f>
        <v>Prazo</v>
      </c>
      <c r="Q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8" spans="2:17" hidden="1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46">
        <f>IF(TbRegistroEntradas[[#This Row],[Data do Caixa Previsto]]="",0,MONTH(TbRegistroEntradas[[#This Row],[Data do Caixa Previsto]]))</f>
        <v>2</v>
      </c>
      <c r="N68" s="46">
        <f>IF(TbRegistroEntradas[[#This Row],[Data do Caixa Previsto]]="",0,YEAR(TbRegistroEntradas[[#This Row],[Data do Caixa Previsto]]))</f>
        <v>2018</v>
      </c>
      <c r="O68" s="46" t="str">
        <f ca="1">IF(AND(TbRegistroEntradas[[#This Row],[Data do Caixa Previsto]]&lt;TODAY(),TbRegistroEntradas[[#This Row],[Data do Caixa Realizado]]=""),"Vencida","Não Vencida")</f>
        <v>Não Vencida</v>
      </c>
      <c r="P68" s="46" t="str">
        <f>IF(TbRegistroEntradas[[#This Row],[Data da Competência]]=TbRegistroEntradas[[#This Row],[Data do Caixa Previsto]],"Vista","Prazo")</f>
        <v>Prazo</v>
      </c>
      <c r="Q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9" spans="2:17" hidden="1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46">
        <f>IF(TbRegistroEntradas[[#This Row],[Data do Caixa Previsto]]="",0,MONTH(TbRegistroEntradas[[#This Row],[Data do Caixa Previsto]]))</f>
        <v>4</v>
      </c>
      <c r="N69" s="46">
        <f>IF(TbRegistroEntradas[[#This Row],[Data do Caixa Previsto]]="",0,YEAR(TbRegistroEntradas[[#This Row],[Data do Caixa Previsto]]))</f>
        <v>2018</v>
      </c>
      <c r="O69" s="46" t="str">
        <f ca="1">IF(AND(TbRegistroEntradas[[#This Row],[Data do Caixa Previsto]]&lt;TODAY(),TbRegistroEntradas[[#This Row],[Data do Caixa Realizado]]=""),"Vencida","Não Vencida")</f>
        <v>Não Vencida</v>
      </c>
      <c r="P69" s="46" t="str">
        <f>IF(TbRegistroEntradas[[#This Row],[Data da Competência]]=TbRegistroEntradas[[#This Row],[Data do Caixa Previsto]],"Vista","Prazo")</f>
        <v>Prazo</v>
      </c>
      <c r="Q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0" spans="2:17" hidden="1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46">
        <f>IF(TbRegistroEntradas[[#This Row],[Data do Caixa Previsto]]="",0,MONTH(TbRegistroEntradas[[#This Row],[Data do Caixa Previsto]]))</f>
        <v>4</v>
      </c>
      <c r="N70" s="46">
        <f>IF(TbRegistroEntradas[[#This Row],[Data do Caixa Previsto]]="",0,YEAR(TbRegistroEntradas[[#This Row],[Data do Caixa Previsto]]))</f>
        <v>2018</v>
      </c>
      <c r="O70" s="46" t="str">
        <f ca="1">IF(AND(TbRegistroEntradas[[#This Row],[Data do Caixa Previsto]]&lt;TODAY(),TbRegistroEntradas[[#This Row],[Data do Caixa Realizado]]=""),"Vencida","Não Vencida")</f>
        <v>Não Vencida</v>
      </c>
      <c r="P70" s="46" t="str">
        <f>IF(TbRegistroEntradas[[#This Row],[Data da Competência]]=TbRegistroEntradas[[#This Row],[Data do Caixa Previsto]],"Vista","Prazo")</f>
        <v>Prazo</v>
      </c>
      <c r="Q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1" spans="2:17" hidden="1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46">
        <f>IF(TbRegistroEntradas[[#This Row],[Data do Caixa Previsto]]="",0,MONTH(TbRegistroEntradas[[#This Row],[Data do Caixa Previsto]]))</f>
        <v>2</v>
      </c>
      <c r="N71" s="46">
        <f>IF(TbRegistroEntradas[[#This Row],[Data do Caixa Previsto]]="",0,YEAR(TbRegistroEntradas[[#This Row],[Data do Caixa Previsto]]))</f>
        <v>2018</v>
      </c>
      <c r="O71" s="46" t="str">
        <f ca="1">IF(AND(TbRegistroEntradas[[#This Row],[Data do Caixa Previsto]]&lt;TODAY(),TbRegistroEntradas[[#This Row],[Data do Caixa Realizado]]=""),"Vencida","Não Vencida")</f>
        <v>Não Vencida</v>
      </c>
      <c r="P71" s="46" t="str">
        <f>IF(TbRegistroEntradas[[#This Row],[Data da Competência]]=TbRegistroEntradas[[#This Row],[Data do Caixa Previsto]],"Vista","Prazo")</f>
        <v>Vista</v>
      </c>
      <c r="Q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2" spans="2:17" hidden="1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46">
        <f>IF(TbRegistroEntradas[[#This Row],[Data do Caixa Previsto]]="",0,MONTH(TbRegistroEntradas[[#This Row],[Data do Caixa Previsto]]))</f>
        <v>4</v>
      </c>
      <c r="N72" s="46">
        <f>IF(TbRegistroEntradas[[#This Row],[Data do Caixa Previsto]]="",0,YEAR(TbRegistroEntradas[[#This Row],[Data do Caixa Previsto]]))</f>
        <v>2018</v>
      </c>
      <c r="O72" s="46" t="str">
        <f ca="1">IF(AND(TbRegistroEntradas[[#This Row],[Data do Caixa Previsto]]&lt;TODAY(),TbRegistroEntradas[[#This Row],[Data do Caixa Realizado]]=""),"Vencida","Não Vencida")</f>
        <v>Vencida</v>
      </c>
      <c r="P72" s="46" t="str">
        <f>IF(TbRegistroEntradas[[#This Row],[Data da Competência]]=TbRegistroEntradas[[#This Row],[Data do Caixa Previsto]],"Vista","Prazo")</f>
        <v>Prazo</v>
      </c>
      <c r="Q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740</v>
      </c>
    </row>
    <row r="73" spans="2:17" hidden="1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46">
        <f>IF(TbRegistroEntradas[[#This Row],[Data do Caixa Previsto]]="",0,MONTH(TbRegistroEntradas[[#This Row],[Data do Caixa Previsto]]))</f>
        <v>3</v>
      </c>
      <c r="N73" s="46">
        <f>IF(TbRegistroEntradas[[#This Row],[Data do Caixa Previsto]]="",0,YEAR(TbRegistroEntradas[[#This Row],[Data do Caixa Previsto]]))</f>
        <v>2018</v>
      </c>
      <c r="O73" s="46" t="str">
        <f ca="1">IF(AND(TbRegistroEntradas[[#This Row],[Data do Caixa Previsto]]&lt;TODAY(),TbRegistroEntradas[[#This Row],[Data do Caixa Realizado]]=""),"Vencida","Não Vencida")</f>
        <v>Não Vencida</v>
      </c>
      <c r="P73" s="46" t="str">
        <f>IF(TbRegistroEntradas[[#This Row],[Data da Competência]]=TbRegistroEntradas[[#This Row],[Data do Caixa Previsto]],"Vista","Prazo")</f>
        <v>Prazo</v>
      </c>
      <c r="Q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74" spans="2:17" hidden="1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46">
        <f>IF(TbRegistroEntradas[[#This Row],[Data do Caixa Previsto]]="",0,MONTH(TbRegistroEntradas[[#This Row],[Data do Caixa Previsto]]))</f>
        <v>3</v>
      </c>
      <c r="N74" s="46">
        <f>IF(TbRegistroEntradas[[#This Row],[Data do Caixa Previsto]]="",0,YEAR(TbRegistroEntradas[[#This Row],[Data do Caixa Previsto]]))</f>
        <v>2018</v>
      </c>
      <c r="O74" s="46" t="str">
        <f ca="1">IF(AND(TbRegistroEntradas[[#This Row],[Data do Caixa Previsto]]&lt;TODAY(),TbRegistroEntradas[[#This Row],[Data do Caixa Realizado]]=""),"Vencida","Não Vencida")</f>
        <v>Não Vencida</v>
      </c>
      <c r="P74" s="46" t="str">
        <f>IF(TbRegistroEntradas[[#This Row],[Data da Competência]]=TbRegistroEntradas[[#This Row],[Data do Caixa Previsto]],"Vista","Prazo")</f>
        <v>Prazo</v>
      </c>
      <c r="Q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5" spans="2:17" hidden="1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46">
        <f>IF(TbRegistroEntradas[[#This Row],[Data do Caixa Previsto]]="",0,MONTH(TbRegistroEntradas[[#This Row],[Data do Caixa Previsto]]))</f>
        <v>4</v>
      </c>
      <c r="N75" s="46">
        <f>IF(TbRegistroEntradas[[#This Row],[Data do Caixa Previsto]]="",0,YEAR(TbRegistroEntradas[[#This Row],[Data do Caixa Previsto]]))</f>
        <v>2018</v>
      </c>
      <c r="O75" s="46" t="str">
        <f ca="1">IF(AND(TbRegistroEntradas[[#This Row],[Data do Caixa Previsto]]&lt;TODAY(),TbRegistroEntradas[[#This Row],[Data do Caixa Realizado]]=""),"Vencida","Não Vencida")</f>
        <v>Vencida</v>
      </c>
      <c r="P75" s="46" t="str">
        <f>IF(TbRegistroEntradas[[#This Row],[Data da Competência]]=TbRegistroEntradas[[#This Row],[Data do Caixa Previsto]],"Vista","Prazo")</f>
        <v>Prazo</v>
      </c>
      <c r="Q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743</v>
      </c>
    </row>
    <row r="76" spans="2:17" hidden="1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46">
        <f>IF(TbRegistroEntradas[[#This Row],[Data do Caixa Previsto]]="",0,MONTH(TbRegistroEntradas[[#This Row],[Data do Caixa Previsto]]))</f>
        <v>4</v>
      </c>
      <c r="N76" s="46">
        <f>IF(TbRegistroEntradas[[#This Row],[Data do Caixa Previsto]]="",0,YEAR(TbRegistroEntradas[[#This Row],[Data do Caixa Previsto]]))</f>
        <v>2018</v>
      </c>
      <c r="O76" s="46" t="str">
        <f ca="1">IF(AND(TbRegistroEntradas[[#This Row],[Data do Caixa Previsto]]&lt;TODAY(),TbRegistroEntradas[[#This Row],[Data do Caixa Realizado]]=""),"Vencida","Não Vencida")</f>
        <v>Não Vencida</v>
      </c>
      <c r="P76" s="46" t="str">
        <f>IF(TbRegistroEntradas[[#This Row],[Data da Competência]]=TbRegistroEntradas[[#This Row],[Data do Caixa Previsto]],"Vista","Prazo")</f>
        <v>Prazo</v>
      </c>
      <c r="Q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76</v>
      </c>
    </row>
    <row r="77" spans="2:17" hidden="1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46">
        <f>IF(TbRegistroEntradas[[#This Row],[Data do Caixa Previsto]]="",0,MONTH(TbRegistroEntradas[[#This Row],[Data do Caixa Previsto]]))</f>
        <v>4</v>
      </c>
      <c r="N77" s="46">
        <f>IF(TbRegistroEntradas[[#This Row],[Data do Caixa Previsto]]="",0,YEAR(TbRegistroEntradas[[#This Row],[Data do Caixa Previsto]]))</f>
        <v>2018</v>
      </c>
      <c r="O77" s="46" t="str">
        <f ca="1">IF(AND(TbRegistroEntradas[[#This Row],[Data do Caixa Previsto]]&lt;TODAY(),TbRegistroEntradas[[#This Row],[Data do Caixa Realizado]]=""),"Vencida","Não Vencida")</f>
        <v>Não Vencida</v>
      </c>
      <c r="P77" s="46" t="str">
        <f>IF(TbRegistroEntradas[[#This Row],[Data da Competência]]=TbRegistroEntradas[[#This Row],[Data do Caixa Previsto]],"Vista","Prazo")</f>
        <v>Prazo</v>
      </c>
      <c r="Q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8" spans="2:17" hidden="1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46">
        <f>IF(TbRegistroEntradas[[#This Row],[Data do Caixa Previsto]]="",0,MONTH(TbRegistroEntradas[[#This Row],[Data do Caixa Previsto]]))</f>
        <v>3</v>
      </c>
      <c r="N78" s="46">
        <f>IF(TbRegistroEntradas[[#This Row],[Data do Caixa Previsto]]="",0,YEAR(TbRegistroEntradas[[#This Row],[Data do Caixa Previsto]]))</f>
        <v>2018</v>
      </c>
      <c r="O78" s="46" t="str">
        <f ca="1">IF(AND(TbRegistroEntradas[[#This Row],[Data do Caixa Previsto]]&lt;TODAY(),TbRegistroEntradas[[#This Row],[Data do Caixa Realizado]]=""),"Vencida","Não Vencida")</f>
        <v>Não Vencida</v>
      </c>
      <c r="P78" s="46" t="str">
        <f>IF(TbRegistroEntradas[[#This Row],[Data da Competência]]=TbRegistroEntradas[[#This Row],[Data do Caixa Previsto]],"Vista","Prazo")</f>
        <v>Vista</v>
      </c>
      <c r="Q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9" spans="2:17" hidden="1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46">
        <f>IF(TbRegistroEntradas[[#This Row],[Data do Caixa Previsto]]="",0,MONTH(TbRegistroEntradas[[#This Row],[Data do Caixa Previsto]]))</f>
        <v>4</v>
      </c>
      <c r="N79" s="46">
        <f>IF(TbRegistroEntradas[[#This Row],[Data do Caixa Previsto]]="",0,YEAR(TbRegistroEntradas[[#This Row],[Data do Caixa Previsto]]))</f>
        <v>2018</v>
      </c>
      <c r="O79" s="46" t="str">
        <f ca="1">IF(AND(TbRegistroEntradas[[#This Row],[Data do Caixa Previsto]]&lt;TODAY(),TbRegistroEntradas[[#This Row],[Data do Caixa Realizado]]=""),"Vencida","Não Vencida")</f>
        <v>Não Vencida</v>
      </c>
      <c r="P79" s="46" t="str">
        <f>IF(TbRegistroEntradas[[#This Row],[Data da Competência]]=TbRegistroEntradas[[#This Row],[Data do Caixa Previsto]],"Vista","Prazo")</f>
        <v>Prazo</v>
      </c>
      <c r="Q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</v>
      </c>
    </row>
    <row r="80" spans="2:17" hidden="1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46">
        <f>IF(TbRegistroEntradas[[#This Row],[Data do Caixa Previsto]]="",0,MONTH(TbRegistroEntradas[[#This Row],[Data do Caixa Previsto]]))</f>
        <v>3</v>
      </c>
      <c r="N80" s="46">
        <f>IF(TbRegistroEntradas[[#This Row],[Data do Caixa Previsto]]="",0,YEAR(TbRegistroEntradas[[#This Row],[Data do Caixa Previsto]]))</f>
        <v>2018</v>
      </c>
      <c r="O80" s="46" t="str">
        <f ca="1">IF(AND(TbRegistroEntradas[[#This Row],[Data do Caixa Previsto]]&lt;TODAY(),TbRegistroEntradas[[#This Row],[Data do Caixa Realizado]]=""),"Vencida","Não Vencida")</f>
        <v>Não Vencida</v>
      </c>
      <c r="P80" s="46" t="str">
        <f>IF(TbRegistroEntradas[[#This Row],[Data da Competência]]=TbRegistroEntradas[[#This Row],[Data do Caixa Previsto]],"Vista","Prazo")</f>
        <v>Vista</v>
      </c>
      <c r="Q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1" spans="2:17" hidden="1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46">
        <f>IF(TbRegistroEntradas[[#This Row],[Data do Caixa Previsto]]="",0,MONTH(TbRegistroEntradas[[#This Row],[Data do Caixa Previsto]]))</f>
        <v>3</v>
      </c>
      <c r="N81" s="46">
        <f>IF(TbRegistroEntradas[[#This Row],[Data do Caixa Previsto]]="",0,YEAR(TbRegistroEntradas[[#This Row],[Data do Caixa Previsto]]))</f>
        <v>2018</v>
      </c>
      <c r="O81" s="46" t="str">
        <f ca="1">IF(AND(TbRegistroEntradas[[#This Row],[Data do Caixa Previsto]]&lt;TODAY(),TbRegistroEntradas[[#This Row],[Data do Caixa Realizado]]=""),"Vencida","Não Vencida")</f>
        <v>Não Vencida</v>
      </c>
      <c r="P81" s="46" t="str">
        <f>IF(TbRegistroEntradas[[#This Row],[Data da Competência]]=TbRegistroEntradas[[#This Row],[Data do Caixa Previsto]],"Vista","Prazo")</f>
        <v>Vista</v>
      </c>
      <c r="Q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2" spans="2:17" hidden="1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46">
        <f>IF(TbRegistroEntradas[[#This Row],[Data do Caixa Previsto]]="",0,MONTH(TbRegistroEntradas[[#This Row],[Data do Caixa Previsto]]))</f>
        <v>3</v>
      </c>
      <c r="N82" s="46">
        <f>IF(TbRegistroEntradas[[#This Row],[Data do Caixa Previsto]]="",0,YEAR(TbRegistroEntradas[[#This Row],[Data do Caixa Previsto]]))</f>
        <v>2018</v>
      </c>
      <c r="O82" s="46" t="str">
        <f ca="1">IF(AND(TbRegistroEntradas[[#This Row],[Data do Caixa Previsto]]&lt;TODAY(),TbRegistroEntradas[[#This Row],[Data do Caixa Realizado]]=""),"Vencida","Não Vencida")</f>
        <v>Não Vencida</v>
      </c>
      <c r="P82" s="46" t="str">
        <f>IF(TbRegistroEntradas[[#This Row],[Data da Competência]]=TbRegistroEntradas[[#This Row],[Data do Caixa Previsto]],"Vista","Prazo")</f>
        <v>Vista</v>
      </c>
      <c r="Q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</v>
      </c>
    </row>
    <row r="83" spans="2:17" hidden="1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46">
        <f>IF(TbRegistroEntradas[[#This Row],[Data do Caixa Previsto]]="",0,MONTH(TbRegistroEntradas[[#This Row],[Data do Caixa Previsto]]))</f>
        <v>4</v>
      </c>
      <c r="N83" s="46">
        <f>IF(TbRegistroEntradas[[#This Row],[Data do Caixa Previsto]]="",0,YEAR(TbRegistroEntradas[[#This Row],[Data do Caixa Previsto]]))</f>
        <v>2018</v>
      </c>
      <c r="O83" s="46" t="str">
        <f ca="1">IF(AND(TbRegistroEntradas[[#This Row],[Data do Caixa Previsto]]&lt;TODAY(),TbRegistroEntradas[[#This Row],[Data do Caixa Realizado]]=""),"Vencida","Não Vencida")</f>
        <v>Não Vencida</v>
      </c>
      <c r="P83" s="46" t="str">
        <f>IF(TbRegistroEntradas[[#This Row],[Data da Competência]]=TbRegistroEntradas[[#This Row],[Data do Caixa Previsto]],"Vista","Prazo")</f>
        <v>Prazo</v>
      </c>
      <c r="Q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4" spans="2:17" hidden="1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46">
        <f>IF(TbRegistroEntradas[[#This Row],[Data do Caixa Previsto]]="",0,MONTH(TbRegistroEntradas[[#This Row],[Data do Caixa Previsto]]))</f>
        <v>3</v>
      </c>
      <c r="N84" s="46">
        <f>IF(TbRegistroEntradas[[#This Row],[Data do Caixa Previsto]]="",0,YEAR(TbRegistroEntradas[[#This Row],[Data do Caixa Previsto]]))</f>
        <v>2018</v>
      </c>
      <c r="O84" s="46" t="str">
        <f ca="1">IF(AND(TbRegistroEntradas[[#This Row],[Data do Caixa Previsto]]&lt;TODAY(),TbRegistroEntradas[[#This Row],[Data do Caixa Realizado]]=""),"Vencida","Não Vencida")</f>
        <v>Não Vencida</v>
      </c>
      <c r="P84" s="46" t="str">
        <f>IF(TbRegistroEntradas[[#This Row],[Data da Competência]]=TbRegistroEntradas[[#This Row],[Data do Caixa Previsto]],"Vista","Prazo")</f>
        <v>Prazo</v>
      </c>
      <c r="Q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5" spans="2:17" hidden="1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46">
        <f>IF(TbRegistroEntradas[[#This Row],[Data do Caixa Previsto]]="",0,MONTH(TbRegistroEntradas[[#This Row],[Data do Caixa Previsto]]))</f>
        <v>4</v>
      </c>
      <c r="N85" s="46">
        <f>IF(TbRegistroEntradas[[#This Row],[Data do Caixa Previsto]]="",0,YEAR(TbRegistroEntradas[[#This Row],[Data do Caixa Previsto]]))</f>
        <v>2018</v>
      </c>
      <c r="O85" s="46" t="str">
        <f ca="1">IF(AND(TbRegistroEntradas[[#This Row],[Data do Caixa Previsto]]&lt;TODAY(),TbRegistroEntradas[[#This Row],[Data do Caixa Realizado]]=""),"Vencida","Não Vencida")</f>
        <v>Não Vencida</v>
      </c>
      <c r="P85" s="46" t="str">
        <f>IF(TbRegistroEntradas[[#This Row],[Data da Competência]]=TbRegistroEntradas[[#This Row],[Data do Caixa Previsto]],"Vista","Prazo")</f>
        <v>Prazo</v>
      </c>
      <c r="Q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86" spans="2:17" hidden="1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46">
        <f>IF(TbRegistroEntradas[[#This Row],[Data do Caixa Previsto]]="",0,MONTH(TbRegistroEntradas[[#This Row],[Data do Caixa Previsto]]))</f>
        <v>3</v>
      </c>
      <c r="N86" s="46">
        <f>IF(TbRegistroEntradas[[#This Row],[Data do Caixa Previsto]]="",0,YEAR(TbRegistroEntradas[[#This Row],[Data do Caixa Previsto]]))</f>
        <v>2018</v>
      </c>
      <c r="O86" s="46" t="str">
        <f ca="1">IF(AND(TbRegistroEntradas[[#This Row],[Data do Caixa Previsto]]&lt;TODAY(),TbRegistroEntradas[[#This Row],[Data do Caixa Realizado]]=""),"Vencida","Não Vencida")</f>
        <v>Não Vencida</v>
      </c>
      <c r="P86" s="46" t="str">
        <f>IF(TbRegistroEntradas[[#This Row],[Data da Competência]]=TbRegistroEntradas[[#This Row],[Data do Caixa Previsto]],"Vista","Prazo")</f>
        <v>Vista</v>
      </c>
      <c r="Q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25</v>
      </c>
    </row>
    <row r="87" spans="2:17" hidden="1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46">
        <f>IF(TbRegistroEntradas[[#This Row],[Data do Caixa Previsto]]="",0,MONTH(TbRegistroEntradas[[#This Row],[Data do Caixa Previsto]]))</f>
        <v>5</v>
      </c>
      <c r="N87" s="46">
        <f>IF(TbRegistroEntradas[[#This Row],[Data do Caixa Previsto]]="",0,YEAR(TbRegistroEntradas[[#This Row],[Data do Caixa Previsto]]))</f>
        <v>2018</v>
      </c>
      <c r="O87" s="46" t="str">
        <f ca="1">IF(AND(TbRegistroEntradas[[#This Row],[Data do Caixa Previsto]]&lt;TODAY(),TbRegistroEntradas[[#This Row],[Data do Caixa Realizado]]=""),"Vencida","Não Vencida")</f>
        <v>Não Vencida</v>
      </c>
      <c r="P87" s="46" t="str">
        <f>IF(TbRegistroEntradas[[#This Row],[Data da Competência]]=TbRegistroEntradas[[#This Row],[Data do Caixa Previsto]],"Vista","Prazo")</f>
        <v>Prazo</v>
      </c>
      <c r="Q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88" spans="2:17" hidden="1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46">
        <f>IF(TbRegistroEntradas[[#This Row],[Data do Caixa Previsto]]="",0,MONTH(TbRegistroEntradas[[#This Row],[Data do Caixa Previsto]]))</f>
        <v>4</v>
      </c>
      <c r="N88" s="46">
        <f>IF(TbRegistroEntradas[[#This Row],[Data do Caixa Previsto]]="",0,YEAR(TbRegistroEntradas[[#This Row],[Data do Caixa Previsto]]))</f>
        <v>2018</v>
      </c>
      <c r="O88" s="46" t="str">
        <f ca="1">IF(AND(TbRegistroEntradas[[#This Row],[Data do Caixa Previsto]]&lt;TODAY(),TbRegistroEntradas[[#This Row],[Data do Caixa Realizado]]=""),"Vencida","Não Vencida")</f>
        <v>Não Vencida</v>
      </c>
      <c r="P88" s="46" t="str">
        <f>IF(TbRegistroEntradas[[#This Row],[Data da Competência]]=TbRegistroEntradas[[#This Row],[Data do Caixa Previsto]],"Vista","Prazo")</f>
        <v>Vista</v>
      </c>
      <c r="Q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9" spans="2:17" hidden="1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46">
        <f>IF(TbRegistroEntradas[[#This Row],[Data do Caixa Previsto]]="",0,MONTH(TbRegistroEntradas[[#This Row],[Data do Caixa Previsto]]))</f>
        <v>4</v>
      </c>
      <c r="N89" s="46">
        <f>IF(TbRegistroEntradas[[#This Row],[Data do Caixa Previsto]]="",0,YEAR(TbRegistroEntradas[[#This Row],[Data do Caixa Previsto]]))</f>
        <v>2018</v>
      </c>
      <c r="O89" s="46" t="str">
        <f ca="1">IF(AND(TbRegistroEntradas[[#This Row],[Data do Caixa Previsto]]&lt;TODAY(),TbRegistroEntradas[[#This Row],[Data do Caixa Realizado]]=""),"Vencida","Não Vencida")</f>
        <v>Não Vencida</v>
      </c>
      <c r="P89" s="46" t="str">
        <f>IF(TbRegistroEntradas[[#This Row],[Data da Competência]]=TbRegistroEntradas[[#This Row],[Data do Caixa Previsto]],"Vista","Prazo")</f>
        <v>Vista</v>
      </c>
      <c r="Q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0" spans="2:17" hidden="1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46">
        <f>IF(TbRegistroEntradas[[#This Row],[Data do Caixa Previsto]]="",0,MONTH(TbRegistroEntradas[[#This Row],[Data do Caixa Previsto]]))</f>
        <v>5</v>
      </c>
      <c r="N90" s="46">
        <f>IF(TbRegistroEntradas[[#This Row],[Data do Caixa Previsto]]="",0,YEAR(TbRegistroEntradas[[#This Row],[Data do Caixa Previsto]]))</f>
        <v>2018</v>
      </c>
      <c r="O90" s="46" t="str">
        <f ca="1">IF(AND(TbRegistroEntradas[[#This Row],[Data do Caixa Previsto]]&lt;TODAY(),TbRegistroEntradas[[#This Row],[Data do Caixa Realizado]]=""),"Vencida","Não Vencida")</f>
        <v>Não Vencida</v>
      </c>
      <c r="P90" s="46" t="str">
        <f>IF(TbRegistroEntradas[[#This Row],[Data da Competência]]=TbRegistroEntradas[[#This Row],[Data do Caixa Previsto]],"Vista","Prazo")</f>
        <v>Prazo</v>
      </c>
      <c r="Q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1" spans="2:17" hidden="1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46">
        <f>IF(TbRegistroEntradas[[#This Row],[Data do Caixa Previsto]]="",0,MONTH(TbRegistroEntradas[[#This Row],[Data do Caixa Previsto]]))</f>
        <v>6</v>
      </c>
      <c r="N91" s="46">
        <f>IF(TbRegistroEntradas[[#This Row],[Data do Caixa Previsto]]="",0,YEAR(TbRegistroEntradas[[#This Row],[Data do Caixa Previsto]]))</f>
        <v>2018</v>
      </c>
      <c r="O91" s="46" t="str">
        <f ca="1">IF(AND(TbRegistroEntradas[[#This Row],[Data do Caixa Previsto]]&lt;TODAY(),TbRegistroEntradas[[#This Row],[Data do Caixa Realizado]]=""),"Vencida","Não Vencida")</f>
        <v>Vencida</v>
      </c>
      <c r="P91" s="46" t="str">
        <f>IF(TbRegistroEntradas[[#This Row],[Data da Competência]]=TbRegistroEntradas[[#This Row],[Data do Caixa Previsto]],"Vista","Prazo")</f>
        <v>Prazo</v>
      </c>
      <c r="Q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685</v>
      </c>
    </row>
    <row r="92" spans="2:17" hidden="1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46">
        <f>IF(TbRegistroEntradas[[#This Row],[Data do Caixa Previsto]]="",0,MONTH(TbRegistroEntradas[[#This Row],[Data do Caixa Previsto]]))</f>
        <v>5</v>
      </c>
      <c r="N92" s="46">
        <f>IF(TbRegistroEntradas[[#This Row],[Data do Caixa Previsto]]="",0,YEAR(TbRegistroEntradas[[#This Row],[Data do Caixa Previsto]]))</f>
        <v>2018</v>
      </c>
      <c r="O92" s="46" t="str">
        <f ca="1">IF(AND(TbRegistroEntradas[[#This Row],[Data do Caixa Previsto]]&lt;TODAY(),TbRegistroEntradas[[#This Row],[Data do Caixa Realizado]]=""),"Vencida","Não Vencida")</f>
        <v>Não Vencida</v>
      </c>
      <c r="P92" s="46" t="str">
        <f>IF(TbRegistroEntradas[[#This Row],[Data da Competência]]=TbRegistroEntradas[[#This Row],[Data do Caixa Previsto]],"Vista","Prazo")</f>
        <v>Prazo</v>
      </c>
      <c r="Q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3" spans="2:17" hidden="1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46">
        <f>IF(TbRegistroEntradas[[#This Row],[Data do Caixa Previsto]]="",0,MONTH(TbRegistroEntradas[[#This Row],[Data do Caixa Previsto]]))</f>
        <v>4</v>
      </c>
      <c r="N93" s="46">
        <f>IF(TbRegistroEntradas[[#This Row],[Data do Caixa Previsto]]="",0,YEAR(TbRegistroEntradas[[#This Row],[Data do Caixa Previsto]]))</f>
        <v>2018</v>
      </c>
      <c r="O93" s="46" t="str">
        <f ca="1">IF(AND(TbRegistroEntradas[[#This Row],[Data do Caixa Previsto]]&lt;TODAY(),TbRegistroEntradas[[#This Row],[Data do Caixa Realizado]]=""),"Vencida","Não Vencida")</f>
        <v>Não Vencida</v>
      </c>
      <c r="P93" s="46" t="str">
        <f>IF(TbRegistroEntradas[[#This Row],[Data da Competência]]=TbRegistroEntradas[[#This Row],[Data do Caixa Previsto]],"Vista","Prazo")</f>
        <v>Vista</v>
      </c>
      <c r="Q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86</v>
      </c>
    </row>
    <row r="94" spans="2:17" hidden="1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46">
        <f>IF(TbRegistroEntradas[[#This Row],[Data do Caixa Previsto]]="",0,MONTH(TbRegistroEntradas[[#This Row],[Data do Caixa Previsto]]))</f>
        <v>5</v>
      </c>
      <c r="N94" s="46">
        <f>IF(TbRegistroEntradas[[#This Row],[Data do Caixa Previsto]]="",0,YEAR(TbRegistroEntradas[[#This Row],[Data do Caixa Previsto]]))</f>
        <v>2018</v>
      </c>
      <c r="O94" s="46" t="str">
        <f ca="1">IF(AND(TbRegistroEntradas[[#This Row],[Data do Caixa Previsto]]&lt;TODAY(),TbRegistroEntradas[[#This Row],[Data do Caixa Realizado]]=""),"Vencida","Não Vencida")</f>
        <v>Não Vencida</v>
      </c>
      <c r="P94" s="46" t="str">
        <f>IF(TbRegistroEntradas[[#This Row],[Data da Competência]]=TbRegistroEntradas[[#This Row],[Data do Caixa Previsto]],"Vista","Prazo")</f>
        <v>Prazo</v>
      </c>
      <c r="Q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5" spans="2:17" hidden="1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46">
        <f>IF(TbRegistroEntradas[[#This Row],[Data do Caixa Previsto]]="",0,MONTH(TbRegistroEntradas[[#This Row],[Data do Caixa Previsto]]))</f>
        <v>4</v>
      </c>
      <c r="N95" s="46">
        <f>IF(TbRegistroEntradas[[#This Row],[Data do Caixa Previsto]]="",0,YEAR(TbRegistroEntradas[[#This Row],[Data do Caixa Previsto]]))</f>
        <v>2018</v>
      </c>
      <c r="O95" s="46" t="str">
        <f ca="1">IF(AND(TbRegistroEntradas[[#This Row],[Data do Caixa Previsto]]&lt;TODAY(),TbRegistroEntradas[[#This Row],[Data do Caixa Realizado]]=""),"Vencida","Não Vencida")</f>
        <v>Não Vencida</v>
      </c>
      <c r="P95" s="46" t="str">
        <f>IF(TbRegistroEntradas[[#This Row],[Data da Competência]]=TbRegistroEntradas[[#This Row],[Data do Caixa Previsto]],"Vista","Prazo")</f>
        <v>Vista</v>
      </c>
      <c r="Q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6" spans="2:17" hidden="1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46">
        <f>IF(TbRegistroEntradas[[#This Row],[Data do Caixa Previsto]]="",0,MONTH(TbRegistroEntradas[[#This Row],[Data do Caixa Previsto]]))</f>
        <v>4</v>
      </c>
      <c r="N96" s="46">
        <f>IF(TbRegistroEntradas[[#This Row],[Data do Caixa Previsto]]="",0,YEAR(TbRegistroEntradas[[#This Row],[Data do Caixa Previsto]]))</f>
        <v>2018</v>
      </c>
      <c r="O96" s="46" t="str">
        <f ca="1">IF(AND(TbRegistroEntradas[[#This Row],[Data do Caixa Previsto]]&lt;TODAY(),TbRegistroEntradas[[#This Row],[Data do Caixa Realizado]]=""),"Vencida","Não Vencida")</f>
        <v>Não Vencida</v>
      </c>
      <c r="P96" s="46" t="str">
        <f>IF(TbRegistroEntradas[[#This Row],[Data da Competência]]=TbRegistroEntradas[[#This Row],[Data do Caixa Previsto]],"Vista","Prazo")</f>
        <v>Vista</v>
      </c>
      <c r="Q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97" spans="2:17" hidden="1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46">
        <f>IF(TbRegistroEntradas[[#This Row],[Data do Caixa Previsto]]="",0,MONTH(TbRegistroEntradas[[#This Row],[Data do Caixa Previsto]]))</f>
        <v>7</v>
      </c>
      <c r="N97" s="46">
        <f>IF(TbRegistroEntradas[[#This Row],[Data do Caixa Previsto]]="",0,YEAR(TbRegistroEntradas[[#This Row],[Data do Caixa Previsto]]))</f>
        <v>2018</v>
      </c>
      <c r="O97" s="46" t="str">
        <f ca="1">IF(AND(TbRegistroEntradas[[#This Row],[Data do Caixa Previsto]]&lt;TODAY(),TbRegistroEntradas[[#This Row],[Data do Caixa Realizado]]=""),"Vencida","Não Vencida")</f>
        <v>Não Vencida</v>
      </c>
      <c r="P97" s="46" t="str">
        <f>IF(TbRegistroEntradas[[#This Row],[Data da Competência]]=TbRegistroEntradas[[#This Row],[Data do Caixa Previsto]],"Vista","Prazo")</f>
        <v>Prazo</v>
      </c>
      <c r="Q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8" spans="2:17" hidden="1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46">
        <f>IF(TbRegistroEntradas[[#This Row],[Data do Caixa Previsto]]="",0,MONTH(TbRegistroEntradas[[#This Row],[Data do Caixa Previsto]]))</f>
        <v>6</v>
      </c>
      <c r="N98" s="46">
        <f>IF(TbRegistroEntradas[[#This Row],[Data do Caixa Previsto]]="",0,YEAR(TbRegistroEntradas[[#This Row],[Data do Caixa Previsto]]))</f>
        <v>2018</v>
      </c>
      <c r="O98" s="46" t="str">
        <f ca="1">IF(AND(TbRegistroEntradas[[#This Row],[Data do Caixa Previsto]]&lt;TODAY(),TbRegistroEntradas[[#This Row],[Data do Caixa Realizado]]=""),"Vencida","Não Vencida")</f>
        <v>Não Vencida</v>
      </c>
      <c r="P98" s="46" t="str">
        <f>IF(TbRegistroEntradas[[#This Row],[Data da Competência]]=TbRegistroEntradas[[#This Row],[Data do Caixa Previsto]],"Vista","Prazo")</f>
        <v>Prazo</v>
      </c>
      <c r="Q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32</v>
      </c>
    </row>
    <row r="99" spans="2:17" hidden="1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46">
        <f>IF(TbRegistroEntradas[[#This Row],[Data do Caixa Previsto]]="",0,MONTH(TbRegistroEntradas[[#This Row],[Data do Caixa Previsto]]))</f>
        <v>5</v>
      </c>
      <c r="N99" s="46">
        <f>IF(TbRegistroEntradas[[#This Row],[Data do Caixa Previsto]]="",0,YEAR(TbRegistroEntradas[[#This Row],[Data do Caixa Previsto]]))</f>
        <v>2018</v>
      </c>
      <c r="O99" s="46" t="str">
        <f ca="1">IF(AND(TbRegistroEntradas[[#This Row],[Data do Caixa Previsto]]&lt;TODAY(),TbRegistroEntradas[[#This Row],[Data do Caixa Realizado]]=""),"Vencida","Não Vencida")</f>
        <v>Não Vencida</v>
      </c>
      <c r="P99" s="46" t="str">
        <f>IF(TbRegistroEntradas[[#This Row],[Data da Competência]]=TbRegistroEntradas[[#This Row],[Data do Caixa Previsto]],"Vista","Prazo")</f>
        <v>Vista</v>
      </c>
      <c r="Q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0" spans="2:17" hidden="1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46">
        <f>IF(TbRegistroEntradas[[#This Row],[Data do Caixa Previsto]]="",0,MONTH(TbRegistroEntradas[[#This Row],[Data do Caixa Previsto]]))</f>
        <v>6</v>
      </c>
      <c r="N100" s="46">
        <f>IF(TbRegistroEntradas[[#This Row],[Data do Caixa Previsto]]="",0,YEAR(TbRegistroEntradas[[#This Row],[Data do Caixa Previsto]]))</f>
        <v>2018</v>
      </c>
      <c r="O100" s="46" t="str">
        <f ca="1">IF(AND(TbRegistroEntradas[[#This Row],[Data do Caixa Previsto]]&lt;TODAY(),TbRegistroEntradas[[#This Row],[Data do Caixa Realizado]]=""),"Vencida","Não Vencida")</f>
        <v>Não Vencida</v>
      </c>
      <c r="P100" s="46" t="str">
        <f>IF(TbRegistroEntradas[[#This Row],[Data da Competência]]=TbRegistroEntradas[[#This Row],[Data do Caixa Previsto]],"Vista","Prazo")</f>
        <v>Prazo</v>
      </c>
      <c r="Q1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1" spans="2:17" hidden="1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46">
        <f>IF(TbRegistroEntradas[[#This Row],[Data do Caixa Previsto]]="",0,MONTH(TbRegistroEntradas[[#This Row],[Data do Caixa Previsto]]))</f>
        <v>6</v>
      </c>
      <c r="N101" s="46">
        <f>IF(TbRegistroEntradas[[#This Row],[Data do Caixa Previsto]]="",0,YEAR(TbRegistroEntradas[[#This Row],[Data do Caixa Previsto]]))</f>
        <v>2018</v>
      </c>
      <c r="O101" s="46" t="str">
        <f ca="1">IF(AND(TbRegistroEntradas[[#This Row],[Data do Caixa Previsto]]&lt;TODAY(),TbRegistroEntradas[[#This Row],[Data do Caixa Realizado]]=""),"Vencida","Não Vencida")</f>
        <v>Não Vencida</v>
      </c>
      <c r="P101" s="46" t="str">
        <f>IF(TbRegistroEntradas[[#This Row],[Data da Competência]]=TbRegistroEntradas[[#This Row],[Data do Caixa Previsto]],"Vista","Prazo")</f>
        <v>Prazo</v>
      </c>
      <c r="Q1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2" spans="2:17" hidden="1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46">
        <f>IF(TbRegistroEntradas[[#This Row],[Data do Caixa Previsto]]="",0,MONTH(TbRegistroEntradas[[#This Row],[Data do Caixa Previsto]]))</f>
        <v>6</v>
      </c>
      <c r="N102" s="46">
        <f>IF(TbRegistroEntradas[[#This Row],[Data do Caixa Previsto]]="",0,YEAR(TbRegistroEntradas[[#This Row],[Data do Caixa Previsto]]))</f>
        <v>2018</v>
      </c>
      <c r="O102" s="46" t="str">
        <f ca="1">IF(AND(TbRegistroEntradas[[#This Row],[Data do Caixa Previsto]]&lt;TODAY(),TbRegistroEntradas[[#This Row],[Data do Caixa Realizado]]=""),"Vencida","Não Vencida")</f>
        <v>Não Vencida</v>
      </c>
      <c r="P102" s="46" t="str">
        <f>IF(TbRegistroEntradas[[#This Row],[Data da Competência]]=TbRegistroEntradas[[#This Row],[Data do Caixa Previsto]],"Vista","Prazo")</f>
        <v>Prazo</v>
      </c>
      <c r="Q1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3" spans="2:17" hidden="1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46">
        <f>IF(TbRegistroEntradas[[#This Row],[Data do Caixa Previsto]]="",0,MONTH(TbRegistroEntradas[[#This Row],[Data do Caixa Previsto]]))</f>
        <v>6</v>
      </c>
      <c r="N103" s="46">
        <f>IF(TbRegistroEntradas[[#This Row],[Data do Caixa Previsto]]="",0,YEAR(TbRegistroEntradas[[#This Row],[Data do Caixa Previsto]]))</f>
        <v>2018</v>
      </c>
      <c r="O103" s="46" t="str">
        <f ca="1">IF(AND(TbRegistroEntradas[[#This Row],[Data do Caixa Previsto]]&lt;TODAY(),TbRegistroEntradas[[#This Row],[Data do Caixa Realizado]]=""),"Vencida","Não Vencida")</f>
        <v>Não Vencida</v>
      </c>
      <c r="P103" s="46" t="str">
        <f>IF(TbRegistroEntradas[[#This Row],[Data da Competência]]=TbRegistroEntradas[[#This Row],[Data do Caixa Previsto]],"Vista","Prazo")</f>
        <v>Prazo</v>
      </c>
      <c r="Q1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4" spans="2:17" hidden="1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46">
        <f>IF(TbRegistroEntradas[[#This Row],[Data do Caixa Previsto]]="",0,MONTH(TbRegistroEntradas[[#This Row],[Data do Caixa Previsto]]))</f>
        <v>8</v>
      </c>
      <c r="N104" s="46">
        <f>IF(TbRegistroEntradas[[#This Row],[Data do Caixa Previsto]]="",0,YEAR(TbRegistroEntradas[[#This Row],[Data do Caixa Previsto]]))</f>
        <v>2018</v>
      </c>
      <c r="O104" s="46" t="str">
        <f ca="1">IF(AND(TbRegistroEntradas[[#This Row],[Data do Caixa Previsto]]&lt;TODAY(),TbRegistroEntradas[[#This Row],[Data do Caixa Realizado]]=""),"Vencida","Não Vencida")</f>
        <v>Não Vencida</v>
      </c>
      <c r="P104" s="46" t="str">
        <f>IF(TbRegistroEntradas[[#This Row],[Data da Competência]]=TbRegistroEntradas[[#This Row],[Data do Caixa Previsto]],"Vista","Prazo")</f>
        <v>Prazo</v>
      </c>
      <c r="Q1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27</v>
      </c>
    </row>
    <row r="105" spans="2:17" hidden="1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46">
        <f>IF(TbRegistroEntradas[[#This Row],[Data do Caixa Previsto]]="",0,MONTH(TbRegistroEntradas[[#This Row],[Data do Caixa Previsto]]))</f>
        <v>6</v>
      </c>
      <c r="N105" s="46">
        <f>IF(TbRegistroEntradas[[#This Row],[Data do Caixa Previsto]]="",0,YEAR(TbRegistroEntradas[[#This Row],[Data do Caixa Previsto]]))</f>
        <v>2018</v>
      </c>
      <c r="O105" s="46" t="str">
        <f ca="1">IF(AND(TbRegistroEntradas[[#This Row],[Data do Caixa Previsto]]&lt;TODAY(),TbRegistroEntradas[[#This Row],[Data do Caixa Realizado]]=""),"Vencida","Não Vencida")</f>
        <v>Não Vencida</v>
      </c>
      <c r="P105" s="46" t="str">
        <f>IF(TbRegistroEntradas[[#This Row],[Data da Competência]]=TbRegistroEntradas[[#This Row],[Data do Caixa Previsto]],"Vista","Prazo")</f>
        <v>Vista</v>
      </c>
      <c r="Q1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6" spans="2:17" hidden="1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46">
        <f>IF(TbRegistroEntradas[[#This Row],[Data do Caixa Previsto]]="",0,MONTH(TbRegistroEntradas[[#This Row],[Data do Caixa Previsto]]))</f>
        <v>6</v>
      </c>
      <c r="N106" s="46">
        <f>IF(TbRegistroEntradas[[#This Row],[Data do Caixa Previsto]]="",0,YEAR(TbRegistroEntradas[[#This Row],[Data do Caixa Previsto]]))</f>
        <v>2018</v>
      </c>
      <c r="O106" s="46" t="str">
        <f ca="1">IF(AND(TbRegistroEntradas[[#This Row],[Data do Caixa Previsto]]&lt;TODAY(),TbRegistroEntradas[[#This Row],[Data do Caixa Realizado]]=""),"Vencida","Não Vencida")</f>
        <v>Não Vencida</v>
      </c>
      <c r="P106" s="46" t="str">
        <f>IF(TbRegistroEntradas[[#This Row],[Data da Competência]]=TbRegistroEntradas[[#This Row],[Data do Caixa Previsto]],"Vista","Prazo")</f>
        <v>Prazo</v>
      </c>
      <c r="Q1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7" spans="2:17" hidden="1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46">
        <f>IF(TbRegistroEntradas[[#This Row],[Data do Caixa Previsto]]="",0,MONTH(TbRegistroEntradas[[#This Row],[Data do Caixa Previsto]]))</f>
        <v>6</v>
      </c>
      <c r="N107" s="46">
        <f>IF(TbRegistroEntradas[[#This Row],[Data do Caixa Previsto]]="",0,YEAR(TbRegistroEntradas[[#This Row],[Data do Caixa Previsto]]))</f>
        <v>2018</v>
      </c>
      <c r="O107" s="46" t="str">
        <f ca="1">IF(AND(TbRegistroEntradas[[#This Row],[Data do Caixa Previsto]]&lt;TODAY(),TbRegistroEntradas[[#This Row],[Data do Caixa Realizado]]=""),"Vencida","Não Vencida")</f>
        <v>Não Vencida</v>
      </c>
      <c r="P107" s="46" t="str">
        <f>IF(TbRegistroEntradas[[#This Row],[Data da Competência]]=TbRegistroEntradas[[#This Row],[Data do Caixa Previsto]],"Vista","Prazo")</f>
        <v>Vista</v>
      </c>
      <c r="Q1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8" spans="2:17" hidden="1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46">
        <f>IF(TbRegistroEntradas[[#This Row],[Data do Caixa Previsto]]="",0,MONTH(TbRegistroEntradas[[#This Row],[Data do Caixa Previsto]]))</f>
        <v>6</v>
      </c>
      <c r="N108" s="46">
        <f>IF(TbRegistroEntradas[[#This Row],[Data do Caixa Previsto]]="",0,YEAR(TbRegistroEntradas[[#This Row],[Data do Caixa Previsto]]))</f>
        <v>2018</v>
      </c>
      <c r="O108" s="46" t="str">
        <f ca="1">IF(AND(TbRegistroEntradas[[#This Row],[Data do Caixa Previsto]]&lt;TODAY(),TbRegistroEntradas[[#This Row],[Data do Caixa Realizado]]=""),"Vencida","Não Vencida")</f>
        <v>Não Vencida</v>
      </c>
      <c r="P108" s="46" t="str">
        <f>IF(TbRegistroEntradas[[#This Row],[Data da Competência]]=TbRegistroEntradas[[#This Row],[Data do Caixa Previsto]],"Vista","Prazo")</f>
        <v>Prazo</v>
      </c>
      <c r="Q1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9" spans="2:17" hidden="1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46">
        <f>IF(TbRegistroEntradas[[#This Row],[Data do Caixa Previsto]]="",0,MONTH(TbRegistroEntradas[[#This Row],[Data do Caixa Previsto]]))</f>
        <v>8</v>
      </c>
      <c r="N109" s="46">
        <f>IF(TbRegistroEntradas[[#This Row],[Data do Caixa Previsto]]="",0,YEAR(TbRegistroEntradas[[#This Row],[Data do Caixa Previsto]]))</f>
        <v>2018</v>
      </c>
      <c r="O109" s="46" t="str">
        <f ca="1">IF(AND(TbRegistroEntradas[[#This Row],[Data do Caixa Previsto]]&lt;TODAY(),TbRegistroEntradas[[#This Row],[Data do Caixa Realizado]]=""),"Vencida","Não Vencida")</f>
        <v>Não Vencida</v>
      </c>
      <c r="P109" s="46" t="str">
        <f>IF(TbRegistroEntradas[[#This Row],[Data da Competência]]=TbRegistroEntradas[[#This Row],[Data do Caixa Previsto]],"Vista","Prazo")</f>
        <v>Prazo</v>
      </c>
      <c r="Q1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0" spans="2:17" hidden="1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46">
        <f>IF(TbRegistroEntradas[[#This Row],[Data do Caixa Previsto]]="",0,MONTH(TbRegistroEntradas[[#This Row],[Data do Caixa Previsto]]))</f>
        <v>7</v>
      </c>
      <c r="N110" s="46">
        <f>IF(TbRegistroEntradas[[#This Row],[Data do Caixa Previsto]]="",0,YEAR(TbRegistroEntradas[[#This Row],[Data do Caixa Previsto]]))</f>
        <v>2018</v>
      </c>
      <c r="O110" s="46" t="str">
        <f ca="1">IF(AND(TbRegistroEntradas[[#This Row],[Data do Caixa Previsto]]&lt;TODAY(),TbRegistroEntradas[[#This Row],[Data do Caixa Realizado]]=""),"Vencida","Não Vencida")</f>
        <v>Não Vencida</v>
      </c>
      <c r="P110" s="46" t="str">
        <f>IF(TbRegistroEntradas[[#This Row],[Data da Competência]]=TbRegistroEntradas[[#This Row],[Data do Caixa Previsto]],"Vista","Prazo")</f>
        <v>Prazo</v>
      </c>
      <c r="Q1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1" spans="2:17" hidden="1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46">
        <f>IF(TbRegistroEntradas[[#This Row],[Data do Caixa Previsto]]="",0,MONTH(TbRegistroEntradas[[#This Row],[Data do Caixa Previsto]]))</f>
        <v>7</v>
      </c>
      <c r="N111" s="46">
        <f>IF(TbRegistroEntradas[[#This Row],[Data do Caixa Previsto]]="",0,YEAR(TbRegistroEntradas[[#This Row],[Data do Caixa Previsto]]))</f>
        <v>2018</v>
      </c>
      <c r="O111" s="46" t="str">
        <f ca="1">IF(AND(TbRegistroEntradas[[#This Row],[Data do Caixa Previsto]]&lt;TODAY(),TbRegistroEntradas[[#This Row],[Data do Caixa Realizado]]=""),"Vencida","Não Vencida")</f>
        <v>Não Vencida</v>
      </c>
      <c r="P111" s="46" t="str">
        <f>IF(TbRegistroEntradas[[#This Row],[Data da Competência]]=TbRegistroEntradas[[#This Row],[Data do Caixa Previsto]],"Vista","Prazo")</f>
        <v>Prazo</v>
      </c>
      <c r="Q1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2" spans="2:17" hidden="1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46">
        <f>IF(TbRegistroEntradas[[#This Row],[Data do Caixa Previsto]]="",0,MONTH(TbRegistroEntradas[[#This Row],[Data do Caixa Previsto]]))</f>
        <v>6</v>
      </c>
      <c r="N112" s="46">
        <f>IF(TbRegistroEntradas[[#This Row],[Data do Caixa Previsto]]="",0,YEAR(TbRegistroEntradas[[#This Row],[Data do Caixa Previsto]]))</f>
        <v>2018</v>
      </c>
      <c r="O112" s="46" t="str">
        <f ca="1">IF(AND(TbRegistroEntradas[[#This Row],[Data do Caixa Previsto]]&lt;TODAY(),TbRegistroEntradas[[#This Row],[Data do Caixa Realizado]]=""),"Vencida","Não Vencida")</f>
        <v>Não Vencida</v>
      </c>
      <c r="P112" s="46" t="str">
        <f>IF(TbRegistroEntradas[[#This Row],[Data da Competência]]=TbRegistroEntradas[[#This Row],[Data do Caixa Previsto]],"Vista","Prazo")</f>
        <v>Vista</v>
      </c>
      <c r="Q1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3" spans="2:17" hidden="1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46">
        <f>IF(TbRegistroEntradas[[#This Row],[Data do Caixa Previsto]]="",0,MONTH(TbRegistroEntradas[[#This Row],[Data do Caixa Previsto]]))</f>
        <v>7</v>
      </c>
      <c r="N113" s="46">
        <f>IF(TbRegistroEntradas[[#This Row],[Data do Caixa Previsto]]="",0,YEAR(TbRegistroEntradas[[#This Row],[Data do Caixa Previsto]]))</f>
        <v>2018</v>
      </c>
      <c r="O113" s="46" t="str">
        <f ca="1">IF(AND(TbRegistroEntradas[[#This Row],[Data do Caixa Previsto]]&lt;TODAY(),TbRegistroEntradas[[#This Row],[Data do Caixa Realizado]]=""),"Vencida","Não Vencida")</f>
        <v>Não Vencida</v>
      </c>
      <c r="P113" s="46" t="str">
        <f>IF(TbRegistroEntradas[[#This Row],[Data da Competência]]=TbRegistroEntradas[[#This Row],[Data do Caixa Previsto]],"Vista","Prazo")</f>
        <v>Prazo</v>
      </c>
      <c r="Q1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114" spans="2:17" hidden="1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46">
        <f>IF(TbRegistroEntradas[[#This Row],[Data do Caixa Previsto]]="",0,MONTH(TbRegistroEntradas[[#This Row],[Data do Caixa Previsto]]))</f>
        <v>8</v>
      </c>
      <c r="N114" s="46">
        <f>IF(TbRegistroEntradas[[#This Row],[Data do Caixa Previsto]]="",0,YEAR(TbRegistroEntradas[[#This Row],[Data do Caixa Previsto]]))</f>
        <v>2018</v>
      </c>
      <c r="O114" s="46" t="str">
        <f ca="1">IF(AND(TbRegistroEntradas[[#This Row],[Data do Caixa Previsto]]&lt;TODAY(),TbRegistroEntradas[[#This Row],[Data do Caixa Realizado]]=""),"Vencida","Não Vencida")</f>
        <v>Não Vencida</v>
      </c>
      <c r="P114" s="46" t="str">
        <f>IF(TbRegistroEntradas[[#This Row],[Data da Competência]]=TbRegistroEntradas[[#This Row],[Data do Caixa Previsto]],"Vista","Prazo")</f>
        <v>Prazo</v>
      </c>
      <c r="Q1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5" spans="2:17" hidden="1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46">
        <f>IF(TbRegistroEntradas[[#This Row],[Data do Caixa Previsto]]="",0,MONTH(TbRegistroEntradas[[#This Row],[Data do Caixa Previsto]]))</f>
        <v>8</v>
      </c>
      <c r="N115" s="46">
        <f>IF(TbRegistroEntradas[[#This Row],[Data do Caixa Previsto]]="",0,YEAR(TbRegistroEntradas[[#This Row],[Data do Caixa Previsto]]))</f>
        <v>2018</v>
      </c>
      <c r="O115" s="46" t="str">
        <f ca="1">IF(AND(TbRegistroEntradas[[#This Row],[Data do Caixa Previsto]]&lt;TODAY(),TbRegistroEntradas[[#This Row],[Data do Caixa Realizado]]=""),"Vencida","Não Vencida")</f>
        <v>Não Vencida</v>
      </c>
      <c r="P115" s="46" t="str">
        <f>IF(TbRegistroEntradas[[#This Row],[Data da Competência]]=TbRegistroEntradas[[#This Row],[Data do Caixa Previsto]],"Vista","Prazo")</f>
        <v>Prazo</v>
      </c>
      <c r="Q1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6" spans="2:17" hidden="1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46">
        <f>IF(TbRegistroEntradas[[#This Row],[Data do Caixa Previsto]]="",0,MONTH(TbRegistroEntradas[[#This Row],[Data do Caixa Previsto]]))</f>
        <v>8</v>
      </c>
      <c r="N116" s="46">
        <f>IF(TbRegistroEntradas[[#This Row],[Data do Caixa Previsto]]="",0,YEAR(TbRegistroEntradas[[#This Row],[Data do Caixa Previsto]]))</f>
        <v>2018</v>
      </c>
      <c r="O116" s="46" t="str">
        <f ca="1">IF(AND(TbRegistroEntradas[[#This Row],[Data do Caixa Previsto]]&lt;TODAY(),TbRegistroEntradas[[#This Row],[Data do Caixa Realizado]]=""),"Vencida","Não Vencida")</f>
        <v>Não Vencida</v>
      </c>
      <c r="P116" s="46" t="str">
        <f>IF(TbRegistroEntradas[[#This Row],[Data da Competência]]=TbRegistroEntradas[[#This Row],[Data do Caixa Previsto]],"Vista","Prazo")</f>
        <v>Prazo</v>
      </c>
      <c r="Q1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7" spans="2:17" hidden="1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46">
        <f>IF(TbRegistroEntradas[[#This Row],[Data do Caixa Previsto]]="",0,MONTH(TbRegistroEntradas[[#This Row],[Data do Caixa Previsto]]))</f>
        <v>7</v>
      </c>
      <c r="N117" s="46">
        <f>IF(TbRegistroEntradas[[#This Row],[Data do Caixa Previsto]]="",0,YEAR(TbRegistroEntradas[[#This Row],[Data do Caixa Previsto]]))</f>
        <v>2018</v>
      </c>
      <c r="O117" s="46" t="str">
        <f ca="1">IF(AND(TbRegistroEntradas[[#This Row],[Data do Caixa Previsto]]&lt;TODAY(),TbRegistroEntradas[[#This Row],[Data do Caixa Realizado]]=""),"Vencida","Não Vencida")</f>
        <v>Não Vencida</v>
      </c>
      <c r="P117" s="46" t="str">
        <f>IF(TbRegistroEntradas[[#This Row],[Data da Competência]]=TbRegistroEntradas[[#This Row],[Data do Caixa Previsto]],"Vista","Prazo")</f>
        <v>Prazo</v>
      </c>
      <c r="Q1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</v>
      </c>
    </row>
    <row r="118" spans="2:17" hidden="1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46">
        <f>IF(TbRegistroEntradas[[#This Row],[Data do Caixa Previsto]]="",0,MONTH(TbRegistroEntradas[[#This Row],[Data do Caixa Previsto]]))</f>
        <v>8</v>
      </c>
      <c r="N118" s="46">
        <f>IF(TbRegistroEntradas[[#This Row],[Data do Caixa Previsto]]="",0,YEAR(TbRegistroEntradas[[#This Row],[Data do Caixa Previsto]]))</f>
        <v>2018</v>
      </c>
      <c r="O118" s="46" t="str">
        <f ca="1">IF(AND(TbRegistroEntradas[[#This Row],[Data do Caixa Previsto]]&lt;TODAY(),TbRegistroEntradas[[#This Row],[Data do Caixa Realizado]]=""),"Vencida","Não Vencida")</f>
        <v>Não Vencida</v>
      </c>
      <c r="P118" s="46" t="str">
        <f>IF(TbRegistroEntradas[[#This Row],[Data da Competência]]=TbRegistroEntradas[[#This Row],[Data do Caixa Previsto]],"Vista","Prazo")</f>
        <v>Prazo</v>
      </c>
      <c r="Q1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9" spans="2:17" hidden="1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46">
        <f>IF(TbRegistroEntradas[[#This Row],[Data do Caixa Previsto]]="",0,MONTH(TbRegistroEntradas[[#This Row],[Data do Caixa Previsto]]))</f>
        <v>8</v>
      </c>
      <c r="N119" s="46">
        <f>IF(TbRegistroEntradas[[#This Row],[Data do Caixa Previsto]]="",0,YEAR(TbRegistroEntradas[[#This Row],[Data do Caixa Previsto]]))</f>
        <v>2018</v>
      </c>
      <c r="O119" s="46" t="str">
        <f ca="1">IF(AND(TbRegistroEntradas[[#This Row],[Data do Caixa Previsto]]&lt;TODAY(),TbRegistroEntradas[[#This Row],[Data do Caixa Realizado]]=""),"Vencida","Não Vencida")</f>
        <v>Não Vencida</v>
      </c>
      <c r="P119" s="46" t="str">
        <f>IF(TbRegistroEntradas[[#This Row],[Data da Competência]]=TbRegistroEntradas[[#This Row],[Data do Caixa Previsto]],"Vista","Prazo")</f>
        <v>Prazo</v>
      </c>
      <c r="Q1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0" spans="2:17" hidden="1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46">
        <f>IF(TbRegistroEntradas[[#This Row],[Data do Caixa Previsto]]="",0,MONTH(TbRegistroEntradas[[#This Row],[Data do Caixa Previsto]]))</f>
        <v>8</v>
      </c>
      <c r="N120" s="46">
        <f>IF(TbRegistroEntradas[[#This Row],[Data do Caixa Previsto]]="",0,YEAR(TbRegistroEntradas[[#This Row],[Data do Caixa Previsto]]))</f>
        <v>2018</v>
      </c>
      <c r="O120" s="46" t="str">
        <f ca="1">IF(AND(TbRegistroEntradas[[#This Row],[Data do Caixa Previsto]]&lt;TODAY(),TbRegistroEntradas[[#This Row],[Data do Caixa Realizado]]=""),"Vencida","Não Vencida")</f>
        <v>Não Vencida</v>
      </c>
      <c r="P120" s="46" t="str">
        <f>IF(TbRegistroEntradas[[#This Row],[Data da Competência]]=TbRegistroEntradas[[#This Row],[Data do Caixa Previsto]],"Vista","Prazo")</f>
        <v>Prazo</v>
      </c>
      <c r="Q1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1" spans="2:17" hidden="1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46">
        <f>IF(TbRegistroEntradas[[#This Row],[Data do Caixa Previsto]]="",0,MONTH(TbRegistroEntradas[[#This Row],[Data do Caixa Previsto]]))</f>
        <v>8</v>
      </c>
      <c r="N121" s="46">
        <f>IF(TbRegistroEntradas[[#This Row],[Data do Caixa Previsto]]="",0,YEAR(TbRegistroEntradas[[#This Row],[Data do Caixa Previsto]]))</f>
        <v>2018</v>
      </c>
      <c r="O121" s="46" t="str">
        <f ca="1">IF(AND(TbRegistroEntradas[[#This Row],[Data do Caixa Previsto]]&lt;TODAY(),TbRegistroEntradas[[#This Row],[Data do Caixa Realizado]]=""),"Vencida","Não Vencida")</f>
        <v>Não Vencida</v>
      </c>
      <c r="P121" s="46" t="str">
        <f>IF(TbRegistroEntradas[[#This Row],[Data da Competência]]=TbRegistroEntradas[[#This Row],[Data do Caixa Previsto]],"Vista","Prazo")</f>
        <v>Prazo</v>
      </c>
      <c r="Q1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2" spans="2:17" hidden="1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46">
        <f>IF(TbRegistroEntradas[[#This Row],[Data do Caixa Previsto]]="",0,MONTH(TbRegistroEntradas[[#This Row],[Data do Caixa Previsto]]))</f>
        <v>7</v>
      </c>
      <c r="N122" s="46">
        <f>IF(TbRegistroEntradas[[#This Row],[Data do Caixa Previsto]]="",0,YEAR(TbRegistroEntradas[[#This Row],[Data do Caixa Previsto]]))</f>
        <v>2018</v>
      </c>
      <c r="O122" s="46" t="str">
        <f ca="1">IF(AND(TbRegistroEntradas[[#This Row],[Data do Caixa Previsto]]&lt;TODAY(),TbRegistroEntradas[[#This Row],[Data do Caixa Realizado]]=""),"Vencida","Não Vencida")</f>
        <v>Não Vencida</v>
      </c>
      <c r="P122" s="46" t="str">
        <f>IF(TbRegistroEntradas[[#This Row],[Data da Competência]]=TbRegistroEntradas[[#This Row],[Data do Caixa Previsto]],"Vista","Prazo")</f>
        <v>Prazo</v>
      </c>
      <c r="Q1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3" spans="2:17" hidden="1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46">
        <f>IF(TbRegistroEntradas[[#This Row],[Data do Caixa Previsto]]="",0,MONTH(TbRegistroEntradas[[#This Row],[Data do Caixa Previsto]]))</f>
        <v>7</v>
      </c>
      <c r="N123" s="46">
        <f>IF(TbRegistroEntradas[[#This Row],[Data do Caixa Previsto]]="",0,YEAR(TbRegistroEntradas[[#This Row],[Data do Caixa Previsto]]))</f>
        <v>2018</v>
      </c>
      <c r="O123" s="46" t="str">
        <f ca="1">IF(AND(TbRegistroEntradas[[#This Row],[Data do Caixa Previsto]]&lt;TODAY(),TbRegistroEntradas[[#This Row],[Data do Caixa Realizado]]=""),"Vencida","Não Vencida")</f>
        <v>Não Vencida</v>
      </c>
      <c r="P123" s="46" t="str">
        <f>IF(TbRegistroEntradas[[#This Row],[Data da Competência]]=TbRegistroEntradas[[#This Row],[Data do Caixa Previsto]],"Vista","Prazo")</f>
        <v>Prazo</v>
      </c>
      <c r="Q1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4" spans="2:17" hidden="1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46">
        <f>IF(TbRegistroEntradas[[#This Row],[Data do Caixa Previsto]]="",0,MONTH(TbRegistroEntradas[[#This Row],[Data do Caixa Previsto]]))</f>
        <v>9</v>
      </c>
      <c r="N124" s="46">
        <f>IF(TbRegistroEntradas[[#This Row],[Data do Caixa Previsto]]="",0,YEAR(TbRegistroEntradas[[#This Row],[Data do Caixa Previsto]]))</f>
        <v>2018</v>
      </c>
      <c r="O124" s="46" t="str">
        <f ca="1">IF(AND(TbRegistroEntradas[[#This Row],[Data do Caixa Previsto]]&lt;TODAY(),TbRegistroEntradas[[#This Row],[Data do Caixa Realizado]]=""),"Vencida","Não Vencida")</f>
        <v>Vencida</v>
      </c>
      <c r="P124" s="46" t="str">
        <f>IF(TbRegistroEntradas[[#This Row],[Data da Competência]]=TbRegistroEntradas[[#This Row],[Data do Caixa Previsto]],"Vista","Prazo")</f>
        <v>Prazo</v>
      </c>
      <c r="Q1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599</v>
      </c>
    </row>
    <row r="125" spans="2:17" hidden="1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46">
        <f>IF(TbRegistroEntradas[[#This Row],[Data do Caixa Previsto]]="",0,MONTH(TbRegistroEntradas[[#This Row],[Data do Caixa Previsto]]))</f>
        <v>7</v>
      </c>
      <c r="N125" s="46">
        <f>IF(TbRegistroEntradas[[#This Row],[Data do Caixa Previsto]]="",0,YEAR(TbRegistroEntradas[[#This Row],[Data do Caixa Previsto]]))</f>
        <v>2018</v>
      </c>
      <c r="O125" s="46" t="str">
        <f ca="1">IF(AND(TbRegistroEntradas[[#This Row],[Data do Caixa Previsto]]&lt;TODAY(),TbRegistroEntradas[[#This Row],[Data do Caixa Realizado]]=""),"Vencida","Não Vencida")</f>
        <v>Vencida</v>
      </c>
      <c r="P125" s="46" t="str">
        <f>IF(TbRegistroEntradas[[#This Row],[Data da Competência]]=TbRegistroEntradas[[#This Row],[Data do Caixa Previsto]],"Vista","Prazo")</f>
        <v>Vista</v>
      </c>
      <c r="Q1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641</v>
      </c>
    </row>
    <row r="126" spans="2:17" hidden="1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46">
        <f>IF(TbRegistroEntradas[[#This Row],[Data do Caixa Previsto]]="",0,MONTH(TbRegistroEntradas[[#This Row],[Data do Caixa Previsto]]))</f>
        <v>9</v>
      </c>
      <c r="N126" s="46">
        <f>IF(TbRegistroEntradas[[#This Row],[Data do Caixa Previsto]]="",0,YEAR(TbRegistroEntradas[[#This Row],[Data do Caixa Previsto]]))</f>
        <v>2018</v>
      </c>
      <c r="O126" s="46" t="str">
        <f ca="1">IF(AND(TbRegistroEntradas[[#This Row],[Data do Caixa Previsto]]&lt;TODAY(),TbRegistroEntradas[[#This Row],[Data do Caixa Realizado]]=""),"Vencida","Não Vencida")</f>
        <v>Não Vencida</v>
      </c>
      <c r="P126" s="46" t="str">
        <f>IF(TbRegistroEntradas[[#This Row],[Data da Competência]]=TbRegistroEntradas[[#This Row],[Data do Caixa Previsto]],"Vista","Prazo")</f>
        <v>Prazo</v>
      </c>
      <c r="Q1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7" spans="2:17" hidden="1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46">
        <f>IF(TbRegistroEntradas[[#This Row],[Data do Caixa Previsto]]="",0,MONTH(TbRegistroEntradas[[#This Row],[Data do Caixa Previsto]]))</f>
        <v>7</v>
      </c>
      <c r="N127" s="46">
        <f>IF(TbRegistroEntradas[[#This Row],[Data do Caixa Previsto]]="",0,YEAR(TbRegistroEntradas[[#This Row],[Data do Caixa Previsto]]))</f>
        <v>2018</v>
      </c>
      <c r="O127" s="46" t="str">
        <f ca="1">IF(AND(TbRegistroEntradas[[#This Row],[Data do Caixa Previsto]]&lt;TODAY(),TbRegistroEntradas[[#This Row],[Data do Caixa Realizado]]=""),"Vencida","Não Vencida")</f>
        <v>Vencida</v>
      </c>
      <c r="P127" s="46" t="str">
        <f>IF(TbRegistroEntradas[[#This Row],[Data da Competência]]=TbRegistroEntradas[[#This Row],[Data do Caixa Previsto]],"Vista","Prazo")</f>
        <v>Vista</v>
      </c>
      <c r="Q1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635</v>
      </c>
    </row>
    <row r="128" spans="2:17" hidden="1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46">
        <f>IF(TbRegistroEntradas[[#This Row],[Data do Caixa Previsto]]="",0,MONTH(TbRegistroEntradas[[#This Row],[Data do Caixa Previsto]]))</f>
        <v>9</v>
      </c>
      <c r="N128" s="46">
        <f>IF(TbRegistroEntradas[[#This Row],[Data do Caixa Previsto]]="",0,YEAR(TbRegistroEntradas[[#This Row],[Data do Caixa Previsto]]))</f>
        <v>2018</v>
      </c>
      <c r="O128" s="46" t="str">
        <f ca="1">IF(AND(TbRegistroEntradas[[#This Row],[Data do Caixa Previsto]]&lt;TODAY(),TbRegistroEntradas[[#This Row],[Data do Caixa Realizado]]=""),"Vencida","Não Vencida")</f>
        <v>Não Vencida</v>
      </c>
      <c r="P128" s="46" t="str">
        <f>IF(TbRegistroEntradas[[#This Row],[Data da Competência]]=TbRegistroEntradas[[#This Row],[Data do Caixa Previsto]],"Vista","Prazo")</f>
        <v>Prazo</v>
      </c>
      <c r="Q1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129" spans="2:17" hidden="1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46">
        <f>IF(TbRegistroEntradas[[#This Row],[Data do Caixa Previsto]]="",0,MONTH(TbRegistroEntradas[[#This Row],[Data do Caixa Previsto]]))</f>
        <v>8</v>
      </c>
      <c r="N129" s="46">
        <f>IF(TbRegistroEntradas[[#This Row],[Data do Caixa Previsto]]="",0,YEAR(TbRegistroEntradas[[#This Row],[Data do Caixa Previsto]]))</f>
        <v>2018</v>
      </c>
      <c r="O129" s="46" t="str">
        <f ca="1">IF(AND(TbRegistroEntradas[[#This Row],[Data do Caixa Previsto]]&lt;TODAY(),TbRegistroEntradas[[#This Row],[Data do Caixa Realizado]]=""),"Vencida","Não Vencida")</f>
        <v>Não Vencida</v>
      </c>
      <c r="P129" s="46" t="str">
        <f>IF(TbRegistroEntradas[[#This Row],[Data da Competência]]=TbRegistroEntradas[[#This Row],[Data do Caixa Previsto]],"Vista","Prazo")</f>
        <v>Vista</v>
      </c>
      <c r="Q1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</v>
      </c>
    </row>
    <row r="130" spans="2:17" hidden="1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46">
        <f>IF(TbRegistroEntradas[[#This Row],[Data do Caixa Previsto]]="",0,MONTH(TbRegistroEntradas[[#This Row],[Data do Caixa Previsto]]))</f>
        <v>8</v>
      </c>
      <c r="N130" s="46">
        <f>IF(TbRegistroEntradas[[#This Row],[Data do Caixa Previsto]]="",0,YEAR(TbRegistroEntradas[[#This Row],[Data do Caixa Previsto]]))</f>
        <v>2018</v>
      </c>
      <c r="O130" s="46" t="str">
        <f ca="1">IF(AND(TbRegistroEntradas[[#This Row],[Data do Caixa Previsto]]&lt;TODAY(),TbRegistroEntradas[[#This Row],[Data do Caixa Realizado]]=""),"Vencida","Não Vencida")</f>
        <v>Não Vencida</v>
      </c>
      <c r="P130" s="46" t="str">
        <f>IF(TbRegistroEntradas[[#This Row],[Data da Competência]]=TbRegistroEntradas[[#This Row],[Data do Caixa Previsto]],"Vista","Prazo")</f>
        <v>Prazo</v>
      </c>
      <c r="Q1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1" spans="2:17" hidden="1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46">
        <f>IF(TbRegistroEntradas[[#This Row],[Data do Caixa Previsto]]="",0,MONTH(TbRegistroEntradas[[#This Row],[Data do Caixa Previsto]]))</f>
        <v>8</v>
      </c>
      <c r="N131" s="46">
        <f>IF(TbRegistroEntradas[[#This Row],[Data do Caixa Previsto]]="",0,YEAR(TbRegistroEntradas[[#This Row],[Data do Caixa Previsto]]))</f>
        <v>2018</v>
      </c>
      <c r="O131" s="46" t="str">
        <f ca="1">IF(AND(TbRegistroEntradas[[#This Row],[Data do Caixa Previsto]]&lt;TODAY(),TbRegistroEntradas[[#This Row],[Data do Caixa Realizado]]=""),"Vencida","Não Vencida")</f>
        <v>Não Vencida</v>
      </c>
      <c r="P131" s="46" t="str">
        <f>IF(TbRegistroEntradas[[#This Row],[Data da Competência]]=TbRegistroEntradas[[#This Row],[Data do Caixa Previsto]],"Vista","Prazo")</f>
        <v>Vista</v>
      </c>
      <c r="Q1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2" spans="2:17" hidden="1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46">
        <f>IF(TbRegistroEntradas[[#This Row],[Data do Caixa Previsto]]="",0,MONTH(TbRegistroEntradas[[#This Row],[Data do Caixa Previsto]]))</f>
        <v>9</v>
      </c>
      <c r="N132" s="46">
        <f>IF(TbRegistroEntradas[[#This Row],[Data do Caixa Previsto]]="",0,YEAR(TbRegistroEntradas[[#This Row],[Data do Caixa Previsto]]))</f>
        <v>2018</v>
      </c>
      <c r="O132" s="46" t="str">
        <f ca="1">IF(AND(TbRegistroEntradas[[#This Row],[Data do Caixa Previsto]]&lt;TODAY(),TbRegistroEntradas[[#This Row],[Data do Caixa Realizado]]=""),"Vencida","Não Vencida")</f>
        <v>Não Vencida</v>
      </c>
      <c r="P132" s="46" t="str">
        <f>IF(TbRegistroEntradas[[#This Row],[Data da Competência]]=TbRegistroEntradas[[#This Row],[Data do Caixa Previsto]],"Vista","Prazo")</f>
        <v>Prazo</v>
      </c>
      <c r="Q1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3" spans="2:17" hidden="1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46">
        <f>IF(TbRegistroEntradas[[#This Row],[Data do Caixa Previsto]]="",0,MONTH(TbRegistroEntradas[[#This Row],[Data do Caixa Previsto]]))</f>
        <v>8</v>
      </c>
      <c r="N133" s="46">
        <f>IF(TbRegistroEntradas[[#This Row],[Data do Caixa Previsto]]="",0,YEAR(TbRegistroEntradas[[#This Row],[Data do Caixa Previsto]]))</f>
        <v>2018</v>
      </c>
      <c r="O133" s="46" t="str">
        <f ca="1">IF(AND(TbRegistroEntradas[[#This Row],[Data do Caixa Previsto]]&lt;TODAY(),TbRegistroEntradas[[#This Row],[Data do Caixa Realizado]]=""),"Vencida","Não Vencida")</f>
        <v>Não Vencida</v>
      </c>
      <c r="P133" s="46" t="str">
        <f>IF(TbRegistroEntradas[[#This Row],[Data da Competência]]=TbRegistroEntradas[[#This Row],[Data do Caixa Previsto]],"Vista","Prazo")</f>
        <v>Vista</v>
      </c>
      <c r="Q1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4" spans="2:17" hidden="1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46">
        <f>IF(TbRegistroEntradas[[#This Row],[Data do Caixa Previsto]]="",0,MONTH(TbRegistroEntradas[[#This Row],[Data do Caixa Previsto]]))</f>
        <v>8</v>
      </c>
      <c r="N134" s="46">
        <f>IF(TbRegistroEntradas[[#This Row],[Data do Caixa Previsto]]="",0,YEAR(TbRegistroEntradas[[#This Row],[Data do Caixa Previsto]]))</f>
        <v>2018</v>
      </c>
      <c r="O134" s="46" t="str">
        <f ca="1">IF(AND(TbRegistroEntradas[[#This Row],[Data do Caixa Previsto]]&lt;TODAY(),TbRegistroEntradas[[#This Row],[Data do Caixa Realizado]]=""),"Vencida","Não Vencida")</f>
        <v>Não Vencida</v>
      </c>
      <c r="P134" s="46" t="str">
        <f>IF(TbRegistroEntradas[[#This Row],[Data da Competência]]=TbRegistroEntradas[[#This Row],[Data do Caixa Previsto]],"Vista","Prazo")</f>
        <v>Vista</v>
      </c>
      <c r="Q1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5" spans="2:17" hidden="1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46">
        <f>IF(TbRegistroEntradas[[#This Row],[Data do Caixa Previsto]]="",0,MONTH(TbRegistroEntradas[[#This Row],[Data do Caixa Previsto]]))</f>
        <v>10</v>
      </c>
      <c r="N135" s="46">
        <f>IF(TbRegistroEntradas[[#This Row],[Data do Caixa Previsto]]="",0,YEAR(TbRegistroEntradas[[#This Row],[Data do Caixa Previsto]]))</f>
        <v>2018</v>
      </c>
      <c r="O135" s="46" t="str">
        <f ca="1">IF(AND(TbRegistroEntradas[[#This Row],[Data do Caixa Previsto]]&lt;TODAY(),TbRegistroEntradas[[#This Row],[Data do Caixa Realizado]]=""),"Vencida","Não Vencida")</f>
        <v>Não Vencida</v>
      </c>
      <c r="P135" s="46" t="str">
        <f>IF(TbRegistroEntradas[[#This Row],[Data da Competência]]=TbRegistroEntradas[[#This Row],[Data do Caixa Previsto]],"Vista","Prazo")</f>
        <v>Prazo</v>
      </c>
      <c r="Q1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80</v>
      </c>
    </row>
    <row r="136" spans="2:17" hidden="1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46">
        <f>IF(TbRegistroEntradas[[#This Row],[Data do Caixa Previsto]]="",0,MONTH(TbRegistroEntradas[[#This Row],[Data do Caixa Previsto]]))</f>
        <v>10</v>
      </c>
      <c r="N136" s="46">
        <f>IF(TbRegistroEntradas[[#This Row],[Data do Caixa Previsto]]="",0,YEAR(TbRegistroEntradas[[#This Row],[Data do Caixa Previsto]]))</f>
        <v>2018</v>
      </c>
      <c r="O136" s="46" t="str">
        <f ca="1">IF(AND(TbRegistroEntradas[[#This Row],[Data do Caixa Previsto]]&lt;TODAY(),TbRegistroEntradas[[#This Row],[Data do Caixa Realizado]]=""),"Vencida","Não Vencida")</f>
        <v>Não Vencida</v>
      </c>
      <c r="P136" s="46" t="str">
        <f>IF(TbRegistroEntradas[[#This Row],[Data da Competência]]=TbRegistroEntradas[[#This Row],[Data do Caixa Previsto]],"Vista","Prazo")</f>
        <v>Prazo</v>
      </c>
      <c r="Q1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7" spans="2:17" hidden="1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46">
        <f>IF(TbRegistroEntradas[[#This Row],[Data do Caixa Previsto]]="",0,MONTH(TbRegistroEntradas[[#This Row],[Data do Caixa Previsto]]))</f>
        <v>9</v>
      </c>
      <c r="N137" s="46">
        <f>IF(TbRegistroEntradas[[#This Row],[Data do Caixa Previsto]]="",0,YEAR(TbRegistroEntradas[[#This Row],[Data do Caixa Previsto]]))</f>
        <v>2018</v>
      </c>
      <c r="O137" s="46" t="str">
        <f ca="1">IF(AND(TbRegistroEntradas[[#This Row],[Data do Caixa Previsto]]&lt;TODAY(),TbRegistroEntradas[[#This Row],[Data do Caixa Realizado]]=""),"Vencida","Não Vencida")</f>
        <v>Não Vencida</v>
      </c>
      <c r="P137" s="46" t="str">
        <f>IF(TbRegistroEntradas[[#This Row],[Data da Competência]]=TbRegistroEntradas[[#This Row],[Data do Caixa Previsto]],"Vista","Prazo")</f>
        <v>Prazo</v>
      </c>
      <c r="Q1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138" spans="2:17" hidden="1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46">
        <f>IF(TbRegistroEntradas[[#This Row],[Data do Caixa Previsto]]="",0,MONTH(TbRegistroEntradas[[#This Row],[Data do Caixa Previsto]]))</f>
        <v>9</v>
      </c>
      <c r="N138" s="46">
        <f>IF(TbRegistroEntradas[[#This Row],[Data do Caixa Previsto]]="",0,YEAR(TbRegistroEntradas[[#This Row],[Data do Caixa Previsto]]))</f>
        <v>2018</v>
      </c>
      <c r="O138" s="46" t="str">
        <f ca="1">IF(AND(TbRegistroEntradas[[#This Row],[Data do Caixa Previsto]]&lt;TODAY(),TbRegistroEntradas[[#This Row],[Data do Caixa Realizado]]=""),"Vencida","Não Vencida")</f>
        <v>Não Vencida</v>
      </c>
      <c r="P138" s="46" t="str">
        <f>IF(TbRegistroEntradas[[#This Row],[Data da Competência]]=TbRegistroEntradas[[#This Row],[Data do Caixa Previsto]],"Vista","Prazo")</f>
        <v>Prazo</v>
      </c>
      <c r="Q1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9" spans="2:17" hidden="1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46">
        <f>IF(TbRegistroEntradas[[#This Row],[Data do Caixa Previsto]]="",0,MONTH(TbRegistroEntradas[[#This Row],[Data do Caixa Previsto]]))</f>
        <v>9</v>
      </c>
      <c r="N139" s="46">
        <f>IF(TbRegistroEntradas[[#This Row],[Data do Caixa Previsto]]="",0,YEAR(TbRegistroEntradas[[#This Row],[Data do Caixa Previsto]]))</f>
        <v>2018</v>
      </c>
      <c r="O139" s="46" t="str">
        <f ca="1">IF(AND(TbRegistroEntradas[[#This Row],[Data do Caixa Previsto]]&lt;TODAY(),TbRegistroEntradas[[#This Row],[Data do Caixa Realizado]]=""),"Vencida","Não Vencida")</f>
        <v>Não Vencida</v>
      </c>
      <c r="P139" s="46" t="str">
        <f>IF(TbRegistroEntradas[[#This Row],[Data da Competência]]=TbRegistroEntradas[[#This Row],[Data do Caixa Previsto]],"Vista","Prazo")</f>
        <v>Vista</v>
      </c>
      <c r="Q1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0" spans="2:17" hidden="1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46">
        <f>IF(TbRegistroEntradas[[#This Row],[Data do Caixa Previsto]]="",0,MONTH(TbRegistroEntradas[[#This Row],[Data do Caixa Previsto]]))</f>
        <v>9</v>
      </c>
      <c r="N140" s="46">
        <f>IF(TbRegistroEntradas[[#This Row],[Data do Caixa Previsto]]="",0,YEAR(TbRegistroEntradas[[#This Row],[Data do Caixa Previsto]]))</f>
        <v>2018</v>
      </c>
      <c r="O140" s="46" t="str">
        <f ca="1">IF(AND(TbRegistroEntradas[[#This Row],[Data do Caixa Previsto]]&lt;TODAY(),TbRegistroEntradas[[#This Row],[Data do Caixa Realizado]]=""),"Vencida","Não Vencida")</f>
        <v>Não Vencida</v>
      </c>
      <c r="P140" s="46" t="str">
        <f>IF(TbRegistroEntradas[[#This Row],[Data da Competência]]=TbRegistroEntradas[[#This Row],[Data do Caixa Previsto]],"Vista","Prazo")</f>
        <v>Prazo</v>
      </c>
      <c r="Q1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1" spans="2:17" hidden="1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46">
        <f>IF(TbRegistroEntradas[[#This Row],[Data do Caixa Previsto]]="",0,MONTH(TbRegistroEntradas[[#This Row],[Data do Caixa Previsto]]))</f>
        <v>10</v>
      </c>
      <c r="N141" s="46">
        <f>IF(TbRegistroEntradas[[#This Row],[Data do Caixa Previsto]]="",0,YEAR(TbRegistroEntradas[[#This Row],[Data do Caixa Previsto]]))</f>
        <v>2018</v>
      </c>
      <c r="O141" s="46" t="str">
        <f ca="1">IF(AND(TbRegistroEntradas[[#This Row],[Data do Caixa Previsto]]&lt;TODAY(),TbRegistroEntradas[[#This Row],[Data do Caixa Realizado]]=""),"Vencida","Não Vencida")</f>
        <v>Não Vencida</v>
      </c>
      <c r="P141" s="46" t="str">
        <f>IF(TbRegistroEntradas[[#This Row],[Data da Competência]]=TbRegistroEntradas[[#This Row],[Data do Caixa Previsto]],"Vista","Prazo")</f>
        <v>Prazo</v>
      </c>
      <c r="Q1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2" spans="2:17" hidden="1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46">
        <f>IF(TbRegistroEntradas[[#This Row],[Data do Caixa Previsto]]="",0,MONTH(TbRegistroEntradas[[#This Row],[Data do Caixa Previsto]]))</f>
        <v>11</v>
      </c>
      <c r="N142" s="46">
        <f>IF(TbRegistroEntradas[[#This Row],[Data do Caixa Previsto]]="",0,YEAR(TbRegistroEntradas[[#This Row],[Data do Caixa Previsto]]))</f>
        <v>2018</v>
      </c>
      <c r="O142" s="46" t="str">
        <f ca="1">IF(AND(TbRegistroEntradas[[#This Row],[Data do Caixa Previsto]]&lt;TODAY(),TbRegistroEntradas[[#This Row],[Data do Caixa Realizado]]=""),"Vencida","Não Vencida")</f>
        <v>Não Vencida</v>
      </c>
      <c r="P142" s="46" t="str">
        <f>IF(TbRegistroEntradas[[#This Row],[Data da Competência]]=TbRegistroEntradas[[#This Row],[Data do Caixa Previsto]],"Vista","Prazo")</f>
        <v>Prazo</v>
      </c>
      <c r="Q1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3" spans="2:17" hidden="1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46">
        <f>IF(TbRegistroEntradas[[#This Row],[Data do Caixa Previsto]]="",0,MONTH(TbRegistroEntradas[[#This Row],[Data do Caixa Previsto]]))</f>
        <v>10</v>
      </c>
      <c r="N143" s="46">
        <f>IF(TbRegistroEntradas[[#This Row],[Data do Caixa Previsto]]="",0,YEAR(TbRegistroEntradas[[#This Row],[Data do Caixa Previsto]]))</f>
        <v>2018</v>
      </c>
      <c r="O143" s="46" t="str">
        <f ca="1">IF(AND(TbRegistroEntradas[[#This Row],[Data do Caixa Previsto]]&lt;TODAY(),TbRegistroEntradas[[#This Row],[Data do Caixa Realizado]]=""),"Vencida","Não Vencida")</f>
        <v>Não Vencida</v>
      </c>
      <c r="P143" s="46" t="str">
        <f>IF(TbRegistroEntradas[[#This Row],[Data da Competência]]=TbRegistroEntradas[[#This Row],[Data do Caixa Previsto]],"Vista","Prazo")</f>
        <v>Prazo</v>
      </c>
      <c r="Q1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4" spans="2:17" hidden="1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46">
        <f>IF(TbRegistroEntradas[[#This Row],[Data do Caixa Previsto]]="",0,MONTH(TbRegistroEntradas[[#This Row],[Data do Caixa Previsto]]))</f>
        <v>9</v>
      </c>
      <c r="N144" s="46">
        <f>IF(TbRegistroEntradas[[#This Row],[Data do Caixa Previsto]]="",0,YEAR(TbRegistroEntradas[[#This Row],[Data do Caixa Previsto]]))</f>
        <v>2018</v>
      </c>
      <c r="O144" s="46" t="str">
        <f ca="1">IF(AND(TbRegistroEntradas[[#This Row],[Data do Caixa Previsto]]&lt;TODAY(),TbRegistroEntradas[[#This Row],[Data do Caixa Realizado]]=""),"Vencida","Não Vencida")</f>
        <v>Não Vencida</v>
      </c>
      <c r="P144" s="46" t="str">
        <f>IF(TbRegistroEntradas[[#This Row],[Data da Competência]]=TbRegistroEntradas[[#This Row],[Data do Caixa Previsto]],"Vista","Prazo")</f>
        <v>Vista</v>
      </c>
      <c r="Q1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145" spans="2:17" hidden="1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46">
        <f>IF(TbRegistroEntradas[[#This Row],[Data do Caixa Previsto]]="",0,MONTH(TbRegistroEntradas[[#This Row],[Data do Caixa Previsto]]))</f>
        <v>11</v>
      </c>
      <c r="N145" s="46">
        <f>IF(TbRegistroEntradas[[#This Row],[Data do Caixa Previsto]]="",0,YEAR(TbRegistroEntradas[[#This Row],[Data do Caixa Previsto]]))</f>
        <v>2018</v>
      </c>
      <c r="O145" s="46" t="str">
        <f ca="1">IF(AND(TbRegistroEntradas[[#This Row],[Data do Caixa Previsto]]&lt;TODAY(),TbRegistroEntradas[[#This Row],[Data do Caixa Realizado]]=""),"Vencida","Não Vencida")</f>
        <v>Não Vencida</v>
      </c>
      <c r="P145" s="46" t="str">
        <f>IF(TbRegistroEntradas[[#This Row],[Data da Competência]]=TbRegistroEntradas[[#This Row],[Data do Caixa Previsto]],"Vista","Prazo")</f>
        <v>Prazo</v>
      </c>
      <c r="Q1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6" spans="2:17" hidden="1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46">
        <f>IF(TbRegistroEntradas[[#This Row],[Data do Caixa Previsto]]="",0,MONTH(TbRegistroEntradas[[#This Row],[Data do Caixa Previsto]]))</f>
        <v>9</v>
      </c>
      <c r="N146" s="46">
        <f>IF(TbRegistroEntradas[[#This Row],[Data do Caixa Previsto]]="",0,YEAR(TbRegistroEntradas[[#This Row],[Data do Caixa Previsto]]))</f>
        <v>2018</v>
      </c>
      <c r="O146" s="46" t="str">
        <f ca="1">IF(AND(TbRegistroEntradas[[#This Row],[Data do Caixa Previsto]]&lt;TODAY(),TbRegistroEntradas[[#This Row],[Data do Caixa Realizado]]=""),"Vencida","Não Vencida")</f>
        <v>Não Vencida</v>
      </c>
      <c r="P146" s="46" t="str">
        <f>IF(TbRegistroEntradas[[#This Row],[Data da Competência]]=TbRegistroEntradas[[#This Row],[Data do Caixa Previsto]],"Vista","Prazo")</f>
        <v>Vista</v>
      </c>
      <c r="Q1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7" spans="2:17" hidden="1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46">
        <f>IF(TbRegistroEntradas[[#This Row],[Data do Caixa Previsto]]="",0,MONTH(TbRegistroEntradas[[#This Row],[Data do Caixa Previsto]]))</f>
        <v>10</v>
      </c>
      <c r="N147" s="46">
        <f>IF(TbRegistroEntradas[[#This Row],[Data do Caixa Previsto]]="",0,YEAR(TbRegistroEntradas[[#This Row],[Data do Caixa Previsto]]))</f>
        <v>2018</v>
      </c>
      <c r="O147" s="46" t="str">
        <f ca="1">IF(AND(TbRegistroEntradas[[#This Row],[Data do Caixa Previsto]]&lt;TODAY(),TbRegistroEntradas[[#This Row],[Data do Caixa Realizado]]=""),"Vencida","Não Vencida")</f>
        <v>Não Vencida</v>
      </c>
      <c r="P147" s="46" t="str">
        <f>IF(TbRegistroEntradas[[#This Row],[Data da Competência]]=TbRegistroEntradas[[#This Row],[Data do Caixa Previsto]],"Vista","Prazo")</f>
        <v>Prazo</v>
      </c>
      <c r="Q1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8" spans="2:17" hidden="1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46">
        <f>IF(TbRegistroEntradas[[#This Row],[Data do Caixa Previsto]]="",0,MONTH(TbRegistroEntradas[[#This Row],[Data do Caixa Previsto]]))</f>
        <v>10</v>
      </c>
      <c r="N148" s="46">
        <f>IF(TbRegistroEntradas[[#This Row],[Data do Caixa Previsto]]="",0,YEAR(TbRegistroEntradas[[#This Row],[Data do Caixa Previsto]]))</f>
        <v>2018</v>
      </c>
      <c r="O148" s="46" t="str">
        <f ca="1">IF(AND(TbRegistroEntradas[[#This Row],[Data do Caixa Previsto]]&lt;TODAY(),TbRegistroEntradas[[#This Row],[Data do Caixa Realizado]]=""),"Vencida","Não Vencida")</f>
        <v>Não Vencida</v>
      </c>
      <c r="P148" s="46" t="str">
        <f>IF(TbRegistroEntradas[[#This Row],[Data da Competência]]=TbRegistroEntradas[[#This Row],[Data do Caixa Previsto]],"Vista","Prazo")</f>
        <v>Prazo</v>
      </c>
      <c r="Q1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9" spans="2:17" hidden="1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46">
        <f>IF(TbRegistroEntradas[[#This Row],[Data do Caixa Previsto]]="",0,MONTH(TbRegistroEntradas[[#This Row],[Data do Caixa Previsto]]))</f>
        <v>11</v>
      </c>
      <c r="N149" s="46">
        <f>IF(TbRegistroEntradas[[#This Row],[Data do Caixa Previsto]]="",0,YEAR(TbRegistroEntradas[[#This Row],[Data do Caixa Previsto]]))</f>
        <v>2018</v>
      </c>
      <c r="O149" s="46" t="str">
        <f ca="1">IF(AND(TbRegistroEntradas[[#This Row],[Data do Caixa Previsto]]&lt;TODAY(),TbRegistroEntradas[[#This Row],[Data do Caixa Realizado]]=""),"Vencida","Não Vencida")</f>
        <v>Não Vencida</v>
      </c>
      <c r="P149" s="46" t="str">
        <f>IF(TbRegistroEntradas[[#This Row],[Data da Competência]]=TbRegistroEntradas[[#This Row],[Data do Caixa Previsto]],"Vista","Prazo")</f>
        <v>Prazo</v>
      </c>
      <c r="Q1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0" spans="2:17" hidden="1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46">
        <f>IF(TbRegistroEntradas[[#This Row],[Data do Caixa Previsto]]="",0,MONTH(TbRegistroEntradas[[#This Row],[Data do Caixa Previsto]]))</f>
        <v>10</v>
      </c>
      <c r="N150" s="46">
        <f>IF(TbRegistroEntradas[[#This Row],[Data do Caixa Previsto]]="",0,YEAR(TbRegistroEntradas[[#This Row],[Data do Caixa Previsto]]))</f>
        <v>2018</v>
      </c>
      <c r="O150" s="46" t="str">
        <f ca="1">IF(AND(TbRegistroEntradas[[#This Row],[Data do Caixa Previsto]]&lt;TODAY(),TbRegistroEntradas[[#This Row],[Data do Caixa Realizado]]=""),"Vencida","Não Vencida")</f>
        <v>Não Vencida</v>
      </c>
      <c r="P150" s="46" t="str">
        <f>IF(TbRegistroEntradas[[#This Row],[Data da Competência]]=TbRegistroEntradas[[#This Row],[Data do Caixa Previsto]],"Vista","Prazo")</f>
        <v>Vista</v>
      </c>
      <c r="Q1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1" spans="2:17" hidden="1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46">
        <f>IF(TbRegistroEntradas[[#This Row],[Data do Caixa Previsto]]="",0,MONTH(TbRegistroEntradas[[#This Row],[Data do Caixa Previsto]]))</f>
        <v>10</v>
      </c>
      <c r="N151" s="46">
        <f>IF(TbRegistroEntradas[[#This Row],[Data do Caixa Previsto]]="",0,YEAR(TbRegistroEntradas[[#This Row],[Data do Caixa Previsto]]))</f>
        <v>2018</v>
      </c>
      <c r="O151" s="46" t="str">
        <f ca="1">IF(AND(TbRegistroEntradas[[#This Row],[Data do Caixa Previsto]]&lt;TODAY(),TbRegistroEntradas[[#This Row],[Data do Caixa Realizado]]=""),"Vencida","Não Vencida")</f>
        <v>Não Vencida</v>
      </c>
      <c r="P151" s="46" t="str">
        <f>IF(TbRegistroEntradas[[#This Row],[Data da Competência]]=TbRegistroEntradas[[#This Row],[Data do Caixa Previsto]],"Vista","Prazo")</f>
        <v>Prazo</v>
      </c>
      <c r="Q1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2" spans="2:17" hidden="1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46">
        <f>IF(TbRegistroEntradas[[#This Row],[Data do Caixa Previsto]]="",0,MONTH(TbRegistroEntradas[[#This Row],[Data do Caixa Previsto]]))</f>
        <v>12</v>
      </c>
      <c r="N152" s="46">
        <f>IF(TbRegistroEntradas[[#This Row],[Data do Caixa Previsto]]="",0,YEAR(TbRegistroEntradas[[#This Row],[Data do Caixa Previsto]]))</f>
        <v>2018</v>
      </c>
      <c r="O152" s="46" t="str">
        <f ca="1">IF(AND(TbRegistroEntradas[[#This Row],[Data do Caixa Previsto]]&lt;TODAY(),TbRegistroEntradas[[#This Row],[Data do Caixa Realizado]]=""),"Vencida","Não Vencida")</f>
        <v>Vencida</v>
      </c>
      <c r="P152" s="46" t="str">
        <f>IF(TbRegistroEntradas[[#This Row],[Data da Competência]]=TbRegistroEntradas[[#This Row],[Data do Caixa Previsto]],"Vista","Prazo")</f>
        <v>Prazo</v>
      </c>
      <c r="Q1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507</v>
      </c>
    </row>
    <row r="153" spans="2:17" hidden="1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46">
        <f>IF(TbRegistroEntradas[[#This Row],[Data do Caixa Previsto]]="",0,MONTH(TbRegistroEntradas[[#This Row],[Data do Caixa Previsto]]))</f>
        <v>12</v>
      </c>
      <c r="N153" s="46">
        <f>IF(TbRegistroEntradas[[#This Row],[Data do Caixa Previsto]]="",0,YEAR(TbRegistroEntradas[[#This Row],[Data do Caixa Previsto]]))</f>
        <v>2018</v>
      </c>
      <c r="O153" s="46" t="str">
        <f ca="1">IF(AND(TbRegistroEntradas[[#This Row],[Data do Caixa Previsto]]&lt;TODAY(),TbRegistroEntradas[[#This Row],[Data do Caixa Realizado]]=""),"Vencida","Não Vencida")</f>
        <v>Não Vencida</v>
      </c>
      <c r="P153" s="46" t="str">
        <f>IF(TbRegistroEntradas[[#This Row],[Data da Competência]]=TbRegistroEntradas[[#This Row],[Data do Caixa Previsto]],"Vista","Prazo")</f>
        <v>Prazo</v>
      </c>
      <c r="Q1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4" spans="2:17" hidden="1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46">
        <f>IF(TbRegistroEntradas[[#This Row],[Data do Caixa Previsto]]="",0,MONTH(TbRegistroEntradas[[#This Row],[Data do Caixa Previsto]]))</f>
        <v>11</v>
      </c>
      <c r="N154" s="46">
        <f>IF(TbRegistroEntradas[[#This Row],[Data do Caixa Previsto]]="",0,YEAR(TbRegistroEntradas[[#This Row],[Data do Caixa Previsto]]))</f>
        <v>2018</v>
      </c>
      <c r="O154" s="46" t="str">
        <f ca="1">IF(AND(TbRegistroEntradas[[#This Row],[Data do Caixa Previsto]]&lt;TODAY(),TbRegistroEntradas[[#This Row],[Data do Caixa Realizado]]=""),"Vencida","Não Vencida")</f>
        <v>Não Vencida</v>
      </c>
      <c r="P154" s="46" t="str">
        <f>IF(TbRegistroEntradas[[#This Row],[Data da Competência]]=TbRegistroEntradas[[#This Row],[Data do Caixa Previsto]],"Vista","Prazo")</f>
        <v>Prazo</v>
      </c>
      <c r="Q1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</v>
      </c>
    </row>
    <row r="155" spans="2:17" hidden="1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46">
        <f>IF(TbRegistroEntradas[[#This Row],[Data do Caixa Previsto]]="",0,MONTH(TbRegistroEntradas[[#This Row],[Data do Caixa Previsto]]))</f>
        <v>10</v>
      </c>
      <c r="N155" s="46">
        <f>IF(TbRegistroEntradas[[#This Row],[Data do Caixa Previsto]]="",0,YEAR(TbRegistroEntradas[[#This Row],[Data do Caixa Previsto]]))</f>
        <v>2018</v>
      </c>
      <c r="O155" s="46" t="str">
        <f ca="1">IF(AND(TbRegistroEntradas[[#This Row],[Data do Caixa Previsto]]&lt;TODAY(),TbRegistroEntradas[[#This Row],[Data do Caixa Realizado]]=""),"Vencida","Não Vencida")</f>
        <v>Não Vencida</v>
      </c>
      <c r="P155" s="46" t="str">
        <f>IF(TbRegistroEntradas[[#This Row],[Data da Competência]]=TbRegistroEntradas[[#This Row],[Data do Caixa Previsto]],"Vista","Prazo")</f>
        <v>Vista</v>
      </c>
      <c r="Q1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6" spans="2:17" hidden="1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46">
        <f>IF(TbRegistroEntradas[[#This Row],[Data do Caixa Previsto]]="",0,MONTH(TbRegistroEntradas[[#This Row],[Data do Caixa Previsto]]))</f>
        <v>10</v>
      </c>
      <c r="N156" s="46">
        <f>IF(TbRegistroEntradas[[#This Row],[Data do Caixa Previsto]]="",0,YEAR(TbRegistroEntradas[[#This Row],[Data do Caixa Previsto]]))</f>
        <v>2018</v>
      </c>
      <c r="O156" s="46" t="str">
        <f ca="1">IF(AND(TbRegistroEntradas[[#This Row],[Data do Caixa Previsto]]&lt;TODAY(),TbRegistroEntradas[[#This Row],[Data do Caixa Realizado]]=""),"Vencida","Não Vencida")</f>
        <v>Vencida</v>
      </c>
      <c r="P156" s="46" t="str">
        <f>IF(TbRegistroEntradas[[#This Row],[Data da Competência]]=TbRegistroEntradas[[#This Row],[Data do Caixa Previsto]],"Vista","Prazo")</f>
        <v>Vista</v>
      </c>
      <c r="Q1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542</v>
      </c>
    </row>
    <row r="157" spans="2:17" hidden="1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46">
        <f>IF(TbRegistroEntradas[[#This Row],[Data do Caixa Previsto]]="",0,MONTH(TbRegistroEntradas[[#This Row],[Data do Caixa Previsto]]))</f>
        <v>12</v>
      </c>
      <c r="N157" s="46">
        <f>IF(TbRegistroEntradas[[#This Row],[Data do Caixa Previsto]]="",0,YEAR(TbRegistroEntradas[[#This Row],[Data do Caixa Previsto]]))</f>
        <v>2018</v>
      </c>
      <c r="O157" s="46" t="str">
        <f ca="1">IF(AND(TbRegistroEntradas[[#This Row],[Data do Caixa Previsto]]&lt;TODAY(),TbRegistroEntradas[[#This Row],[Data do Caixa Realizado]]=""),"Vencida","Não Vencida")</f>
        <v>Não Vencida</v>
      </c>
      <c r="P157" s="46" t="str">
        <f>IF(TbRegistroEntradas[[#This Row],[Data da Competência]]=TbRegistroEntradas[[#This Row],[Data do Caixa Previsto]],"Vista","Prazo")</f>
        <v>Prazo</v>
      </c>
      <c r="Q1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8" spans="2:17" hidden="1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46">
        <f>IF(TbRegistroEntradas[[#This Row],[Data do Caixa Previsto]]="",0,MONTH(TbRegistroEntradas[[#This Row],[Data do Caixa Previsto]]))</f>
        <v>11</v>
      </c>
      <c r="N158" s="46">
        <f>IF(TbRegistroEntradas[[#This Row],[Data do Caixa Previsto]]="",0,YEAR(TbRegistroEntradas[[#This Row],[Data do Caixa Previsto]]))</f>
        <v>2018</v>
      </c>
      <c r="O158" s="46" t="str">
        <f ca="1">IF(AND(TbRegistroEntradas[[#This Row],[Data do Caixa Previsto]]&lt;TODAY(),TbRegistroEntradas[[#This Row],[Data do Caixa Realizado]]=""),"Vencida","Não Vencida")</f>
        <v>Não Vencida</v>
      </c>
      <c r="P158" s="46" t="str">
        <f>IF(TbRegistroEntradas[[#This Row],[Data da Competência]]=TbRegistroEntradas[[#This Row],[Data do Caixa Previsto]],"Vista","Prazo")</f>
        <v>Prazo</v>
      </c>
      <c r="Q1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9" spans="2:17" hidden="1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46">
        <f>IF(TbRegistroEntradas[[#This Row],[Data do Caixa Previsto]]="",0,MONTH(TbRegistroEntradas[[#This Row],[Data do Caixa Previsto]]))</f>
        <v>11</v>
      </c>
      <c r="N159" s="46">
        <f>IF(TbRegistroEntradas[[#This Row],[Data do Caixa Previsto]]="",0,YEAR(TbRegistroEntradas[[#This Row],[Data do Caixa Previsto]]))</f>
        <v>2018</v>
      </c>
      <c r="O159" s="46" t="str">
        <f ca="1">IF(AND(TbRegistroEntradas[[#This Row],[Data do Caixa Previsto]]&lt;TODAY(),TbRegistroEntradas[[#This Row],[Data do Caixa Realizado]]=""),"Vencida","Não Vencida")</f>
        <v>Não Vencida</v>
      </c>
      <c r="P159" s="46" t="str">
        <f>IF(TbRegistroEntradas[[#This Row],[Data da Competência]]=TbRegistroEntradas[[#This Row],[Data do Caixa Previsto]],"Vista","Prazo")</f>
        <v>Prazo</v>
      </c>
      <c r="Q1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0" spans="2:17" hidden="1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46">
        <f>IF(TbRegistroEntradas[[#This Row],[Data do Caixa Previsto]]="",0,MONTH(TbRegistroEntradas[[#This Row],[Data do Caixa Previsto]]))</f>
        <v>11</v>
      </c>
      <c r="N160" s="46">
        <f>IF(TbRegistroEntradas[[#This Row],[Data do Caixa Previsto]]="",0,YEAR(TbRegistroEntradas[[#This Row],[Data do Caixa Previsto]]))</f>
        <v>2018</v>
      </c>
      <c r="O160" s="46" t="str">
        <f ca="1">IF(AND(TbRegistroEntradas[[#This Row],[Data do Caixa Previsto]]&lt;TODAY(),TbRegistroEntradas[[#This Row],[Data do Caixa Realizado]]=""),"Vencida","Não Vencida")</f>
        <v>Não Vencida</v>
      </c>
      <c r="P160" s="46" t="str">
        <f>IF(TbRegistroEntradas[[#This Row],[Data da Competência]]=TbRegistroEntradas[[#This Row],[Data do Caixa Previsto]],"Vista","Prazo")</f>
        <v>Vista</v>
      </c>
      <c r="Q1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1" spans="2:17" hidden="1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46">
        <f>IF(TbRegistroEntradas[[#This Row],[Data do Caixa Previsto]]="",0,MONTH(TbRegistroEntradas[[#This Row],[Data do Caixa Previsto]]))</f>
        <v>12</v>
      </c>
      <c r="N161" s="46">
        <f>IF(TbRegistroEntradas[[#This Row],[Data do Caixa Previsto]]="",0,YEAR(TbRegistroEntradas[[#This Row],[Data do Caixa Previsto]]))</f>
        <v>2018</v>
      </c>
      <c r="O161" s="46" t="str">
        <f ca="1">IF(AND(TbRegistroEntradas[[#This Row],[Data do Caixa Previsto]]&lt;TODAY(),TbRegistroEntradas[[#This Row],[Data do Caixa Realizado]]=""),"Vencida","Não Vencida")</f>
        <v>Não Vencida</v>
      </c>
      <c r="P161" s="46" t="str">
        <f>IF(TbRegistroEntradas[[#This Row],[Data da Competência]]=TbRegistroEntradas[[#This Row],[Data do Caixa Previsto]],"Vista","Prazo")</f>
        <v>Prazo</v>
      </c>
      <c r="Q1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73</v>
      </c>
    </row>
    <row r="162" spans="2:17" hidden="1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46">
        <f>IF(TbRegistroEntradas[[#This Row],[Data do Caixa Previsto]]="",0,MONTH(TbRegistroEntradas[[#This Row],[Data do Caixa Previsto]]))</f>
        <v>11</v>
      </c>
      <c r="N162" s="46">
        <f>IF(TbRegistroEntradas[[#This Row],[Data do Caixa Previsto]]="",0,YEAR(TbRegistroEntradas[[#This Row],[Data do Caixa Previsto]]))</f>
        <v>2018</v>
      </c>
      <c r="O162" s="46" t="str">
        <f ca="1">IF(AND(TbRegistroEntradas[[#This Row],[Data do Caixa Previsto]]&lt;TODAY(),TbRegistroEntradas[[#This Row],[Data do Caixa Realizado]]=""),"Vencida","Não Vencida")</f>
        <v>Não Vencida</v>
      </c>
      <c r="P162" s="46" t="str">
        <f>IF(TbRegistroEntradas[[#This Row],[Data da Competência]]=TbRegistroEntradas[[#This Row],[Data do Caixa Previsto]],"Vista","Prazo")</f>
        <v>Vista</v>
      </c>
      <c r="Q1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3" spans="2:17" hidden="1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46">
        <f>IF(TbRegistroEntradas[[#This Row],[Data do Caixa Previsto]]="",0,MONTH(TbRegistroEntradas[[#This Row],[Data do Caixa Previsto]]))</f>
        <v>12</v>
      </c>
      <c r="N163" s="46">
        <f>IF(TbRegistroEntradas[[#This Row],[Data do Caixa Previsto]]="",0,YEAR(TbRegistroEntradas[[#This Row],[Data do Caixa Previsto]]))</f>
        <v>2018</v>
      </c>
      <c r="O163" s="46" t="str">
        <f ca="1">IF(AND(TbRegistroEntradas[[#This Row],[Data do Caixa Previsto]]&lt;TODAY(),TbRegistroEntradas[[#This Row],[Data do Caixa Realizado]]=""),"Vencida","Não Vencida")</f>
        <v>Não Vencida</v>
      </c>
      <c r="P163" s="46" t="str">
        <f>IF(TbRegistroEntradas[[#This Row],[Data da Competência]]=TbRegistroEntradas[[#This Row],[Data do Caixa Previsto]],"Vista","Prazo")</f>
        <v>Prazo</v>
      </c>
      <c r="Q1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4" spans="2:17" hidden="1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46">
        <f>IF(TbRegistroEntradas[[#This Row],[Data do Caixa Previsto]]="",0,MONTH(TbRegistroEntradas[[#This Row],[Data do Caixa Previsto]]))</f>
        <v>12</v>
      </c>
      <c r="N164" s="46">
        <f>IF(TbRegistroEntradas[[#This Row],[Data do Caixa Previsto]]="",0,YEAR(TbRegistroEntradas[[#This Row],[Data do Caixa Previsto]]))</f>
        <v>2018</v>
      </c>
      <c r="O164" s="46" t="str">
        <f ca="1">IF(AND(TbRegistroEntradas[[#This Row],[Data do Caixa Previsto]]&lt;TODAY(),TbRegistroEntradas[[#This Row],[Data do Caixa Realizado]]=""),"Vencida","Não Vencida")</f>
        <v>Não Vencida</v>
      </c>
      <c r="P164" s="46" t="str">
        <f>IF(TbRegistroEntradas[[#This Row],[Data da Competência]]=TbRegistroEntradas[[#This Row],[Data do Caixa Previsto]],"Vista","Prazo")</f>
        <v>Prazo</v>
      </c>
      <c r="Q1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10</v>
      </c>
    </row>
    <row r="165" spans="2:17" hidden="1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46">
        <f>IF(TbRegistroEntradas[[#This Row],[Data do Caixa Previsto]]="",0,MONTH(TbRegistroEntradas[[#This Row],[Data do Caixa Previsto]]))</f>
        <v>11</v>
      </c>
      <c r="N165" s="46">
        <f>IF(TbRegistroEntradas[[#This Row],[Data do Caixa Previsto]]="",0,YEAR(TbRegistroEntradas[[#This Row],[Data do Caixa Previsto]]))</f>
        <v>2018</v>
      </c>
      <c r="O165" s="46" t="str">
        <f ca="1">IF(AND(TbRegistroEntradas[[#This Row],[Data do Caixa Previsto]]&lt;TODAY(),TbRegistroEntradas[[#This Row],[Data do Caixa Realizado]]=""),"Vencida","Não Vencida")</f>
        <v>Não Vencida</v>
      </c>
      <c r="P165" s="46" t="str">
        <f>IF(TbRegistroEntradas[[#This Row],[Data da Competência]]=TbRegistroEntradas[[#This Row],[Data do Caixa Previsto]],"Vista","Prazo")</f>
        <v>Vista</v>
      </c>
      <c r="Q1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6" spans="2:17" hidden="1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46">
        <f>IF(TbRegistroEntradas[[#This Row],[Data do Caixa Previsto]]="",0,MONTH(TbRegistroEntradas[[#This Row],[Data do Caixa Previsto]]))</f>
        <v>11</v>
      </c>
      <c r="N166" s="46">
        <f>IF(TbRegistroEntradas[[#This Row],[Data do Caixa Previsto]]="",0,YEAR(TbRegistroEntradas[[#This Row],[Data do Caixa Previsto]]))</f>
        <v>2018</v>
      </c>
      <c r="O166" s="46" t="str">
        <f ca="1">IF(AND(TbRegistroEntradas[[#This Row],[Data do Caixa Previsto]]&lt;TODAY(),TbRegistroEntradas[[#This Row],[Data do Caixa Realizado]]=""),"Vencida","Não Vencida")</f>
        <v>Não Vencida</v>
      </c>
      <c r="P166" s="46" t="str">
        <f>IF(TbRegistroEntradas[[#This Row],[Data da Competência]]=TbRegistroEntradas[[#This Row],[Data do Caixa Previsto]],"Vista","Prazo")</f>
        <v>Vista</v>
      </c>
      <c r="Q1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7" spans="2:17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46">
        <f>IF(TbRegistroEntradas[[#This Row],[Data do Caixa Previsto]]="",0,MONTH(TbRegistroEntradas[[#This Row],[Data do Caixa Previsto]]))</f>
        <v>1</v>
      </c>
      <c r="N167" s="46">
        <f>IF(TbRegistroEntradas[[#This Row],[Data do Caixa Previsto]]="",0,YEAR(TbRegistroEntradas[[#This Row],[Data do Caixa Previsto]]))</f>
        <v>2019</v>
      </c>
      <c r="O167" s="46" t="str">
        <f ca="1">IF(AND(TbRegistroEntradas[[#This Row],[Data do Caixa Previsto]]&lt;TODAY(),TbRegistroEntradas[[#This Row],[Data do Caixa Realizado]]=""),"Vencida","Não Vencida")</f>
        <v>Vencida</v>
      </c>
      <c r="P167" s="46" t="str">
        <f>IF(TbRegistroEntradas[[#This Row],[Data da Competência]]=TbRegistroEntradas[[#This Row],[Data do Caixa Previsto]],"Vista","Prazo")</f>
        <v>Prazo</v>
      </c>
      <c r="Q1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458</v>
      </c>
    </row>
    <row r="168" spans="2:17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46">
        <f>IF(TbRegistroEntradas[[#This Row],[Data do Caixa Previsto]]="",0,MONTH(TbRegistroEntradas[[#This Row],[Data do Caixa Previsto]]))</f>
        <v>1</v>
      </c>
      <c r="N168" s="46">
        <f>IF(TbRegistroEntradas[[#This Row],[Data do Caixa Previsto]]="",0,YEAR(TbRegistroEntradas[[#This Row],[Data do Caixa Previsto]]))</f>
        <v>2019</v>
      </c>
      <c r="O168" s="46" t="str">
        <f ca="1">IF(AND(TbRegistroEntradas[[#This Row],[Data do Caixa Previsto]]&lt;TODAY(),TbRegistroEntradas[[#This Row],[Data do Caixa Realizado]]=""),"Vencida","Não Vencida")</f>
        <v>Não Vencida</v>
      </c>
      <c r="P168" s="46" t="str">
        <f>IF(TbRegistroEntradas[[#This Row],[Data da Competência]]=TbRegistroEntradas[[#This Row],[Data do Caixa Previsto]],"Vista","Prazo")</f>
        <v>Prazo</v>
      </c>
      <c r="Q1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83</v>
      </c>
    </row>
    <row r="169" spans="2:17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46">
        <f>IF(TbRegistroEntradas[[#This Row],[Data do Caixa Previsto]]="",0,MONTH(TbRegistroEntradas[[#This Row],[Data do Caixa Previsto]]))</f>
        <v>1</v>
      </c>
      <c r="N169" s="46">
        <f>IF(TbRegistroEntradas[[#This Row],[Data do Caixa Previsto]]="",0,YEAR(TbRegistroEntradas[[#This Row],[Data do Caixa Previsto]]))</f>
        <v>2019</v>
      </c>
      <c r="O169" s="46" t="str">
        <f ca="1">IF(AND(TbRegistroEntradas[[#This Row],[Data do Caixa Previsto]]&lt;TODAY(),TbRegistroEntradas[[#This Row],[Data do Caixa Realizado]]=""),"Vencida","Não Vencida")</f>
        <v>Não Vencida</v>
      </c>
      <c r="P169" s="46" t="str">
        <f>IF(TbRegistroEntradas[[#This Row],[Data da Competência]]=TbRegistroEntradas[[#This Row],[Data do Caixa Previsto]],"Vista","Prazo")</f>
        <v>Prazo</v>
      </c>
      <c r="Q1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34</v>
      </c>
    </row>
    <row r="170" spans="2:17" hidden="1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46">
        <f>IF(TbRegistroEntradas[[#This Row],[Data do Caixa Previsto]]="",0,MONTH(TbRegistroEntradas[[#This Row],[Data do Caixa Previsto]]))</f>
        <v>12</v>
      </c>
      <c r="N170" s="46">
        <f>IF(TbRegistroEntradas[[#This Row],[Data do Caixa Previsto]]="",0,YEAR(TbRegistroEntradas[[#This Row],[Data do Caixa Previsto]]))</f>
        <v>2018</v>
      </c>
      <c r="O170" s="46" t="str">
        <f ca="1">IF(AND(TbRegistroEntradas[[#This Row],[Data do Caixa Previsto]]&lt;TODAY(),TbRegistroEntradas[[#This Row],[Data do Caixa Realizado]]=""),"Vencida","Não Vencida")</f>
        <v>Não Vencida</v>
      </c>
      <c r="P170" s="46" t="str">
        <f>IF(TbRegistroEntradas[[#This Row],[Data da Competência]]=TbRegistroEntradas[[#This Row],[Data do Caixa Previsto]],"Vista","Prazo")</f>
        <v>Prazo</v>
      </c>
      <c r="Q1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1" spans="2:17" hidden="1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46">
        <f>IF(TbRegistroEntradas[[#This Row],[Data do Caixa Previsto]]="",0,MONTH(TbRegistroEntradas[[#This Row],[Data do Caixa Previsto]]))</f>
        <v>2</v>
      </c>
      <c r="N171" s="46">
        <f>IF(TbRegistroEntradas[[#This Row],[Data do Caixa Previsto]]="",0,YEAR(TbRegistroEntradas[[#This Row],[Data do Caixa Previsto]]))</f>
        <v>2019</v>
      </c>
      <c r="O171" s="46" t="str">
        <f ca="1">IF(AND(TbRegistroEntradas[[#This Row],[Data do Caixa Previsto]]&lt;TODAY(),TbRegistroEntradas[[#This Row],[Data do Caixa Realizado]]=""),"Vencida","Não Vencida")</f>
        <v>Não Vencida</v>
      </c>
      <c r="P171" s="46" t="str">
        <f>IF(TbRegistroEntradas[[#This Row],[Data da Competência]]=TbRegistroEntradas[[#This Row],[Data do Caixa Previsto]],"Vista","Prazo")</f>
        <v>Prazo</v>
      </c>
      <c r="Q1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2" spans="2:17" hidden="1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46">
        <f>IF(TbRegistroEntradas[[#This Row],[Data do Caixa Previsto]]="",0,MONTH(TbRegistroEntradas[[#This Row],[Data do Caixa Previsto]]))</f>
        <v>12</v>
      </c>
      <c r="N172" s="46">
        <f>IF(TbRegistroEntradas[[#This Row],[Data do Caixa Previsto]]="",0,YEAR(TbRegistroEntradas[[#This Row],[Data do Caixa Previsto]]))</f>
        <v>2018</v>
      </c>
      <c r="O172" s="46" t="str">
        <f ca="1">IF(AND(TbRegistroEntradas[[#This Row],[Data do Caixa Previsto]]&lt;TODAY(),TbRegistroEntradas[[#This Row],[Data do Caixa Realizado]]=""),"Vencida","Não Vencida")</f>
        <v>Não Vencida</v>
      </c>
      <c r="P172" s="46" t="str">
        <f>IF(TbRegistroEntradas[[#This Row],[Data da Competência]]=TbRegistroEntradas[[#This Row],[Data do Caixa Previsto]],"Vista","Prazo")</f>
        <v>Vista</v>
      </c>
      <c r="Q1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3" spans="2:17" hidden="1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46">
        <f>IF(TbRegistroEntradas[[#This Row],[Data do Caixa Previsto]]="",0,MONTH(TbRegistroEntradas[[#This Row],[Data do Caixa Previsto]]))</f>
        <v>2</v>
      </c>
      <c r="N173" s="46">
        <f>IF(TbRegistroEntradas[[#This Row],[Data do Caixa Previsto]]="",0,YEAR(TbRegistroEntradas[[#This Row],[Data do Caixa Previsto]]))</f>
        <v>2019</v>
      </c>
      <c r="O173" s="46" t="str">
        <f ca="1">IF(AND(TbRegistroEntradas[[#This Row],[Data do Caixa Previsto]]&lt;TODAY(),TbRegistroEntradas[[#This Row],[Data do Caixa Realizado]]=""),"Vencida","Não Vencida")</f>
        <v>Não Vencida</v>
      </c>
      <c r="P173" s="46" t="str">
        <f>IF(TbRegistroEntradas[[#This Row],[Data da Competência]]=TbRegistroEntradas[[#This Row],[Data do Caixa Previsto]],"Vista","Prazo")</f>
        <v>Prazo</v>
      </c>
      <c r="Q1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4" spans="2:17" hidden="1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46">
        <f>IF(TbRegistroEntradas[[#This Row],[Data do Caixa Previsto]]="",0,MONTH(TbRegistroEntradas[[#This Row],[Data do Caixa Previsto]]))</f>
        <v>1</v>
      </c>
      <c r="N174" s="46">
        <f>IF(TbRegistroEntradas[[#This Row],[Data do Caixa Previsto]]="",0,YEAR(TbRegistroEntradas[[#This Row],[Data do Caixa Previsto]]))</f>
        <v>2019</v>
      </c>
      <c r="O174" s="46" t="str">
        <f ca="1">IF(AND(TbRegistroEntradas[[#This Row],[Data do Caixa Previsto]]&lt;TODAY(),TbRegistroEntradas[[#This Row],[Data do Caixa Realizado]]=""),"Vencida","Não Vencida")</f>
        <v>Não Vencida</v>
      </c>
      <c r="P174" s="46" t="str">
        <f>IF(TbRegistroEntradas[[#This Row],[Data da Competência]]=TbRegistroEntradas[[#This Row],[Data do Caixa Previsto]],"Vista","Prazo")</f>
        <v>Prazo</v>
      </c>
      <c r="Q1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5" spans="2:17" hidden="1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46">
        <f>IF(TbRegistroEntradas[[#This Row],[Data do Caixa Previsto]]="",0,MONTH(TbRegistroEntradas[[#This Row],[Data do Caixa Previsto]]))</f>
        <v>2</v>
      </c>
      <c r="N175" s="46">
        <f>IF(TbRegistroEntradas[[#This Row],[Data do Caixa Previsto]]="",0,YEAR(TbRegistroEntradas[[#This Row],[Data do Caixa Previsto]]))</f>
        <v>2019</v>
      </c>
      <c r="O175" s="46" t="str">
        <f ca="1">IF(AND(TbRegistroEntradas[[#This Row],[Data do Caixa Previsto]]&lt;TODAY(),TbRegistroEntradas[[#This Row],[Data do Caixa Realizado]]=""),"Vencida","Não Vencida")</f>
        <v>Não Vencida</v>
      </c>
      <c r="P175" s="46" t="str">
        <f>IF(TbRegistroEntradas[[#This Row],[Data da Competência]]=TbRegistroEntradas[[#This Row],[Data do Caixa Previsto]],"Vista","Prazo")</f>
        <v>Prazo</v>
      </c>
      <c r="Q1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6" spans="2:17" hidden="1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46">
        <f>IF(TbRegistroEntradas[[#This Row],[Data do Caixa Previsto]]="",0,MONTH(TbRegistroEntradas[[#This Row],[Data do Caixa Previsto]]))</f>
        <v>1</v>
      </c>
      <c r="N176" s="46">
        <f>IF(TbRegistroEntradas[[#This Row],[Data do Caixa Previsto]]="",0,YEAR(TbRegistroEntradas[[#This Row],[Data do Caixa Previsto]]))</f>
        <v>2019</v>
      </c>
      <c r="O176" s="46" t="str">
        <f ca="1">IF(AND(TbRegistroEntradas[[#This Row],[Data do Caixa Previsto]]&lt;TODAY(),TbRegistroEntradas[[#This Row],[Data do Caixa Realizado]]=""),"Vencida","Não Vencida")</f>
        <v>Não Vencida</v>
      </c>
      <c r="P176" s="46" t="str">
        <f>IF(TbRegistroEntradas[[#This Row],[Data da Competência]]=TbRegistroEntradas[[#This Row],[Data do Caixa Previsto]],"Vista","Prazo")</f>
        <v>Vista</v>
      </c>
      <c r="Q1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7" spans="2:17" hidden="1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46">
        <f>IF(TbRegistroEntradas[[#This Row],[Data do Caixa Previsto]]="",0,MONTH(TbRegistroEntradas[[#This Row],[Data do Caixa Previsto]]))</f>
        <v>1</v>
      </c>
      <c r="N177" s="46">
        <f>IF(TbRegistroEntradas[[#This Row],[Data do Caixa Previsto]]="",0,YEAR(TbRegistroEntradas[[#This Row],[Data do Caixa Previsto]]))</f>
        <v>2019</v>
      </c>
      <c r="O177" s="46" t="str">
        <f ca="1">IF(AND(TbRegistroEntradas[[#This Row],[Data do Caixa Previsto]]&lt;TODAY(),TbRegistroEntradas[[#This Row],[Data do Caixa Realizado]]=""),"Vencida","Não Vencida")</f>
        <v>Não Vencida</v>
      </c>
      <c r="P177" s="46" t="str">
        <f>IF(TbRegistroEntradas[[#This Row],[Data da Competência]]=TbRegistroEntradas[[#This Row],[Data do Caixa Previsto]],"Vista","Prazo")</f>
        <v>Vista</v>
      </c>
      <c r="Q1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8" spans="2:17" hidden="1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46">
        <f>IF(TbRegistroEntradas[[#This Row],[Data do Caixa Previsto]]="",0,MONTH(TbRegistroEntradas[[#This Row],[Data do Caixa Previsto]]))</f>
        <v>3</v>
      </c>
      <c r="N178" s="46">
        <f>IF(TbRegistroEntradas[[#This Row],[Data do Caixa Previsto]]="",0,YEAR(TbRegistroEntradas[[#This Row],[Data do Caixa Previsto]]))</f>
        <v>2019</v>
      </c>
      <c r="O178" s="46" t="str">
        <f ca="1">IF(AND(TbRegistroEntradas[[#This Row],[Data do Caixa Previsto]]&lt;TODAY(),TbRegistroEntradas[[#This Row],[Data do Caixa Realizado]]=""),"Vencida","Não Vencida")</f>
        <v>Não Vencida</v>
      </c>
      <c r="P178" s="46" t="str">
        <f>IF(TbRegistroEntradas[[#This Row],[Data da Competência]]=TbRegistroEntradas[[#This Row],[Data do Caixa Previsto]],"Vista","Prazo")</f>
        <v>Prazo</v>
      </c>
      <c r="Q1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9" spans="2:17" hidden="1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46">
        <f>IF(TbRegistroEntradas[[#This Row],[Data do Caixa Previsto]]="",0,MONTH(TbRegistroEntradas[[#This Row],[Data do Caixa Previsto]]))</f>
        <v>1</v>
      </c>
      <c r="N179" s="46">
        <f>IF(TbRegistroEntradas[[#This Row],[Data do Caixa Previsto]]="",0,YEAR(TbRegistroEntradas[[#This Row],[Data do Caixa Previsto]]))</f>
        <v>2019</v>
      </c>
      <c r="O179" s="46" t="str">
        <f ca="1">IF(AND(TbRegistroEntradas[[#This Row],[Data do Caixa Previsto]]&lt;TODAY(),TbRegistroEntradas[[#This Row],[Data do Caixa Realizado]]=""),"Vencida","Não Vencida")</f>
        <v>Não Vencida</v>
      </c>
      <c r="P179" s="46" t="str">
        <f>IF(TbRegistroEntradas[[#This Row],[Data da Competência]]=TbRegistroEntradas[[#This Row],[Data do Caixa Previsto]],"Vista","Prazo")</f>
        <v>Vista</v>
      </c>
      <c r="Q1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0" spans="2:17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46">
        <f>IF(TbRegistroEntradas[[#This Row],[Data do Caixa Previsto]]="",0,MONTH(TbRegistroEntradas[[#This Row],[Data do Caixa Previsto]]))</f>
        <v>2</v>
      </c>
      <c r="N180" s="46">
        <f>IF(TbRegistroEntradas[[#This Row],[Data do Caixa Previsto]]="",0,YEAR(TbRegistroEntradas[[#This Row],[Data do Caixa Previsto]]))</f>
        <v>2019</v>
      </c>
      <c r="O180" s="46" t="str">
        <f ca="1">IF(AND(TbRegistroEntradas[[#This Row],[Data do Caixa Previsto]]&lt;TODAY(),TbRegistroEntradas[[#This Row],[Data do Caixa Realizado]]=""),"Vencida","Não Vencida")</f>
        <v>Vencida</v>
      </c>
      <c r="P180" s="46" t="str">
        <f>IF(TbRegistroEntradas[[#This Row],[Data da Competência]]=TbRegistroEntradas[[#This Row],[Data do Caixa Previsto]],"Vista","Prazo")</f>
        <v>Prazo</v>
      </c>
      <c r="Q1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423</v>
      </c>
    </row>
    <row r="181" spans="2:17" hidden="1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46">
        <f>IF(TbRegistroEntradas[[#This Row],[Data do Caixa Previsto]]="",0,MONTH(TbRegistroEntradas[[#This Row],[Data do Caixa Previsto]]))</f>
        <v>2</v>
      </c>
      <c r="N181" s="46">
        <f>IF(TbRegistroEntradas[[#This Row],[Data do Caixa Previsto]]="",0,YEAR(TbRegistroEntradas[[#This Row],[Data do Caixa Previsto]]))</f>
        <v>2019</v>
      </c>
      <c r="O181" s="46" t="str">
        <f ca="1">IF(AND(TbRegistroEntradas[[#This Row],[Data do Caixa Previsto]]&lt;TODAY(),TbRegistroEntradas[[#This Row],[Data do Caixa Realizado]]=""),"Vencida","Não Vencida")</f>
        <v>Não Vencida</v>
      </c>
      <c r="P181" s="46" t="str">
        <f>IF(TbRegistroEntradas[[#This Row],[Data da Competência]]=TbRegistroEntradas[[#This Row],[Data do Caixa Previsto]],"Vista","Prazo")</f>
        <v>Prazo</v>
      </c>
      <c r="Q1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2" spans="2:17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46">
        <f>IF(TbRegistroEntradas[[#This Row],[Data do Caixa Previsto]]="",0,MONTH(TbRegistroEntradas[[#This Row],[Data do Caixa Previsto]]))</f>
        <v>2</v>
      </c>
      <c r="N182" s="46">
        <f>IF(TbRegistroEntradas[[#This Row],[Data do Caixa Previsto]]="",0,YEAR(TbRegistroEntradas[[#This Row],[Data do Caixa Previsto]]))</f>
        <v>2019</v>
      </c>
      <c r="O182" s="46" t="str">
        <f ca="1">IF(AND(TbRegistroEntradas[[#This Row],[Data do Caixa Previsto]]&lt;TODAY(),TbRegistroEntradas[[#This Row],[Data do Caixa Realizado]]=""),"Vencida","Não Vencida")</f>
        <v>Vencida</v>
      </c>
      <c r="P182" s="46" t="str">
        <f>IF(TbRegistroEntradas[[#This Row],[Data da Competência]]=TbRegistroEntradas[[#This Row],[Data do Caixa Previsto]],"Vista","Prazo")</f>
        <v>Prazo</v>
      </c>
      <c r="Q1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432</v>
      </c>
    </row>
    <row r="183" spans="2:17" hidden="1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46">
        <f>IF(TbRegistroEntradas[[#This Row],[Data do Caixa Previsto]]="",0,MONTH(TbRegistroEntradas[[#This Row],[Data do Caixa Previsto]]))</f>
        <v>1</v>
      </c>
      <c r="N183" s="46">
        <f>IF(TbRegistroEntradas[[#This Row],[Data do Caixa Previsto]]="",0,YEAR(TbRegistroEntradas[[#This Row],[Data do Caixa Previsto]]))</f>
        <v>2019</v>
      </c>
      <c r="O183" s="46" t="str">
        <f ca="1">IF(AND(TbRegistroEntradas[[#This Row],[Data do Caixa Previsto]]&lt;TODAY(),TbRegistroEntradas[[#This Row],[Data do Caixa Realizado]]=""),"Vencida","Não Vencida")</f>
        <v>Não Vencida</v>
      </c>
      <c r="P183" s="46" t="str">
        <f>IF(TbRegistroEntradas[[#This Row],[Data da Competência]]=TbRegistroEntradas[[#This Row],[Data do Caixa Previsto]],"Vista","Prazo")</f>
        <v>Vista</v>
      </c>
      <c r="Q1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4" spans="2:17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46">
        <f>IF(TbRegistroEntradas[[#This Row],[Data do Caixa Previsto]]="",0,MONTH(TbRegistroEntradas[[#This Row],[Data do Caixa Previsto]]))</f>
        <v>3</v>
      </c>
      <c r="N184" s="46">
        <f>IF(TbRegistroEntradas[[#This Row],[Data do Caixa Previsto]]="",0,YEAR(TbRegistroEntradas[[#This Row],[Data do Caixa Previsto]]))</f>
        <v>2019</v>
      </c>
      <c r="O184" s="46" t="str">
        <f ca="1">IF(AND(TbRegistroEntradas[[#This Row],[Data do Caixa Previsto]]&lt;TODAY(),TbRegistroEntradas[[#This Row],[Data do Caixa Realizado]]=""),"Vencida","Não Vencida")</f>
        <v>Não Vencida</v>
      </c>
      <c r="P184" s="46" t="str">
        <f>IF(TbRegistroEntradas[[#This Row],[Data da Competência]]=TbRegistroEntradas[[#This Row],[Data do Caixa Previsto]],"Vista","Prazo")</f>
        <v>Prazo</v>
      </c>
      <c r="Q1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</v>
      </c>
    </row>
    <row r="185" spans="2:17" hidden="1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46">
        <f>IF(TbRegistroEntradas[[#This Row],[Data do Caixa Previsto]]="",0,MONTH(TbRegistroEntradas[[#This Row],[Data do Caixa Previsto]]))</f>
        <v>2</v>
      </c>
      <c r="N185" s="46">
        <f>IF(TbRegistroEntradas[[#This Row],[Data do Caixa Previsto]]="",0,YEAR(TbRegistroEntradas[[#This Row],[Data do Caixa Previsto]]))</f>
        <v>2019</v>
      </c>
      <c r="O185" s="46" t="str">
        <f ca="1">IF(AND(TbRegistroEntradas[[#This Row],[Data do Caixa Previsto]]&lt;TODAY(),TbRegistroEntradas[[#This Row],[Data do Caixa Realizado]]=""),"Vencida","Não Vencida")</f>
        <v>Não Vencida</v>
      </c>
      <c r="P185" s="46" t="str">
        <f>IF(TbRegistroEntradas[[#This Row],[Data da Competência]]=TbRegistroEntradas[[#This Row],[Data do Caixa Previsto]],"Vista","Prazo")</f>
        <v>Prazo</v>
      </c>
      <c r="Q1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6" spans="2:17" hidden="1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46">
        <f>IF(TbRegistroEntradas[[#This Row],[Data do Caixa Previsto]]="",0,MONTH(TbRegistroEntradas[[#This Row],[Data do Caixa Previsto]]))</f>
        <v>3</v>
      </c>
      <c r="N186" s="46">
        <f>IF(TbRegistroEntradas[[#This Row],[Data do Caixa Previsto]]="",0,YEAR(TbRegistroEntradas[[#This Row],[Data do Caixa Previsto]]))</f>
        <v>2019</v>
      </c>
      <c r="O186" s="46" t="str">
        <f ca="1">IF(AND(TbRegistroEntradas[[#This Row],[Data do Caixa Previsto]]&lt;TODAY(),TbRegistroEntradas[[#This Row],[Data do Caixa Realizado]]=""),"Vencida","Não Vencida")</f>
        <v>Não Vencida</v>
      </c>
      <c r="P186" s="46" t="str">
        <f>IF(TbRegistroEntradas[[#This Row],[Data da Competência]]=TbRegistroEntradas[[#This Row],[Data do Caixa Previsto]],"Vista","Prazo")</f>
        <v>Prazo</v>
      </c>
      <c r="Q1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7" spans="2:17" hidden="1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46">
        <f>IF(TbRegistroEntradas[[#This Row],[Data do Caixa Previsto]]="",0,MONTH(TbRegistroEntradas[[#This Row],[Data do Caixa Previsto]]))</f>
        <v>3</v>
      </c>
      <c r="N187" s="46">
        <f>IF(TbRegistroEntradas[[#This Row],[Data do Caixa Previsto]]="",0,YEAR(TbRegistroEntradas[[#This Row],[Data do Caixa Previsto]]))</f>
        <v>2019</v>
      </c>
      <c r="O187" s="46" t="str">
        <f ca="1">IF(AND(TbRegistroEntradas[[#This Row],[Data do Caixa Previsto]]&lt;TODAY(),TbRegistroEntradas[[#This Row],[Data do Caixa Realizado]]=""),"Vencida","Não Vencida")</f>
        <v>Não Vencida</v>
      </c>
      <c r="P187" s="46" t="str">
        <f>IF(TbRegistroEntradas[[#This Row],[Data da Competência]]=TbRegistroEntradas[[#This Row],[Data do Caixa Previsto]],"Vista","Prazo")</f>
        <v>Prazo</v>
      </c>
      <c r="Q1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8" spans="2:17" hidden="1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46">
        <f>IF(TbRegistroEntradas[[#This Row],[Data do Caixa Previsto]]="",0,MONTH(TbRegistroEntradas[[#This Row],[Data do Caixa Previsto]]))</f>
        <v>3</v>
      </c>
      <c r="N188" s="46">
        <f>IF(TbRegistroEntradas[[#This Row],[Data do Caixa Previsto]]="",0,YEAR(TbRegistroEntradas[[#This Row],[Data do Caixa Previsto]]))</f>
        <v>2019</v>
      </c>
      <c r="O188" s="46" t="str">
        <f ca="1">IF(AND(TbRegistroEntradas[[#This Row],[Data do Caixa Previsto]]&lt;TODAY(),TbRegistroEntradas[[#This Row],[Data do Caixa Realizado]]=""),"Vencida","Não Vencida")</f>
        <v>Não Vencida</v>
      </c>
      <c r="P188" s="46" t="str">
        <f>IF(TbRegistroEntradas[[#This Row],[Data da Competência]]=TbRegistroEntradas[[#This Row],[Data do Caixa Previsto]],"Vista","Prazo")</f>
        <v>Prazo</v>
      </c>
      <c r="Q1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9" spans="2:17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46">
        <f>IF(TbRegistroEntradas[[#This Row],[Data do Caixa Previsto]]="",0,MONTH(TbRegistroEntradas[[#This Row],[Data do Caixa Previsto]]))</f>
        <v>2</v>
      </c>
      <c r="N189" s="46">
        <f>IF(TbRegistroEntradas[[#This Row],[Data do Caixa Previsto]]="",0,YEAR(TbRegistroEntradas[[#This Row],[Data do Caixa Previsto]]))</f>
        <v>2019</v>
      </c>
      <c r="O189" s="46" t="str">
        <f ca="1">IF(AND(TbRegistroEntradas[[#This Row],[Data do Caixa Previsto]]&lt;TODAY(),TbRegistroEntradas[[#This Row],[Data do Caixa Realizado]]=""),"Vencida","Não Vencida")</f>
        <v>Não Vencida</v>
      </c>
      <c r="P189" s="46" t="str">
        <f>IF(TbRegistroEntradas[[#This Row],[Data da Competência]]=TbRegistroEntradas[[#This Row],[Data do Caixa Previsto]],"Vista","Prazo")</f>
        <v>Vista</v>
      </c>
      <c r="Q1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41</v>
      </c>
    </row>
    <row r="190" spans="2:17" hidden="1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46">
        <f>IF(TbRegistroEntradas[[#This Row],[Data do Caixa Previsto]]="",0,MONTH(TbRegistroEntradas[[#This Row],[Data do Caixa Previsto]]))</f>
        <v>2</v>
      </c>
      <c r="N190" s="46">
        <f>IF(TbRegistroEntradas[[#This Row],[Data do Caixa Previsto]]="",0,YEAR(TbRegistroEntradas[[#This Row],[Data do Caixa Previsto]]))</f>
        <v>2019</v>
      </c>
      <c r="O190" s="46" t="str">
        <f ca="1">IF(AND(TbRegistroEntradas[[#This Row],[Data do Caixa Previsto]]&lt;TODAY(),TbRegistroEntradas[[#This Row],[Data do Caixa Realizado]]=""),"Vencida","Não Vencida")</f>
        <v>Não Vencida</v>
      </c>
      <c r="P190" s="46" t="str">
        <f>IF(TbRegistroEntradas[[#This Row],[Data da Competência]]=TbRegistroEntradas[[#This Row],[Data do Caixa Previsto]],"Vista","Prazo")</f>
        <v>Vista</v>
      </c>
      <c r="Q1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1" spans="2:17" hidden="1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46">
        <f>IF(TbRegistroEntradas[[#This Row],[Data do Caixa Previsto]]="",0,MONTH(TbRegistroEntradas[[#This Row],[Data do Caixa Previsto]]))</f>
        <v>2</v>
      </c>
      <c r="N191" s="46">
        <f>IF(TbRegistroEntradas[[#This Row],[Data do Caixa Previsto]]="",0,YEAR(TbRegistroEntradas[[#This Row],[Data do Caixa Previsto]]))</f>
        <v>2019</v>
      </c>
      <c r="O191" s="46" t="str">
        <f ca="1">IF(AND(TbRegistroEntradas[[#This Row],[Data do Caixa Previsto]]&lt;TODAY(),TbRegistroEntradas[[#This Row],[Data do Caixa Realizado]]=""),"Vencida","Não Vencida")</f>
        <v>Não Vencida</v>
      </c>
      <c r="P191" s="46" t="str">
        <f>IF(TbRegistroEntradas[[#This Row],[Data da Competência]]=TbRegistroEntradas[[#This Row],[Data do Caixa Previsto]],"Vista","Prazo")</f>
        <v>Vista</v>
      </c>
      <c r="Q1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2" spans="2:17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46">
        <f>IF(TbRegistroEntradas[[#This Row],[Data do Caixa Previsto]]="",0,MONTH(TbRegistroEntradas[[#This Row],[Data do Caixa Previsto]]))</f>
        <v>2</v>
      </c>
      <c r="N192" s="46">
        <f>IF(TbRegistroEntradas[[#This Row],[Data do Caixa Previsto]]="",0,YEAR(TbRegistroEntradas[[#This Row],[Data do Caixa Previsto]]))</f>
        <v>2019</v>
      </c>
      <c r="O192" s="46" t="str">
        <f ca="1">IF(AND(TbRegistroEntradas[[#This Row],[Data do Caixa Previsto]]&lt;TODAY(),TbRegistroEntradas[[#This Row],[Data do Caixa Realizado]]=""),"Vencida","Não Vencida")</f>
        <v>Não Vencida</v>
      </c>
      <c r="P192" s="46" t="str">
        <f>IF(TbRegistroEntradas[[#This Row],[Data da Competência]]=TbRegistroEntradas[[#This Row],[Data do Caixa Previsto]],"Vista","Prazo")</f>
        <v>Vista</v>
      </c>
      <c r="Q1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20</v>
      </c>
    </row>
    <row r="193" spans="2:17" hidden="1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46">
        <f>IF(TbRegistroEntradas[[#This Row],[Data do Caixa Previsto]]="",0,MONTH(TbRegistroEntradas[[#This Row],[Data do Caixa Previsto]]))</f>
        <v>3</v>
      </c>
      <c r="N193" s="46">
        <f>IF(TbRegistroEntradas[[#This Row],[Data do Caixa Previsto]]="",0,YEAR(TbRegistroEntradas[[#This Row],[Data do Caixa Previsto]]))</f>
        <v>2019</v>
      </c>
      <c r="O193" s="46" t="str">
        <f ca="1">IF(AND(TbRegistroEntradas[[#This Row],[Data do Caixa Previsto]]&lt;TODAY(),TbRegistroEntradas[[#This Row],[Data do Caixa Realizado]]=""),"Vencida","Não Vencida")</f>
        <v>Não Vencida</v>
      </c>
      <c r="P193" s="46" t="str">
        <f>IF(TbRegistroEntradas[[#This Row],[Data da Competência]]=TbRegistroEntradas[[#This Row],[Data do Caixa Previsto]],"Vista","Prazo")</f>
        <v>Prazo</v>
      </c>
      <c r="Q1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4" spans="2:17" hidden="1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46">
        <f>IF(TbRegistroEntradas[[#This Row],[Data do Caixa Previsto]]="",0,MONTH(TbRegistroEntradas[[#This Row],[Data do Caixa Previsto]]))</f>
        <v>3</v>
      </c>
      <c r="N194" s="46">
        <f>IF(TbRegistroEntradas[[#This Row],[Data do Caixa Previsto]]="",0,YEAR(TbRegistroEntradas[[#This Row],[Data do Caixa Previsto]]))</f>
        <v>2019</v>
      </c>
      <c r="O194" s="46" t="str">
        <f ca="1">IF(AND(TbRegistroEntradas[[#This Row],[Data do Caixa Previsto]]&lt;TODAY(),TbRegistroEntradas[[#This Row],[Data do Caixa Realizado]]=""),"Vencida","Não Vencida")</f>
        <v>Não Vencida</v>
      </c>
      <c r="P194" s="46" t="str">
        <f>IF(TbRegistroEntradas[[#This Row],[Data da Competência]]=TbRegistroEntradas[[#This Row],[Data do Caixa Previsto]],"Vista","Prazo")</f>
        <v>Prazo</v>
      </c>
      <c r="Q1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5" spans="2:17" hidden="1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46">
        <f>IF(TbRegistroEntradas[[#This Row],[Data do Caixa Previsto]]="",0,MONTH(TbRegistroEntradas[[#This Row],[Data do Caixa Previsto]]))</f>
        <v>2</v>
      </c>
      <c r="N195" s="46">
        <f>IF(TbRegistroEntradas[[#This Row],[Data do Caixa Previsto]]="",0,YEAR(TbRegistroEntradas[[#This Row],[Data do Caixa Previsto]]))</f>
        <v>2019</v>
      </c>
      <c r="O195" s="46" t="str">
        <f ca="1">IF(AND(TbRegistroEntradas[[#This Row],[Data do Caixa Previsto]]&lt;TODAY(),TbRegistroEntradas[[#This Row],[Data do Caixa Realizado]]=""),"Vencida","Não Vencida")</f>
        <v>Não Vencida</v>
      </c>
      <c r="P195" s="46" t="str">
        <f>IF(TbRegistroEntradas[[#This Row],[Data da Competência]]=TbRegistroEntradas[[#This Row],[Data do Caixa Previsto]],"Vista","Prazo")</f>
        <v>Vista</v>
      </c>
      <c r="Q1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6" spans="2:17" hidden="1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46">
        <f>IF(TbRegistroEntradas[[#This Row],[Data do Caixa Previsto]]="",0,MONTH(TbRegistroEntradas[[#This Row],[Data do Caixa Previsto]]))</f>
        <v>3</v>
      </c>
      <c r="N196" s="46">
        <f>IF(TbRegistroEntradas[[#This Row],[Data do Caixa Previsto]]="",0,YEAR(TbRegistroEntradas[[#This Row],[Data do Caixa Previsto]]))</f>
        <v>2019</v>
      </c>
      <c r="O196" s="46" t="str">
        <f ca="1">IF(AND(TbRegistroEntradas[[#This Row],[Data do Caixa Previsto]]&lt;TODAY(),TbRegistroEntradas[[#This Row],[Data do Caixa Realizado]]=""),"Vencida","Não Vencida")</f>
        <v>Não Vencida</v>
      </c>
      <c r="P196" s="46" t="str">
        <f>IF(TbRegistroEntradas[[#This Row],[Data da Competência]]=TbRegistroEntradas[[#This Row],[Data do Caixa Previsto]],"Vista","Prazo")</f>
        <v>Vista</v>
      </c>
      <c r="Q1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7" spans="2:17" hidden="1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46">
        <f>IF(TbRegistroEntradas[[#This Row],[Data do Caixa Previsto]]="",0,MONTH(TbRegistroEntradas[[#This Row],[Data do Caixa Previsto]]))</f>
        <v>3</v>
      </c>
      <c r="N197" s="46">
        <f>IF(TbRegistroEntradas[[#This Row],[Data do Caixa Previsto]]="",0,YEAR(TbRegistroEntradas[[#This Row],[Data do Caixa Previsto]]))</f>
        <v>2019</v>
      </c>
      <c r="O197" s="46" t="str">
        <f ca="1">IF(AND(TbRegistroEntradas[[#This Row],[Data do Caixa Previsto]]&lt;TODAY(),TbRegistroEntradas[[#This Row],[Data do Caixa Realizado]]=""),"Vencida","Não Vencida")</f>
        <v>Não Vencida</v>
      </c>
      <c r="P197" s="46" t="str">
        <f>IF(TbRegistroEntradas[[#This Row],[Data da Competência]]=TbRegistroEntradas[[#This Row],[Data do Caixa Previsto]],"Vista","Prazo")</f>
        <v>Vista</v>
      </c>
      <c r="Q1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8" spans="2:17" hidden="1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46">
        <f>IF(TbRegistroEntradas[[#This Row],[Data do Caixa Previsto]]="",0,MONTH(TbRegistroEntradas[[#This Row],[Data do Caixa Previsto]]))</f>
        <v>4</v>
      </c>
      <c r="N198" s="46">
        <f>IF(TbRegistroEntradas[[#This Row],[Data do Caixa Previsto]]="",0,YEAR(TbRegistroEntradas[[#This Row],[Data do Caixa Previsto]]))</f>
        <v>2019</v>
      </c>
      <c r="O198" s="46" t="str">
        <f ca="1">IF(AND(TbRegistroEntradas[[#This Row],[Data do Caixa Previsto]]&lt;TODAY(),TbRegistroEntradas[[#This Row],[Data do Caixa Realizado]]=""),"Vencida","Não Vencida")</f>
        <v>Não Vencida</v>
      </c>
      <c r="P198" s="46" t="str">
        <f>IF(TbRegistroEntradas[[#This Row],[Data da Competência]]=TbRegistroEntradas[[#This Row],[Data do Caixa Previsto]],"Vista","Prazo")</f>
        <v>Prazo</v>
      </c>
      <c r="Q1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9" spans="2:17" hidden="1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46">
        <f>IF(TbRegistroEntradas[[#This Row],[Data do Caixa Previsto]]="",0,MONTH(TbRegistroEntradas[[#This Row],[Data do Caixa Previsto]]))</f>
        <v>4</v>
      </c>
      <c r="N199" s="46">
        <f>IF(TbRegistroEntradas[[#This Row],[Data do Caixa Previsto]]="",0,YEAR(TbRegistroEntradas[[#This Row],[Data do Caixa Previsto]]))</f>
        <v>2019</v>
      </c>
      <c r="O199" s="46" t="str">
        <f ca="1">IF(AND(TbRegistroEntradas[[#This Row],[Data do Caixa Previsto]]&lt;TODAY(),TbRegistroEntradas[[#This Row],[Data do Caixa Realizado]]=""),"Vencida","Não Vencida")</f>
        <v>Não Vencida</v>
      </c>
      <c r="P199" s="46" t="str">
        <f>IF(TbRegistroEntradas[[#This Row],[Data da Competência]]=TbRegistroEntradas[[#This Row],[Data do Caixa Previsto]],"Vista","Prazo")</f>
        <v>Prazo</v>
      </c>
      <c r="Q1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0" spans="2:17" hidden="1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46">
        <f>IF(TbRegistroEntradas[[#This Row],[Data do Caixa Previsto]]="",0,MONTH(TbRegistroEntradas[[#This Row],[Data do Caixa Previsto]]))</f>
        <v>3</v>
      </c>
      <c r="N200" s="46">
        <f>IF(TbRegistroEntradas[[#This Row],[Data do Caixa Previsto]]="",0,YEAR(TbRegistroEntradas[[#This Row],[Data do Caixa Previsto]]))</f>
        <v>2019</v>
      </c>
      <c r="O200" s="46" t="str">
        <f ca="1">IF(AND(TbRegistroEntradas[[#This Row],[Data do Caixa Previsto]]&lt;TODAY(),TbRegistroEntradas[[#This Row],[Data do Caixa Realizado]]=""),"Vencida","Não Vencida")</f>
        <v>Não Vencida</v>
      </c>
      <c r="P200" s="46" t="str">
        <f>IF(TbRegistroEntradas[[#This Row],[Data da Competência]]=TbRegistroEntradas[[#This Row],[Data do Caixa Previsto]],"Vista","Prazo")</f>
        <v>Vista</v>
      </c>
      <c r="Q2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1" spans="2:17" hidden="1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46">
        <f>IF(TbRegistroEntradas[[#This Row],[Data do Caixa Previsto]]="",0,MONTH(TbRegistroEntradas[[#This Row],[Data do Caixa Previsto]]))</f>
        <v>3</v>
      </c>
      <c r="N201" s="46">
        <f>IF(TbRegistroEntradas[[#This Row],[Data do Caixa Previsto]]="",0,YEAR(TbRegistroEntradas[[#This Row],[Data do Caixa Previsto]]))</f>
        <v>2019</v>
      </c>
      <c r="O201" s="46" t="str">
        <f ca="1">IF(AND(TbRegistroEntradas[[#This Row],[Data do Caixa Previsto]]&lt;TODAY(),TbRegistroEntradas[[#This Row],[Data do Caixa Realizado]]=""),"Vencida","Não Vencida")</f>
        <v>Não Vencida</v>
      </c>
      <c r="P201" s="46" t="str">
        <f>IF(TbRegistroEntradas[[#This Row],[Data da Competência]]=TbRegistroEntradas[[#This Row],[Data do Caixa Previsto]],"Vista","Prazo")</f>
        <v>Vista</v>
      </c>
      <c r="Q2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2" spans="2:17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46">
        <f>IF(TbRegistroEntradas[[#This Row],[Data do Caixa Previsto]]="",0,MONTH(TbRegistroEntradas[[#This Row],[Data do Caixa Previsto]]))</f>
        <v>5</v>
      </c>
      <c r="N202" s="46">
        <f>IF(TbRegistroEntradas[[#This Row],[Data do Caixa Previsto]]="",0,YEAR(TbRegistroEntradas[[#This Row],[Data do Caixa Previsto]]))</f>
        <v>2019</v>
      </c>
      <c r="O202" s="46" t="str">
        <f ca="1">IF(AND(TbRegistroEntradas[[#This Row],[Data do Caixa Previsto]]&lt;TODAY(),TbRegistroEntradas[[#This Row],[Data do Caixa Realizado]]=""),"Vencida","Não Vencida")</f>
        <v>Vencida</v>
      </c>
      <c r="P202" s="46" t="str">
        <f>IF(TbRegistroEntradas[[#This Row],[Data da Competência]]=TbRegistroEntradas[[#This Row],[Data do Caixa Previsto]],"Vista","Prazo")</f>
        <v>Prazo</v>
      </c>
      <c r="Q2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359</v>
      </c>
    </row>
    <row r="203" spans="2:17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46">
        <f>IF(TbRegistroEntradas[[#This Row],[Data do Caixa Previsto]]="",0,MONTH(TbRegistroEntradas[[#This Row],[Data do Caixa Previsto]]))</f>
        <v>5</v>
      </c>
      <c r="N203" s="46">
        <f>IF(TbRegistroEntradas[[#This Row],[Data do Caixa Previsto]]="",0,YEAR(TbRegistroEntradas[[#This Row],[Data do Caixa Previsto]]))</f>
        <v>2019</v>
      </c>
      <c r="O203" s="46" t="str">
        <f ca="1">IF(AND(TbRegistroEntradas[[#This Row],[Data do Caixa Previsto]]&lt;TODAY(),TbRegistroEntradas[[#This Row],[Data do Caixa Realizado]]=""),"Vencida","Não Vencida")</f>
        <v>Não Vencida</v>
      </c>
      <c r="P203" s="46" t="str">
        <f>IF(TbRegistroEntradas[[#This Row],[Data da Competência]]=TbRegistroEntradas[[#This Row],[Data do Caixa Previsto]],"Vista","Prazo")</f>
        <v>Prazo</v>
      </c>
      <c r="Q2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04" spans="2:17" hidden="1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46">
        <f>IF(TbRegistroEntradas[[#This Row],[Data do Caixa Previsto]]="",0,MONTH(TbRegistroEntradas[[#This Row],[Data do Caixa Previsto]]))</f>
        <v>4</v>
      </c>
      <c r="N204" s="46">
        <f>IF(TbRegistroEntradas[[#This Row],[Data do Caixa Previsto]]="",0,YEAR(TbRegistroEntradas[[#This Row],[Data do Caixa Previsto]]))</f>
        <v>2019</v>
      </c>
      <c r="O204" s="46" t="str">
        <f ca="1">IF(AND(TbRegistroEntradas[[#This Row],[Data do Caixa Previsto]]&lt;TODAY(),TbRegistroEntradas[[#This Row],[Data do Caixa Realizado]]=""),"Vencida","Não Vencida")</f>
        <v>Não Vencida</v>
      </c>
      <c r="P204" s="46" t="str">
        <f>IF(TbRegistroEntradas[[#This Row],[Data da Competência]]=TbRegistroEntradas[[#This Row],[Data do Caixa Previsto]],"Vista","Prazo")</f>
        <v>Vista</v>
      </c>
      <c r="Q2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5" spans="2:17" hidden="1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46">
        <f>IF(TbRegistroEntradas[[#This Row],[Data do Caixa Previsto]]="",0,MONTH(TbRegistroEntradas[[#This Row],[Data do Caixa Previsto]]))</f>
        <v>4</v>
      </c>
      <c r="N205" s="46">
        <f>IF(TbRegistroEntradas[[#This Row],[Data do Caixa Previsto]]="",0,YEAR(TbRegistroEntradas[[#This Row],[Data do Caixa Previsto]]))</f>
        <v>2019</v>
      </c>
      <c r="O205" s="46" t="str">
        <f ca="1">IF(AND(TbRegistroEntradas[[#This Row],[Data do Caixa Previsto]]&lt;TODAY(),TbRegistroEntradas[[#This Row],[Data do Caixa Realizado]]=""),"Vencida","Não Vencida")</f>
        <v>Não Vencida</v>
      </c>
      <c r="P205" s="46" t="str">
        <f>IF(TbRegistroEntradas[[#This Row],[Data da Competência]]=TbRegistroEntradas[[#This Row],[Data do Caixa Previsto]],"Vista","Prazo")</f>
        <v>Vista</v>
      </c>
      <c r="Q2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6" spans="2:17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46">
        <f>IF(TbRegistroEntradas[[#This Row],[Data do Caixa Previsto]]="",0,MONTH(TbRegistroEntradas[[#This Row],[Data do Caixa Previsto]]))</f>
        <v>5</v>
      </c>
      <c r="N206" s="46">
        <f>IF(TbRegistroEntradas[[#This Row],[Data do Caixa Previsto]]="",0,YEAR(TbRegistroEntradas[[#This Row],[Data do Caixa Previsto]]))</f>
        <v>2019</v>
      </c>
      <c r="O206" s="46" t="str">
        <f ca="1">IF(AND(TbRegistroEntradas[[#This Row],[Data do Caixa Previsto]]&lt;TODAY(),TbRegistroEntradas[[#This Row],[Data do Caixa Realizado]]=""),"Vencida","Não Vencida")</f>
        <v>Não Vencida</v>
      </c>
      <c r="P206" s="46" t="str">
        <f>IF(TbRegistroEntradas[[#This Row],[Data da Competência]]=TbRegistroEntradas[[#This Row],[Data do Caixa Previsto]],"Vista","Prazo")</f>
        <v>Prazo</v>
      </c>
      <c r="Q2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39</v>
      </c>
    </row>
    <row r="207" spans="2:17" hidden="1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46">
        <f>IF(TbRegistroEntradas[[#This Row],[Data do Caixa Previsto]]="",0,MONTH(TbRegistroEntradas[[#This Row],[Data do Caixa Previsto]]))</f>
        <v>5</v>
      </c>
      <c r="N207" s="46">
        <f>IF(TbRegistroEntradas[[#This Row],[Data do Caixa Previsto]]="",0,YEAR(TbRegistroEntradas[[#This Row],[Data do Caixa Previsto]]))</f>
        <v>2019</v>
      </c>
      <c r="O207" s="46" t="str">
        <f ca="1">IF(AND(TbRegistroEntradas[[#This Row],[Data do Caixa Previsto]]&lt;TODAY(),TbRegistroEntradas[[#This Row],[Data do Caixa Realizado]]=""),"Vencida","Não Vencida")</f>
        <v>Não Vencida</v>
      </c>
      <c r="P207" s="46" t="str">
        <f>IF(TbRegistroEntradas[[#This Row],[Data da Competência]]=TbRegistroEntradas[[#This Row],[Data do Caixa Previsto]],"Vista","Prazo")</f>
        <v>Prazo</v>
      </c>
      <c r="Q2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8" spans="2:17" hidden="1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46">
        <f>IF(TbRegistroEntradas[[#This Row],[Data do Caixa Previsto]]="",0,MONTH(TbRegistroEntradas[[#This Row],[Data do Caixa Previsto]]))</f>
        <v>5</v>
      </c>
      <c r="N208" s="46">
        <f>IF(TbRegistroEntradas[[#This Row],[Data do Caixa Previsto]]="",0,YEAR(TbRegistroEntradas[[#This Row],[Data do Caixa Previsto]]))</f>
        <v>2019</v>
      </c>
      <c r="O208" s="46" t="str">
        <f ca="1">IF(AND(TbRegistroEntradas[[#This Row],[Data do Caixa Previsto]]&lt;TODAY(),TbRegistroEntradas[[#This Row],[Data do Caixa Realizado]]=""),"Vencida","Não Vencida")</f>
        <v>Não Vencida</v>
      </c>
      <c r="P208" s="46" t="str">
        <f>IF(TbRegistroEntradas[[#This Row],[Data da Competência]]=TbRegistroEntradas[[#This Row],[Data do Caixa Previsto]],"Vista","Prazo")</f>
        <v>Prazo</v>
      </c>
      <c r="Q2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9" spans="2:17" hidden="1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46">
        <f>IF(TbRegistroEntradas[[#This Row],[Data do Caixa Previsto]]="",0,MONTH(TbRegistroEntradas[[#This Row],[Data do Caixa Previsto]]))</f>
        <v>4</v>
      </c>
      <c r="N209" s="46">
        <f>IF(TbRegistroEntradas[[#This Row],[Data do Caixa Previsto]]="",0,YEAR(TbRegistroEntradas[[#This Row],[Data do Caixa Previsto]]))</f>
        <v>2019</v>
      </c>
      <c r="O209" s="46" t="str">
        <f ca="1">IF(AND(TbRegistroEntradas[[#This Row],[Data do Caixa Previsto]]&lt;TODAY(),TbRegistroEntradas[[#This Row],[Data do Caixa Realizado]]=""),"Vencida","Não Vencida")</f>
        <v>Não Vencida</v>
      </c>
      <c r="P209" s="46" t="str">
        <f>IF(TbRegistroEntradas[[#This Row],[Data da Competência]]=TbRegistroEntradas[[#This Row],[Data do Caixa Previsto]],"Vista","Prazo")</f>
        <v>Vista</v>
      </c>
      <c r="Q2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0" spans="2:17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46">
        <f>IF(TbRegistroEntradas[[#This Row],[Data do Caixa Previsto]]="",0,MONTH(TbRegistroEntradas[[#This Row],[Data do Caixa Previsto]]))</f>
        <v>4</v>
      </c>
      <c r="N210" s="46">
        <f>IF(TbRegistroEntradas[[#This Row],[Data do Caixa Previsto]]="",0,YEAR(TbRegistroEntradas[[#This Row],[Data do Caixa Previsto]]))</f>
        <v>2019</v>
      </c>
      <c r="O210" s="46" t="str">
        <f ca="1">IF(AND(TbRegistroEntradas[[#This Row],[Data do Caixa Previsto]]&lt;TODAY(),TbRegistroEntradas[[#This Row],[Data do Caixa Realizado]]=""),"Vencida","Não Vencida")</f>
        <v>Vencida</v>
      </c>
      <c r="P210" s="46" t="str">
        <f>IF(TbRegistroEntradas[[#This Row],[Data da Competência]]=TbRegistroEntradas[[#This Row],[Data do Caixa Previsto]],"Vista","Prazo")</f>
        <v>Prazo</v>
      </c>
      <c r="Q2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366</v>
      </c>
    </row>
    <row r="211" spans="2:17" hidden="1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46">
        <f>IF(TbRegistroEntradas[[#This Row],[Data do Caixa Previsto]]="",0,MONTH(TbRegistroEntradas[[#This Row],[Data do Caixa Previsto]]))</f>
        <v>5</v>
      </c>
      <c r="N211" s="46">
        <f>IF(TbRegistroEntradas[[#This Row],[Data do Caixa Previsto]]="",0,YEAR(TbRegistroEntradas[[#This Row],[Data do Caixa Previsto]]))</f>
        <v>2019</v>
      </c>
      <c r="O211" s="46" t="str">
        <f ca="1">IF(AND(TbRegistroEntradas[[#This Row],[Data do Caixa Previsto]]&lt;TODAY(),TbRegistroEntradas[[#This Row],[Data do Caixa Realizado]]=""),"Vencida","Não Vencida")</f>
        <v>Não Vencida</v>
      </c>
      <c r="P211" s="46" t="str">
        <f>IF(TbRegistroEntradas[[#This Row],[Data da Competência]]=TbRegistroEntradas[[#This Row],[Data do Caixa Previsto]],"Vista","Prazo")</f>
        <v>Prazo</v>
      </c>
      <c r="Q2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2" spans="2:17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46">
        <f>IF(TbRegistroEntradas[[#This Row],[Data do Caixa Previsto]]="",0,MONTH(TbRegistroEntradas[[#This Row],[Data do Caixa Previsto]]))</f>
        <v>6</v>
      </c>
      <c r="N212" s="46">
        <f>IF(TbRegistroEntradas[[#This Row],[Data do Caixa Previsto]]="",0,YEAR(TbRegistroEntradas[[#This Row],[Data do Caixa Previsto]]))</f>
        <v>2019</v>
      </c>
      <c r="O212" s="46" t="str">
        <f ca="1">IF(AND(TbRegistroEntradas[[#This Row],[Data do Caixa Previsto]]&lt;TODAY(),TbRegistroEntradas[[#This Row],[Data do Caixa Realizado]]=""),"Vencida","Não Vencida")</f>
        <v>Não Vencida</v>
      </c>
      <c r="P212" s="46" t="str">
        <f>IF(TbRegistroEntradas[[#This Row],[Data da Competência]]=TbRegistroEntradas[[#This Row],[Data do Caixa Previsto]],"Vista","Prazo")</f>
        <v>Prazo</v>
      </c>
      <c r="Q2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213" spans="2:17" hidden="1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46">
        <f>IF(TbRegistroEntradas[[#This Row],[Data do Caixa Previsto]]="",0,MONTH(TbRegistroEntradas[[#This Row],[Data do Caixa Previsto]]))</f>
        <v>5</v>
      </c>
      <c r="N213" s="46">
        <f>IF(TbRegistroEntradas[[#This Row],[Data do Caixa Previsto]]="",0,YEAR(TbRegistroEntradas[[#This Row],[Data do Caixa Previsto]]))</f>
        <v>2019</v>
      </c>
      <c r="O213" s="46" t="str">
        <f ca="1">IF(AND(TbRegistroEntradas[[#This Row],[Data do Caixa Previsto]]&lt;TODAY(),TbRegistroEntradas[[#This Row],[Data do Caixa Realizado]]=""),"Vencida","Não Vencida")</f>
        <v>Não Vencida</v>
      </c>
      <c r="P213" s="46" t="str">
        <f>IF(TbRegistroEntradas[[#This Row],[Data da Competência]]=TbRegistroEntradas[[#This Row],[Data do Caixa Previsto]],"Vista","Prazo")</f>
        <v>Prazo</v>
      </c>
      <c r="Q2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4" spans="2:17" hidden="1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46">
        <f>IF(TbRegistroEntradas[[#This Row],[Data do Caixa Previsto]]="",0,MONTH(TbRegistroEntradas[[#This Row],[Data do Caixa Previsto]]))</f>
        <v>5</v>
      </c>
      <c r="N214" s="46">
        <f>IF(TbRegistroEntradas[[#This Row],[Data do Caixa Previsto]]="",0,YEAR(TbRegistroEntradas[[#This Row],[Data do Caixa Previsto]]))</f>
        <v>2019</v>
      </c>
      <c r="O214" s="46" t="str">
        <f ca="1">IF(AND(TbRegistroEntradas[[#This Row],[Data do Caixa Previsto]]&lt;TODAY(),TbRegistroEntradas[[#This Row],[Data do Caixa Realizado]]=""),"Vencida","Não Vencida")</f>
        <v>Não Vencida</v>
      </c>
      <c r="P214" s="46" t="str">
        <f>IF(TbRegistroEntradas[[#This Row],[Data da Competência]]=TbRegistroEntradas[[#This Row],[Data do Caixa Previsto]],"Vista","Prazo")</f>
        <v>Prazo</v>
      </c>
      <c r="Q2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5" spans="2:17" hidden="1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46">
        <f>IF(TbRegistroEntradas[[#This Row],[Data do Caixa Previsto]]="",0,MONTH(TbRegistroEntradas[[#This Row],[Data do Caixa Previsto]]))</f>
        <v>5</v>
      </c>
      <c r="N215" s="46">
        <f>IF(TbRegistroEntradas[[#This Row],[Data do Caixa Previsto]]="",0,YEAR(TbRegistroEntradas[[#This Row],[Data do Caixa Previsto]]))</f>
        <v>2019</v>
      </c>
      <c r="O215" s="46" t="str">
        <f ca="1">IF(AND(TbRegistroEntradas[[#This Row],[Data do Caixa Previsto]]&lt;TODAY(),TbRegistroEntradas[[#This Row],[Data do Caixa Realizado]]=""),"Vencida","Não Vencida")</f>
        <v>Não Vencida</v>
      </c>
      <c r="P215" s="46" t="str">
        <f>IF(TbRegistroEntradas[[#This Row],[Data da Competência]]=TbRegistroEntradas[[#This Row],[Data do Caixa Previsto]],"Vista","Prazo")</f>
        <v>Vista</v>
      </c>
      <c r="Q2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6" spans="2:17" hidden="1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46">
        <f>IF(TbRegistroEntradas[[#This Row],[Data do Caixa Previsto]]="",0,MONTH(TbRegistroEntradas[[#This Row],[Data do Caixa Previsto]]))</f>
        <v>6</v>
      </c>
      <c r="N216" s="46">
        <f>IF(TbRegistroEntradas[[#This Row],[Data do Caixa Previsto]]="",0,YEAR(TbRegistroEntradas[[#This Row],[Data do Caixa Previsto]]))</f>
        <v>2019</v>
      </c>
      <c r="O216" s="46" t="str">
        <f ca="1">IF(AND(TbRegistroEntradas[[#This Row],[Data do Caixa Previsto]]&lt;TODAY(),TbRegistroEntradas[[#This Row],[Data do Caixa Realizado]]=""),"Vencida","Não Vencida")</f>
        <v>Não Vencida</v>
      </c>
      <c r="P216" s="46" t="str">
        <f>IF(TbRegistroEntradas[[#This Row],[Data da Competência]]=TbRegistroEntradas[[#This Row],[Data do Caixa Previsto]],"Vista","Prazo")</f>
        <v>Prazo</v>
      </c>
      <c r="Q2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7" spans="2:17" hidden="1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46">
        <f>IF(TbRegistroEntradas[[#This Row],[Data do Caixa Previsto]]="",0,MONTH(TbRegistroEntradas[[#This Row],[Data do Caixa Previsto]]))</f>
        <v>5</v>
      </c>
      <c r="N217" s="46">
        <f>IF(TbRegistroEntradas[[#This Row],[Data do Caixa Previsto]]="",0,YEAR(TbRegistroEntradas[[#This Row],[Data do Caixa Previsto]]))</f>
        <v>2019</v>
      </c>
      <c r="O217" s="46" t="str">
        <f ca="1">IF(AND(TbRegistroEntradas[[#This Row],[Data do Caixa Previsto]]&lt;TODAY(),TbRegistroEntradas[[#This Row],[Data do Caixa Realizado]]=""),"Vencida","Não Vencida")</f>
        <v>Não Vencida</v>
      </c>
      <c r="P217" s="46" t="str">
        <f>IF(TbRegistroEntradas[[#This Row],[Data da Competência]]=TbRegistroEntradas[[#This Row],[Data do Caixa Previsto]],"Vista","Prazo")</f>
        <v>Vista</v>
      </c>
      <c r="Q2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8" spans="2:17" hidden="1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46">
        <f>IF(TbRegistroEntradas[[#This Row],[Data do Caixa Previsto]]="",0,MONTH(TbRegistroEntradas[[#This Row],[Data do Caixa Previsto]]))</f>
        <v>5</v>
      </c>
      <c r="N218" s="46">
        <f>IF(TbRegistroEntradas[[#This Row],[Data do Caixa Previsto]]="",0,YEAR(TbRegistroEntradas[[#This Row],[Data do Caixa Previsto]]))</f>
        <v>2019</v>
      </c>
      <c r="O218" s="46" t="str">
        <f ca="1">IF(AND(TbRegistroEntradas[[#This Row],[Data do Caixa Previsto]]&lt;TODAY(),TbRegistroEntradas[[#This Row],[Data do Caixa Realizado]]=""),"Vencida","Não Vencida")</f>
        <v>Não Vencida</v>
      </c>
      <c r="P218" s="46" t="str">
        <f>IF(TbRegistroEntradas[[#This Row],[Data da Competência]]=TbRegistroEntradas[[#This Row],[Data do Caixa Previsto]],"Vista","Prazo")</f>
        <v>Prazo</v>
      </c>
      <c r="Q2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9" spans="2:17" hidden="1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46">
        <f>IF(TbRegistroEntradas[[#This Row],[Data do Caixa Previsto]]="",0,MONTH(TbRegistroEntradas[[#This Row],[Data do Caixa Previsto]]))</f>
        <v>5</v>
      </c>
      <c r="N219" s="46">
        <f>IF(TbRegistroEntradas[[#This Row],[Data do Caixa Previsto]]="",0,YEAR(TbRegistroEntradas[[#This Row],[Data do Caixa Previsto]]))</f>
        <v>2019</v>
      </c>
      <c r="O219" s="46" t="str">
        <f ca="1">IF(AND(TbRegistroEntradas[[#This Row],[Data do Caixa Previsto]]&lt;TODAY(),TbRegistroEntradas[[#This Row],[Data do Caixa Realizado]]=""),"Vencida","Não Vencida")</f>
        <v>Não Vencida</v>
      </c>
      <c r="P219" s="46" t="str">
        <f>IF(TbRegistroEntradas[[#This Row],[Data da Competência]]=TbRegistroEntradas[[#This Row],[Data do Caixa Previsto]],"Vista","Prazo")</f>
        <v>Vista</v>
      </c>
      <c r="Q2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0" spans="2:17" hidden="1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46">
        <f>IF(TbRegistroEntradas[[#This Row],[Data do Caixa Previsto]]="",0,MONTH(TbRegistroEntradas[[#This Row],[Data do Caixa Previsto]]))</f>
        <v>6</v>
      </c>
      <c r="N220" s="46">
        <f>IF(TbRegistroEntradas[[#This Row],[Data do Caixa Previsto]]="",0,YEAR(TbRegistroEntradas[[#This Row],[Data do Caixa Previsto]]))</f>
        <v>2019</v>
      </c>
      <c r="O220" s="46" t="str">
        <f ca="1">IF(AND(TbRegistroEntradas[[#This Row],[Data do Caixa Previsto]]&lt;TODAY(),TbRegistroEntradas[[#This Row],[Data do Caixa Realizado]]=""),"Vencida","Não Vencida")</f>
        <v>Não Vencida</v>
      </c>
      <c r="P220" s="46" t="str">
        <f>IF(TbRegistroEntradas[[#This Row],[Data da Competência]]=TbRegistroEntradas[[#This Row],[Data do Caixa Previsto]],"Vista","Prazo")</f>
        <v>Prazo</v>
      </c>
      <c r="Q2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1" spans="2:17" hidden="1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46">
        <f>IF(TbRegistroEntradas[[#This Row],[Data do Caixa Previsto]]="",0,MONTH(TbRegistroEntradas[[#This Row],[Data do Caixa Previsto]]))</f>
        <v>6</v>
      </c>
      <c r="N221" s="46">
        <f>IF(TbRegistroEntradas[[#This Row],[Data do Caixa Previsto]]="",0,YEAR(TbRegistroEntradas[[#This Row],[Data do Caixa Previsto]]))</f>
        <v>2019</v>
      </c>
      <c r="O221" s="46" t="str">
        <f ca="1">IF(AND(TbRegistroEntradas[[#This Row],[Data do Caixa Previsto]]&lt;TODAY(),TbRegistroEntradas[[#This Row],[Data do Caixa Realizado]]=""),"Vencida","Não Vencida")</f>
        <v>Não Vencida</v>
      </c>
      <c r="P221" s="46" t="str">
        <f>IF(TbRegistroEntradas[[#This Row],[Data da Competência]]=TbRegistroEntradas[[#This Row],[Data do Caixa Previsto]],"Vista","Prazo")</f>
        <v>Prazo</v>
      </c>
      <c r="Q2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2" spans="2:17" hidden="1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46">
        <f>IF(TbRegistroEntradas[[#This Row],[Data do Caixa Previsto]]="",0,MONTH(TbRegistroEntradas[[#This Row],[Data do Caixa Previsto]]))</f>
        <v>6</v>
      </c>
      <c r="N222" s="46">
        <f>IF(TbRegistroEntradas[[#This Row],[Data do Caixa Previsto]]="",0,YEAR(TbRegistroEntradas[[#This Row],[Data do Caixa Previsto]]))</f>
        <v>2019</v>
      </c>
      <c r="O222" s="46" t="str">
        <f ca="1">IF(AND(TbRegistroEntradas[[#This Row],[Data do Caixa Previsto]]&lt;TODAY(),TbRegistroEntradas[[#This Row],[Data do Caixa Realizado]]=""),"Vencida","Não Vencida")</f>
        <v>Não Vencida</v>
      </c>
      <c r="P222" s="46" t="str">
        <f>IF(TbRegistroEntradas[[#This Row],[Data da Competência]]=TbRegistroEntradas[[#This Row],[Data do Caixa Previsto]],"Vista","Prazo")</f>
        <v>Prazo</v>
      </c>
      <c r="Q2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3" spans="2:17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46">
        <f>IF(TbRegistroEntradas[[#This Row],[Data do Caixa Previsto]]="",0,MONTH(TbRegistroEntradas[[#This Row],[Data do Caixa Previsto]]))</f>
        <v>5</v>
      </c>
      <c r="N223" s="46">
        <f>IF(TbRegistroEntradas[[#This Row],[Data do Caixa Previsto]]="",0,YEAR(TbRegistroEntradas[[#This Row],[Data do Caixa Previsto]]))</f>
        <v>2019</v>
      </c>
      <c r="O223" s="46" t="str">
        <f ca="1">IF(AND(TbRegistroEntradas[[#This Row],[Data do Caixa Previsto]]&lt;TODAY(),TbRegistroEntradas[[#This Row],[Data do Caixa Realizado]]=""),"Vencida","Não Vencida")</f>
        <v>Vencida</v>
      </c>
      <c r="P223" s="46" t="str">
        <f>IF(TbRegistroEntradas[[#This Row],[Data da Competência]]=TbRegistroEntradas[[#This Row],[Data do Caixa Previsto]],"Vista","Prazo")</f>
        <v>Vista</v>
      </c>
      <c r="Q2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334</v>
      </c>
    </row>
    <row r="224" spans="2:17" hidden="1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46">
        <f>IF(TbRegistroEntradas[[#This Row],[Data do Caixa Previsto]]="",0,MONTH(TbRegistroEntradas[[#This Row],[Data do Caixa Previsto]]))</f>
        <v>7</v>
      </c>
      <c r="N224" s="46">
        <f>IF(TbRegistroEntradas[[#This Row],[Data do Caixa Previsto]]="",0,YEAR(TbRegistroEntradas[[#This Row],[Data do Caixa Previsto]]))</f>
        <v>2019</v>
      </c>
      <c r="O224" s="46" t="str">
        <f ca="1">IF(AND(TbRegistroEntradas[[#This Row],[Data do Caixa Previsto]]&lt;TODAY(),TbRegistroEntradas[[#This Row],[Data do Caixa Realizado]]=""),"Vencida","Não Vencida")</f>
        <v>Não Vencida</v>
      </c>
      <c r="P224" s="46" t="str">
        <f>IF(TbRegistroEntradas[[#This Row],[Data da Competência]]=TbRegistroEntradas[[#This Row],[Data do Caixa Previsto]],"Vista","Prazo")</f>
        <v>Prazo</v>
      </c>
      <c r="Q2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5" spans="2:17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46">
        <f>IF(TbRegistroEntradas[[#This Row],[Data do Caixa Previsto]]="",0,MONTH(TbRegistroEntradas[[#This Row],[Data do Caixa Previsto]]))</f>
        <v>7</v>
      </c>
      <c r="N225" s="46">
        <f>IF(TbRegistroEntradas[[#This Row],[Data do Caixa Previsto]]="",0,YEAR(TbRegistroEntradas[[#This Row],[Data do Caixa Previsto]]))</f>
        <v>2019</v>
      </c>
      <c r="O225" s="46" t="str">
        <f ca="1">IF(AND(TbRegistroEntradas[[#This Row],[Data do Caixa Previsto]]&lt;TODAY(),TbRegistroEntradas[[#This Row],[Data do Caixa Realizado]]=""),"Vencida","Não Vencida")</f>
        <v>Vencida</v>
      </c>
      <c r="P225" s="46" t="str">
        <f>IF(TbRegistroEntradas[[#This Row],[Data da Competência]]=TbRegistroEntradas[[#This Row],[Data do Caixa Previsto]],"Vista","Prazo")</f>
        <v>Prazo</v>
      </c>
      <c r="Q2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297</v>
      </c>
    </row>
    <row r="226" spans="2:17" hidden="1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46">
        <f>IF(TbRegistroEntradas[[#This Row],[Data do Caixa Previsto]]="",0,MONTH(TbRegistroEntradas[[#This Row],[Data do Caixa Previsto]]))</f>
        <v>6</v>
      </c>
      <c r="N226" s="46">
        <f>IF(TbRegistroEntradas[[#This Row],[Data do Caixa Previsto]]="",0,YEAR(TbRegistroEntradas[[#This Row],[Data do Caixa Previsto]]))</f>
        <v>2019</v>
      </c>
      <c r="O226" s="46" t="str">
        <f ca="1">IF(AND(TbRegistroEntradas[[#This Row],[Data do Caixa Previsto]]&lt;TODAY(),TbRegistroEntradas[[#This Row],[Data do Caixa Realizado]]=""),"Vencida","Não Vencida")</f>
        <v>Não Vencida</v>
      </c>
      <c r="P226" s="46" t="str">
        <f>IF(TbRegistroEntradas[[#This Row],[Data da Competência]]=TbRegistroEntradas[[#This Row],[Data do Caixa Previsto]],"Vista","Prazo")</f>
        <v>Prazo</v>
      </c>
      <c r="Q2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7" spans="2:17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46">
        <f>IF(TbRegistroEntradas[[#This Row],[Data do Caixa Previsto]]="",0,MONTH(TbRegistroEntradas[[#This Row],[Data do Caixa Previsto]]))</f>
        <v>6</v>
      </c>
      <c r="N227" s="46">
        <f>IF(TbRegistroEntradas[[#This Row],[Data do Caixa Previsto]]="",0,YEAR(TbRegistroEntradas[[#This Row],[Data do Caixa Previsto]]))</f>
        <v>2019</v>
      </c>
      <c r="O227" s="46" t="str">
        <f ca="1">IF(AND(TbRegistroEntradas[[#This Row],[Data do Caixa Previsto]]&lt;TODAY(),TbRegistroEntradas[[#This Row],[Data do Caixa Realizado]]=""),"Vencida","Não Vencida")</f>
        <v>Não Vencida</v>
      </c>
      <c r="P227" s="46" t="str">
        <f>IF(TbRegistroEntradas[[#This Row],[Data da Competência]]=TbRegistroEntradas[[#This Row],[Data do Caixa Previsto]],"Vista","Prazo")</f>
        <v>Prazo</v>
      </c>
      <c r="Q2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228" spans="2:17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46">
        <f>IF(TbRegistroEntradas[[#This Row],[Data do Caixa Previsto]]="",0,MONTH(TbRegistroEntradas[[#This Row],[Data do Caixa Previsto]]))</f>
        <v>7</v>
      </c>
      <c r="N228" s="46">
        <f>IF(TbRegistroEntradas[[#This Row],[Data do Caixa Previsto]]="",0,YEAR(TbRegistroEntradas[[#This Row],[Data do Caixa Previsto]]))</f>
        <v>2019</v>
      </c>
      <c r="O228" s="46" t="str">
        <f ca="1">IF(AND(TbRegistroEntradas[[#This Row],[Data do Caixa Previsto]]&lt;TODAY(),TbRegistroEntradas[[#This Row],[Data do Caixa Realizado]]=""),"Vencida","Não Vencida")</f>
        <v>Não Vencida</v>
      </c>
      <c r="P228" s="46" t="str">
        <f>IF(TbRegistroEntradas[[#This Row],[Data da Competência]]=TbRegistroEntradas[[#This Row],[Data do Caixa Previsto]],"Vista","Prazo")</f>
        <v>Prazo</v>
      </c>
      <c r="Q2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</v>
      </c>
    </row>
    <row r="229" spans="2:17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46">
        <f>IF(TbRegistroEntradas[[#This Row],[Data do Caixa Previsto]]="",0,MONTH(TbRegistroEntradas[[#This Row],[Data do Caixa Previsto]]))</f>
        <v>6</v>
      </c>
      <c r="N229" s="46">
        <f>IF(TbRegistroEntradas[[#This Row],[Data do Caixa Previsto]]="",0,YEAR(TbRegistroEntradas[[#This Row],[Data do Caixa Previsto]]))</f>
        <v>2019</v>
      </c>
      <c r="O229" s="46" t="str">
        <f ca="1">IF(AND(TbRegistroEntradas[[#This Row],[Data do Caixa Previsto]]&lt;TODAY(),TbRegistroEntradas[[#This Row],[Data do Caixa Realizado]]=""),"Vencida","Não Vencida")</f>
        <v>Vencida</v>
      </c>
      <c r="P229" s="46" t="str">
        <f>IF(TbRegistroEntradas[[#This Row],[Data da Competência]]=TbRegistroEntradas[[#This Row],[Data do Caixa Previsto]],"Vista","Prazo")</f>
        <v>Vista</v>
      </c>
      <c r="Q2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314</v>
      </c>
    </row>
    <row r="230" spans="2:17" hidden="1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46">
        <f>IF(TbRegistroEntradas[[#This Row],[Data do Caixa Previsto]]="",0,MONTH(TbRegistroEntradas[[#This Row],[Data do Caixa Previsto]]))</f>
        <v>7</v>
      </c>
      <c r="N230" s="46">
        <f>IF(TbRegistroEntradas[[#This Row],[Data do Caixa Previsto]]="",0,YEAR(TbRegistroEntradas[[#This Row],[Data do Caixa Previsto]]))</f>
        <v>2019</v>
      </c>
      <c r="O230" s="46" t="str">
        <f ca="1">IF(AND(TbRegistroEntradas[[#This Row],[Data do Caixa Previsto]]&lt;TODAY(),TbRegistroEntradas[[#This Row],[Data do Caixa Realizado]]=""),"Vencida","Não Vencida")</f>
        <v>Não Vencida</v>
      </c>
      <c r="P230" s="46" t="str">
        <f>IF(TbRegistroEntradas[[#This Row],[Data da Competência]]=TbRegistroEntradas[[#This Row],[Data do Caixa Previsto]],"Vista","Prazo")</f>
        <v>Prazo</v>
      </c>
      <c r="Q2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1" spans="2:17" hidden="1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46">
        <f>IF(TbRegistroEntradas[[#This Row],[Data do Caixa Previsto]]="",0,MONTH(TbRegistroEntradas[[#This Row],[Data do Caixa Previsto]]))</f>
        <v>8</v>
      </c>
      <c r="N231" s="46">
        <f>IF(TbRegistroEntradas[[#This Row],[Data do Caixa Previsto]]="",0,YEAR(TbRegistroEntradas[[#This Row],[Data do Caixa Previsto]]))</f>
        <v>2019</v>
      </c>
      <c r="O231" s="46" t="str">
        <f ca="1">IF(AND(TbRegistroEntradas[[#This Row],[Data do Caixa Previsto]]&lt;TODAY(),TbRegistroEntradas[[#This Row],[Data do Caixa Realizado]]=""),"Vencida","Não Vencida")</f>
        <v>Não Vencida</v>
      </c>
      <c r="P231" s="46" t="str">
        <f>IF(TbRegistroEntradas[[#This Row],[Data da Competência]]=TbRegistroEntradas[[#This Row],[Data do Caixa Previsto]],"Vista","Prazo")</f>
        <v>Prazo</v>
      </c>
      <c r="Q2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2" spans="2:17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46">
        <f>IF(TbRegistroEntradas[[#This Row],[Data do Caixa Previsto]]="",0,MONTH(TbRegistroEntradas[[#This Row],[Data do Caixa Previsto]]))</f>
        <v>6</v>
      </c>
      <c r="N232" s="46">
        <f>IF(TbRegistroEntradas[[#This Row],[Data do Caixa Previsto]]="",0,YEAR(TbRegistroEntradas[[#This Row],[Data do Caixa Previsto]]))</f>
        <v>2019</v>
      </c>
      <c r="O232" s="46" t="str">
        <f ca="1">IF(AND(TbRegistroEntradas[[#This Row],[Data do Caixa Previsto]]&lt;TODAY(),TbRegistroEntradas[[#This Row],[Data do Caixa Realizado]]=""),"Vencida","Não Vencida")</f>
        <v>Não Vencida</v>
      </c>
      <c r="P232" s="46" t="str">
        <f>IF(TbRegistroEntradas[[#This Row],[Data da Competência]]=TbRegistroEntradas[[#This Row],[Data do Caixa Previsto]],"Vista","Prazo")</f>
        <v>Prazo</v>
      </c>
      <c r="Q2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33" spans="2:17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46">
        <f>IF(TbRegistroEntradas[[#This Row],[Data do Caixa Previsto]]="",0,MONTH(TbRegistroEntradas[[#This Row],[Data do Caixa Previsto]]))</f>
        <v>7</v>
      </c>
      <c r="N233" s="46">
        <f>IF(TbRegistroEntradas[[#This Row],[Data do Caixa Previsto]]="",0,YEAR(TbRegistroEntradas[[#This Row],[Data do Caixa Previsto]]))</f>
        <v>2019</v>
      </c>
      <c r="O233" s="46" t="str">
        <f ca="1">IF(AND(TbRegistroEntradas[[#This Row],[Data do Caixa Previsto]]&lt;TODAY(),TbRegistroEntradas[[#This Row],[Data do Caixa Realizado]]=""),"Vencida","Não Vencida")</f>
        <v>Não Vencida</v>
      </c>
      <c r="P233" s="46" t="str">
        <f>IF(TbRegistroEntradas[[#This Row],[Data da Competência]]=TbRegistroEntradas[[#This Row],[Data do Caixa Previsto]],"Vista","Prazo")</f>
        <v>Prazo</v>
      </c>
      <c r="Q2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48</v>
      </c>
    </row>
    <row r="234" spans="2:17" hidden="1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46">
        <f>IF(TbRegistroEntradas[[#This Row],[Data do Caixa Previsto]]="",0,MONTH(TbRegistroEntradas[[#This Row],[Data do Caixa Previsto]]))</f>
        <v>7</v>
      </c>
      <c r="N234" s="46">
        <f>IF(TbRegistroEntradas[[#This Row],[Data do Caixa Previsto]]="",0,YEAR(TbRegistroEntradas[[#This Row],[Data do Caixa Previsto]]))</f>
        <v>2019</v>
      </c>
      <c r="O234" s="46" t="str">
        <f ca="1">IF(AND(TbRegistroEntradas[[#This Row],[Data do Caixa Previsto]]&lt;TODAY(),TbRegistroEntradas[[#This Row],[Data do Caixa Realizado]]=""),"Vencida","Não Vencida")</f>
        <v>Não Vencida</v>
      </c>
      <c r="P234" s="46" t="str">
        <f>IF(TbRegistroEntradas[[#This Row],[Data da Competência]]=TbRegistroEntradas[[#This Row],[Data do Caixa Previsto]],"Vista","Prazo")</f>
        <v>Prazo</v>
      </c>
      <c r="Q2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O232"/>
  <sheetViews>
    <sheetView showGridLines="0" topLeftCell="C1" zoomScale="70" zoomScaleNormal="70" workbookViewId="0">
      <pane ySplit="3" topLeftCell="A4" activePane="bottomLeft" state="frozen"/>
      <selection pane="bottomLeft" activeCell="O156" sqref="O156:O229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11.570312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5" ht="39.950000000000003" customHeight="1" x14ac:dyDescent="0.25">
      <c r="B2" s="5"/>
      <c r="C2" s="5"/>
      <c r="D2" s="5"/>
      <c r="E2" s="5"/>
      <c r="F2" s="5"/>
      <c r="G2" s="5"/>
      <c r="H2" s="5"/>
    </row>
    <row r="3" spans="2:15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  <c r="O3" s="22" t="s">
        <v>607</v>
      </c>
    </row>
    <row r="4" spans="2:15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46">
        <f>IF(TbRegistroSaídas[[#This Row],[Data do Caixa Previsto]]="",0,MONTH(TbRegistroSaídas[[#This Row],[Data do Caixa Previsto]]))</f>
        <v>10</v>
      </c>
      <c r="N4" s="46">
        <f>IF(TbRegistroSaídas[[#This Row],[Data do Caixa Previsto]]="",0,YEAR(TbRegistroSaídas[[#This Row],[Data do Caixa Previsto]]))</f>
        <v>2017</v>
      </c>
      <c r="O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" spans="2:15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46">
        <f>IF(TbRegistroSaídas[[#This Row],[Data do Caixa Previsto]]="",0,MONTH(TbRegistroSaídas[[#This Row],[Data do Caixa Previsto]]))</f>
        <v>9</v>
      </c>
      <c r="N5" s="46">
        <f>IF(TbRegistroSaídas[[#This Row],[Data do Caixa Previsto]]="",0,YEAR(TbRegistroSaídas[[#This Row],[Data do Caixa Previsto]]))</f>
        <v>2017</v>
      </c>
      <c r="O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" spans="2:15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46">
        <f>IF(TbRegistroSaídas[[#This Row],[Data do Caixa Previsto]]="",0,MONTH(TbRegistroSaídas[[#This Row],[Data do Caixa Previsto]]))</f>
        <v>9</v>
      </c>
      <c r="N6" s="46">
        <f>IF(TbRegistroSaídas[[#This Row],[Data do Caixa Previsto]]="",0,YEAR(TbRegistroSaídas[[#This Row],[Data do Caixa Previsto]]))</f>
        <v>2017</v>
      </c>
      <c r="O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" spans="2:15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46">
        <f>IF(TbRegistroSaídas[[#This Row],[Data do Caixa Previsto]]="",0,MONTH(TbRegistroSaídas[[#This Row],[Data do Caixa Previsto]]))</f>
        <v>9</v>
      </c>
      <c r="N7" s="46">
        <f>IF(TbRegistroSaídas[[#This Row],[Data do Caixa Previsto]]="",0,YEAR(TbRegistroSaídas[[#This Row],[Data do Caixa Previsto]]))</f>
        <v>2017</v>
      </c>
      <c r="O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" spans="2:15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46">
        <f>IF(TbRegistroSaídas[[#This Row],[Data do Caixa Previsto]]="",0,MONTH(TbRegistroSaídas[[#This Row],[Data do Caixa Previsto]]))</f>
        <v>9</v>
      </c>
      <c r="N8" s="46">
        <f>IF(TbRegistroSaídas[[#This Row],[Data do Caixa Previsto]]="",0,YEAR(TbRegistroSaídas[[#This Row],[Data do Caixa Previsto]]))</f>
        <v>2017</v>
      </c>
      <c r="O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" spans="2:15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46">
        <f>IF(TbRegistroSaídas[[#This Row],[Data do Caixa Previsto]]="",0,MONTH(TbRegistroSaídas[[#This Row],[Data do Caixa Previsto]]))</f>
        <v>9</v>
      </c>
      <c r="N9" s="46">
        <f>IF(TbRegistroSaídas[[#This Row],[Data do Caixa Previsto]]="",0,YEAR(TbRegistroSaídas[[#This Row],[Data do Caixa Previsto]]))</f>
        <v>2017</v>
      </c>
      <c r="O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" spans="2:15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46">
        <f>IF(TbRegistroSaídas[[#This Row],[Data do Caixa Previsto]]="",0,MONTH(TbRegistroSaídas[[#This Row],[Data do Caixa Previsto]]))</f>
        <v>10</v>
      </c>
      <c r="N10" s="46">
        <f>IF(TbRegistroSaídas[[#This Row],[Data do Caixa Previsto]]="",0,YEAR(TbRegistroSaídas[[#This Row],[Data do Caixa Previsto]]))</f>
        <v>2017</v>
      </c>
      <c r="O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" spans="2:15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46">
        <f>IF(TbRegistroSaídas[[#This Row],[Data do Caixa Previsto]]="",0,MONTH(TbRegistroSaídas[[#This Row],[Data do Caixa Previsto]]))</f>
        <v>9</v>
      </c>
      <c r="N11" s="46">
        <f>IF(TbRegistroSaídas[[#This Row],[Data do Caixa Previsto]]="",0,YEAR(TbRegistroSaídas[[#This Row],[Data do Caixa Previsto]]))</f>
        <v>2017</v>
      </c>
      <c r="O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2" spans="2:15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46">
        <f>IF(TbRegistroSaídas[[#This Row],[Data do Caixa Previsto]]="",0,MONTH(TbRegistroSaídas[[#This Row],[Data do Caixa Previsto]]))</f>
        <v>9</v>
      </c>
      <c r="N12" s="46">
        <f>IF(TbRegistroSaídas[[#This Row],[Data do Caixa Previsto]]="",0,YEAR(TbRegistroSaídas[[#This Row],[Data do Caixa Previsto]]))</f>
        <v>2017</v>
      </c>
      <c r="O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" spans="2:15" ht="20.100000000000001" hidden="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46">
        <f>IF(TbRegistroSaídas[[#This Row],[Data do Caixa Previsto]]="",0,MONTH(TbRegistroSaídas[[#This Row],[Data do Caixa Previsto]]))</f>
        <v>9</v>
      </c>
      <c r="N13" s="46">
        <f>IF(TbRegistroSaídas[[#This Row],[Data do Caixa Previsto]]="",0,YEAR(TbRegistroSaídas[[#This Row],[Data do Caixa Previsto]]))</f>
        <v>2017</v>
      </c>
      <c r="O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961</v>
      </c>
    </row>
    <row r="14" spans="2:15" ht="20.100000000000001" hidden="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46">
        <f>IF(TbRegistroSaídas[[#This Row],[Data do Caixa Previsto]]="",0,MONTH(TbRegistroSaídas[[#This Row],[Data do Caixa Previsto]]))</f>
        <v>10</v>
      </c>
      <c r="N14" s="46">
        <f>IF(TbRegistroSaídas[[#This Row],[Data do Caixa Previsto]]="",0,YEAR(TbRegistroSaídas[[#This Row],[Data do Caixa Previsto]]))</f>
        <v>2017</v>
      </c>
      <c r="O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925</v>
      </c>
    </row>
    <row r="15" spans="2:15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46">
        <f>IF(TbRegistroSaídas[[#This Row],[Data do Caixa Previsto]]="",0,MONTH(TbRegistroSaídas[[#This Row],[Data do Caixa Previsto]]))</f>
        <v>9</v>
      </c>
      <c r="N15" s="46">
        <f>IF(TbRegistroSaídas[[#This Row],[Data do Caixa Previsto]]="",0,YEAR(TbRegistroSaídas[[#This Row],[Data do Caixa Previsto]]))</f>
        <v>2017</v>
      </c>
      <c r="O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" spans="2:15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46">
        <f>IF(TbRegistroSaídas[[#This Row],[Data do Caixa Previsto]]="",0,MONTH(TbRegistroSaídas[[#This Row],[Data do Caixa Previsto]]))</f>
        <v>9</v>
      </c>
      <c r="N16" s="46">
        <f>IF(TbRegistroSaídas[[#This Row],[Data do Caixa Previsto]]="",0,YEAR(TbRegistroSaídas[[#This Row],[Data do Caixa Previsto]]))</f>
        <v>2017</v>
      </c>
      <c r="O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" spans="2:15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46">
        <f>IF(TbRegistroSaídas[[#This Row],[Data do Caixa Previsto]]="",0,MONTH(TbRegistroSaídas[[#This Row],[Data do Caixa Previsto]]))</f>
        <v>9</v>
      </c>
      <c r="N17" s="46">
        <f>IF(TbRegistroSaídas[[#This Row],[Data do Caixa Previsto]]="",0,YEAR(TbRegistroSaídas[[#This Row],[Data do Caixa Previsto]]))</f>
        <v>2017</v>
      </c>
      <c r="O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" spans="2:15" hidden="1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46">
        <f>IF(TbRegistroSaídas[[#This Row],[Data do Caixa Previsto]]="",0,MONTH(TbRegistroSaídas[[#This Row],[Data do Caixa Previsto]]))</f>
        <v>11</v>
      </c>
      <c r="N18" s="46">
        <f>IF(TbRegistroSaídas[[#This Row],[Data do Caixa Previsto]]="",0,YEAR(TbRegistroSaídas[[#This Row],[Data do Caixa Previsto]]))</f>
        <v>2017</v>
      </c>
      <c r="O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" spans="2:15" hidden="1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46">
        <f>IF(TbRegistroSaídas[[#This Row],[Data do Caixa Previsto]]="",0,MONTH(TbRegistroSaídas[[#This Row],[Data do Caixa Previsto]]))</f>
        <v>10</v>
      </c>
      <c r="N19" s="46">
        <f>IF(TbRegistroSaídas[[#This Row],[Data do Caixa Previsto]]="",0,YEAR(TbRegistroSaídas[[#This Row],[Data do Caixa Previsto]]))</f>
        <v>2017</v>
      </c>
      <c r="O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930</v>
      </c>
    </row>
    <row r="20" spans="2:15" hidden="1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46">
        <f>IF(TbRegistroSaídas[[#This Row],[Data do Caixa Previsto]]="",0,MONTH(TbRegistroSaídas[[#This Row],[Data do Caixa Previsto]]))</f>
        <v>10</v>
      </c>
      <c r="N20" s="46">
        <f>IF(TbRegistroSaídas[[#This Row],[Data do Caixa Previsto]]="",0,YEAR(TbRegistroSaídas[[#This Row],[Data do Caixa Previsto]]))</f>
        <v>2017</v>
      </c>
      <c r="O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" spans="2:15" hidden="1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46">
        <f>IF(TbRegistroSaídas[[#This Row],[Data do Caixa Previsto]]="",0,MONTH(TbRegistroSaídas[[#This Row],[Data do Caixa Previsto]]))</f>
        <v>11</v>
      </c>
      <c r="N21" s="46">
        <f>IF(TbRegistroSaídas[[#This Row],[Data do Caixa Previsto]]="",0,YEAR(TbRegistroSaídas[[#This Row],[Data do Caixa Previsto]]))</f>
        <v>2017</v>
      </c>
      <c r="O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" spans="2:15" hidden="1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46">
        <f>IF(TbRegistroSaídas[[#This Row],[Data do Caixa Previsto]]="",0,MONTH(TbRegistroSaídas[[#This Row],[Data do Caixa Previsto]]))</f>
        <v>10</v>
      </c>
      <c r="N22" s="46">
        <f>IF(TbRegistroSaídas[[#This Row],[Data do Caixa Previsto]]="",0,YEAR(TbRegistroSaídas[[#This Row],[Data do Caixa Previsto]]))</f>
        <v>2017</v>
      </c>
      <c r="O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" spans="2:15" hidden="1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46">
        <f>IF(TbRegistroSaídas[[#This Row],[Data do Caixa Previsto]]="",0,MONTH(TbRegistroSaídas[[#This Row],[Data do Caixa Previsto]]))</f>
        <v>10</v>
      </c>
      <c r="N23" s="46">
        <f>IF(TbRegistroSaídas[[#This Row],[Data do Caixa Previsto]]="",0,YEAR(TbRegistroSaídas[[#This Row],[Data do Caixa Previsto]]))</f>
        <v>2017</v>
      </c>
      <c r="O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4" spans="2:15" hidden="1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46">
        <f>IF(TbRegistroSaídas[[#This Row],[Data do Caixa Previsto]]="",0,MONTH(TbRegistroSaídas[[#This Row],[Data do Caixa Previsto]]))</f>
        <v>10</v>
      </c>
      <c r="N24" s="46">
        <f>IF(TbRegistroSaídas[[#This Row],[Data do Caixa Previsto]]="",0,YEAR(TbRegistroSaídas[[#This Row],[Data do Caixa Previsto]]))</f>
        <v>2017</v>
      </c>
      <c r="O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5" spans="2:15" hidden="1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46">
        <f>IF(TbRegistroSaídas[[#This Row],[Data do Caixa Previsto]]="",0,MONTH(TbRegistroSaídas[[#This Row],[Data do Caixa Previsto]]))</f>
        <v>11</v>
      </c>
      <c r="N25" s="46">
        <f>IF(TbRegistroSaídas[[#This Row],[Data do Caixa Previsto]]="",0,YEAR(TbRegistroSaídas[[#This Row],[Data do Caixa Previsto]]))</f>
        <v>2017</v>
      </c>
      <c r="O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6" spans="2:15" hidden="1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46">
        <f>IF(TbRegistroSaídas[[#This Row],[Data do Caixa Previsto]]="",0,MONTH(TbRegistroSaídas[[#This Row],[Data do Caixa Previsto]]))</f>
        <v>10</v>
      </c>
      <c r="N26" s="46">
        <f>IF(TbRegistroSaídas[[#This Row],[Data do Caixa Previsto]]="",0,YEAR(TbRegistroSaídas[[#This Row],[Data do Caixa Previsto]]))</f>
        <v>2017</v>
      </c>
      <c r="O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7" spans="2:15" hidden="1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46">
        <f>IF(TbRegistroSaídas[[#This Row],[Data do Caixa Previsto]]="",0,MONTH(TbRegistroSaídas[[#This Row],[Data do Caixa Previsto]]))</f>
        <v>10</v>
      </c>
      <c r="N27" s="46">
        <f>IF(TbRegistroSaídas[[#This Row],[Data do Caixa Previsto]]="",0,YEAR(TbRegistroSaídas[[#This Row],[Data do Caixa Previsto]]))</f>
        <v>2017</v>
      </c>
      <c r="O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8" spans="2:15" hidden="1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46">
        <f>IF(TbRegistroSaídas[[#This Row],[Data do Caixa Previsto]]="",0,MONTH(TbRegistroSaídas[[#This Row],[Data do Caixa Previsto]]))</f>
        <v>10</v>
      </c>
      <c r="N28" s="46">
        <f>IF(TbRegistroSaídas[[#This Row],[Data do Caixa Previsto]]="",0,YEAR(TbRegistroSaídas[[#This Row],[Data do Caixa Previsto]]))</f>
        <v>2017</v>
      </c>
      <c r="O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9" spans="2:15" hidden="1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46">
        <f>IF(TbRegistroSaídas[[#This Row],[Data do Caixa Previsto]]="",0,MONTH(TbRegistroSaídas[[#This Row],[Data do Caixa Previsto]]))</f>
        <v>10</v>
      </c>
      <c r="N29" s="46">
        <f>IF(TbRegistroSaídas[[#This Row],[Data do Caixa Previsto]]="",0,YEAR(TbRegistroSaídas[[#This Row],[Data do Caixa Previsto]]))</f>
        <v>2017</v>
      </c>
      <c r="O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28</v>
      </c>
    </row>
    <row r="30" spans="2:15" hidden="1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46">
        <f>IF(TbRegistroSaídas[[#This Row],[Data do Caixa Previsto]]="",0,MONTH(TbRegistroSaídas[[#This Row],[Data do Caixa Previsto]]))</f>
        <v>11</v>
      </c>
      <c r="N30" s="46">
        <f>IF(TbRegistroSaídas[[#This Row],[Data do Caixa Previsto]]="",0,YEAR(TbRegistroSaídas[[#This Row],[Data do Caixa Previsto]]))</f>
        <v>2017</v>
      </c>
      <c r="O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31" spans="2:15" hidden="1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46">
        <f>IF(TbRegistroSaídas[[#This Row],[Data do Caixa Previsto]]="",0,MONTH(TbRegistroSaídas[[#This Row],[Data do Caixa Previsto]]))</f>
        <v>12</v>
      </c>
      <c r="N31" s="46">
        <f>IF(TbRegistroSaídas[[#This Row],[Data do Caixa Previsto]]="",0,YEAR(TbRegistroSaídas[[#This Row],[Data do Caixa Previsto]]))</f>
        <v>2017</v>
      </c>
      <c r="O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2" spans="2:15" hidden="1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46">
        <f>IF(TbRegistroSaídas[[#This Row],[Data do Caixa Previsto]]="",0,MONTH(TbRegistroSaídas[[#This Row],[Data do Caixa Previsto]]))</f>
        <v>11</v>
      </c>
      <c r="N32" s="46">
        <f>IF(TbRegistroSaídas[[#This Row],[Data do Caixa Previsto]]="",0,YEAR(TbRegistroSaídas[[#This Row],[Data do Caixa Previsto]]))</f>
        <v>2017</v>
      </c>
      <c r="O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3" spans="2:15" hidden="1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46">
        <f>IF(TbRegistroSaídas[[#This Row],[Data do Caixa Previsto]]="",0,MONTH(TbRegistroSaídas[[#This Row],[Data do Caixa Previsto]]))</f>
        <v>11</v>
      </c>
      <c r="N33" s="46">
        <f>IF(TbRegistroSaídas[[#This Row],[Data do Caixa Previsto]]="",0,YEAR(TbRegistroSaídas[[#This Row],[Data do Caixa Previsto]]))</f>
        <v>2017</v>
      </c>
      <c r="O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4" spans="2:15" hidden="1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46">
        <f>IF(TbRegistroSaídas[[#This Row],[Data do Caixa Previsto]]="",0,MONTH(TbRegistroSaídas[[#This Row],[Data do Caixa Previsto]]))</f>
        <v>12</v>
      </c>
      <c r="N34" s="46">
        <f>IF(TbRegistroSaídas[[#This Row],[Data do Caixa Previsto]]="",0,YEAR(TbRegistroSaídas[[#This Row],[Data do Caixa Previsto]]))</f>
        <v>2017</v>
      </c>
      <c r="O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5" spans="2:15" hidden="1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46">
        <f>IF(TbRegistroSaídas[[#This Row],[Data do Caixa Previsto]]="",0,MONTH(TbRegistroSaídas[[#This Row],[Data do Caixa Previsto]]))</f>
        <v>12</v>
      </c>
      <c r="N35" s="46">
        <f>IF(TbRegistroSaídas[[#This Row],[Data do Caixa Previsto]]="",0,YEAR(TbRegistroSaídas[[#This Row],[Data do Caixa Previsto]]))</f>
        <v>2017</v>
      </c>
      <c r="O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6" spans="2:15" hidden="1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46">
        <f>IF(TbRegistroSaídas[[#This Row],[Data do Caixa Previsto]]="",0,MONTH(TbRegistroSaídas[[#This Row],[Data do Caixa Previsto]]))</f>
        <v>11</v>
      </c>
      <c r="N36" s="46">
        <f>IF(TbRegistroSaídas[[#This Row],[Data do Caixa Previsto]]="",0,YEAR(TbRegistroSaídas[[#This Row],[Data do Caixa Previsto]]))</f>
        <v>2017</v>
      </c>
      <c r="O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7" spans="2:15" hidden="1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46">
        <f>IF(TbRegistroSaídas[[#This Row],[Data do Caixa Previsto]]="",0,MONTH(TbRegistroSaídas[[#This Row],[Data do Caixa Previsto]]))</f>
        <v>1</v>
      </c>
      <c r="N37" s="46">
        <f>IF(TbRegistroSaídas[[#This Row],[Data do Caixa Previsto]]="",0,YEAR(TbRegistroSaídas[[#This Row],[Data do Caixa Previsto]]))</f>
        <v>2018</v>
      </c>
      <c r="O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8" spans="2:15" hidden="1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46">
        <f>IF(TbRegistroSaídas[[#This Row],[Data do Caixa Previsto]]="",0,MONTH(TbRegistroSaídas[[#This Row],[Data do Caixa Previsto]]))</f>
        <v>11</v>
      </c>
      <c r="N38" s="46">
        <f>IF(TbRegistroSaídas[[#This Row],[Data do Caixa Previsto]]="",0,YEAR(TbRegistroSaídas[[#This Row],[Data do Caixa Previsto]]))</f>
        <v>2017</v>
      </c>
      <c r="O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</v>
      </c>
    </row>
    <row r="39" spans="2:15" hidden="1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46">
        <f>IF(TbRegistroSaídas[[#This Row],[Data do Caixa Previsto]]="",0,MONTH(TbRegistroSaídas[[#This Row],[Data do Caixa Previsto]]))</f>
        <v>11</v>
      </c>
      <c r="N39" s="46">
        <f>IF(TbRegistroSaídas[[#This Row],[Data do Caixa Previsto]]="",0,YEAR(TbRegistroSaídas[[#This Row],[Data do Caixa Previsto]]))</f>
        <v>2017</v>
      </c>
      <c r="O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0" spans="2:15" hidden="1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46">
        <f>IF(TbRegistroSaídas[[#This Row],[Data do Caixa Previsto]]="",0,MONTH(TbRegistroSaídas[[#This Row],[Data do Caixa Previsto]]))</f>
        <v>1</v>
      </c>
      <c r="N40" s="46">
        <f>IF(TbRegistroSaídas[[#This Row],[Data do Caixa Previsto]]="",0,YEAR(TbRegistroSaídas[[#This Row],[Data do Caixa Previsto]]))</f>
        <v>2018</v>
      </c>
      <c r="O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1" spans="2:15" hidden="1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46">
        <f>IF(TbRegistroSaídas[[#This Row],[Data do Caixa Previsto]]="",0,MONTH(TbRegistroSaídas[[#This Row],[Data do Caixa Previsto]]))</f>
        <v>12</v>
      </c>
      <c r="N41" s="46">
        <f>IF(TbRegistroSaídas[[#This Row],[Data do Caixa Previsto]]="",0,YEAR(TbRegistroSaídas[[#This Row],[Data do Caixa Previsto]]))</f>
        <v>2017</v>
      </c>
      <c r="O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2" spans="2:15" hidden="1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46">
        <f>IF(TbRegistroSaídas[[#This Row],[Data do Caixa Previsto]]="",0,MONTH(TbRegistroSaídas[[#This Row],[Data do Caixa Previsto]]))</f>
        <v>12</v>
      </c>
      <c r="N42" s="46">
        <f>IF(TbRegistroSaídas[[#This Row],[Data do Caixa Previsto]]="",0,YEAR(TbRegistroSaídas[[#This Row],[Data do Caixa Previsto]]))</f>
        <v>2017</v>
      </c>
      <c r="O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3" spans="2:15" hidden="1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46">
        <f>IF(TbRegistroSaídas[[#This Row],[Data do Caixa Previsto]]="",0,MONTH(TbRegistroSaídas[[#This Row],[Data do Caixa Previsto]]))</f>
        <v>1</v>
      </c>
      <c r="N43" s="46">
        <f>IF(TbRegistroSaídas[[#This Row],[Data do Caixa Previsto]]="",0,YEAR(TbRegistroSaídas[[#This Row],[Data do Caixa Previsto]]))</f>
        <v>2018</v>
      </c>
      <c r="O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4" spans="2:15" hidden="1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46">
        <f>IF(TbRegistroSaídas[[#This Row],[Data do Caixa Previsto]]="",0,MONTH(TbRegistroSaídas[[#This Row],[Data do Caixa Previsto]]))</f>
        <v>12</v>
      </c>
      <c r="N44" s="46">
        <f>IF(TbRegistroSaídas[[#This Row],[Data do Caixa Previsto]]="",0,YEAR(TbRegistroSaídas[[#This Row],[Data do Caixa Previsto]]))</f>
        <v>2017</v>
      </c>
      <c r="O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5" spans="2:15" hidden="1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46">
        <f>IF(TbRegistroSaídas[[#This Row],[Data do Caixa Previsto]]="",0,MONTH(TbRegistroSaídas[[#This Row],[Data do Caixa Previsto]]))</f>
        <v>12</v>
      </c>
      <c r="N45" s="46">
        <f>IF(TbRegistroSaídas[[#This Row],[Data do Caixa Previsto]]="",0,YEAR(TbRegistroSaídas[[#This Row],[Data do Caixa Previsto]]))</f>
        <v>2017</v>
      </c>
      <c r="O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6" spans="2:15" hidden="1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46">
        <f>IF(TbRegistroSaídas[[#This Row],[Data do Caixa Previsto]]="",0,MONTH(TbRegistroSaídas[[#This Row],[Data do Caixa Previsto]]))</f>
        <v>12</v>
      </c>
      <c r="N46" s="46">
        <f>IF(TbRegistroSaídas[[#This Row],[Data do Caixa Previsto]]="",0,YEAR(TbRegistroSaídas[[#This Row],[Data do Caixa Previsto]]))</f>
        <v>2017</v>
      </c>
      <c r="O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7" spans="2:15" hidden="1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46">
        <f>IF(TbRegistroSaídas[[#This Row],[Data do Caixa Previsto]]="",0,MONTH(TbRegistroSaídas[[#This Row],[Data do Caixa Previsto]]))</f>
        <v>2</v>
      </c>
      <c r="N47" s="46">
        <f>IF(TbRegistroSaídas[[#This Row],[Data do Caixa Previsto]]="",0,YEAR(TbRegistroSaídas[[#This Row],[Data do Caixa Previsto]]))</f>
        <v>2018</v>
      </c>
      <c r="O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803</v>
      </c>
    </row>
    <row r="48" spans="2:15" hidden="1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46">
        <f>IF(TbRegistroSaídas[[#This Row],[Data do Caixa Previsto]]="",0,MONTH(TbRegistroSaídas[[#This Row],[Data do Caixa Previsto]]))</f>
        <v>12</v>
      </c>
      <c r="N48" s="46">
        <f>IF(TbRegistroSaídas[[#This Row],[Data do Caixa Previsto]]="",0,YEAR(TbRegistroSaídas[[#This Row],[Data do Caixa Previsto]]))</f>
        <v>2017</v>
      </c>
      <c r="O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9" spans="2:15" hidden="1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46">
        <f>IF(TbRegistroSaídas[[#This Row],[Data do Caixa Previsto]]="",0,MONTH(TbRegistroSaídas[[#This Row],[Data do Caixa Previsto]]))</f>
        <v>1</v>
      </c>
      <c r="N49" s="46">
        <f>IF(TbRegistroSaídas[[#This Row],[Data do Caixa Previsto]]="",0,YEAR(TbRegistroSaídas[[#This Row],[Data do Caixa Previsto]]))</f>
        <v>2018</v>
      </c>
      <c r="O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0" spans="2:15" hidden="1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46">
        <f>IF(TbRegistroSaídas[[#This Row],[Data do Caixa Previsto]]="",0,MONTH(TbRegistroSaídas[[#This Row],[Data do Caixa Previsto]]))</f>
        <v>2</v>
      </c>
      <c r="N50" s="46">
        <f>IF(TbRegistroSaídas[[#This Row],[Data do Caixa Previsto]]="",0,YEAR(TbRegistroSaídas[[#This Row],[Data do Caixa Previsto]]))</f>
        <v>2018</v>
      </c>
      <c r="O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51" spans="2:15" hidden="1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46">
        <f>IF(TbRegistroSaídas[[#This Row],[Data do Caixa Previsto]]="",0,MONTH(TbRegistroSaídas[[#This Row],[Data do Caixa Previsto]]))</f>
        <v>12</v>
      </c>
      <c r="N51" s="46">
        <f>IF(TbRegistroSaídas[[#This Row],[Data do Caixa Previsto]]="",0,YEAR(TbRegistroSaídas[[#This Row],[Data do Caixa Previsto]]))</f>
        <v>2017</v>
      </c>
      <c r="O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2" spans="2:15" hidden="1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46">
        <f>IF(TbRegistroSaídas[[#This Row],[Data do Caixa Previsto]]="",0,MONTH(TbRegistroSaídas[[#This Row],[Data do Caixa Previsto]]))</f>
        <v>1</v>
      </c>
      <c r="N52" s="46">
        <f>IF(TbRegistroSaídas[[#This Row],[Data do Caixa Previsto]]="",0,YEAR(TbRegistroSaídas[[#This Row],[Data do Caixa Previsto]]))</f>
        <v>2018</v>
      </c>
      <c r="O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3" spans="2:15" hidden="1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46">
        <f>IF(TbRegistroSaídas[[#This Row],[Data do Caixa Previsto]]="",0,MONTH(TbRegistroSaídas[[#This Row],[Data do Caixa Previsto]]))</f>
        <v>12</v>
      </c>
      <c r="N53" s="46">
        <f>IF(TbRegistroSaídas[[#This Row],[Data do Caixa Previsto]]="",0,YEAR(TbRegistroSaídas[[#This Row],[Data do Caixa Previsto]]))</f>
        <v>2017</v>
      </c>
      <c r="O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4" spans="2:15" hidden="1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46">
        <f>IF(TbRegistroSaídas[[#This Row],[Data do Caixa Previsto]]="",0,MONTH(TbRegistroSaídas[[#This Row],[Data do Caixa Previsto]]))</f>
        <v>2</v>
      </c>
      <c r="N54" s="46">
        <f>IF(TbRegistroSaídas[[#This Row],[Data do Caixa Previsto]]="",0,YEAR(TbRegistroSaídas[[#This Row],[Data do Caixa Previsto]]))</f>
        <v>2018</v>
      </c>
      <c r="O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794</v>
      </c>
    </row>
    <row r="55" spans="2:15" hidden="1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46">
        <f>IF(TbRegistroSaídas[[#This Row],[Data do Caixa Previsto]]="",0,MONTH(TbRegistroSaídas[[#This Row],[Data do Caixa Previsto]]))</f>
        <v>1</v>
      </c>
      <c r="N55" s="46">
        <f>IF(TbRegistroSaídas[[#This Row],[Data do Caixa Previsto]]="",0,YEAR(TbRegistroSaídas[[#This Row],[Data do Caixa Previsto]]))</f>
        <v>2018</v>
      </c>
      <c r="O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6" spans="2:15" hidden="1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46">
        <f>IF(TbRegistroSaídas[[#This Row],[Data do Caixa Previsto]]="",0,MONTH(TbRegistroSaídas[[#This Row],[Data do Caixa Previsto]]))</f>
        <v>1</v>
      </c>
      <c r="N56" s="46">
        <f>IF(TbRegistroSaídas[[#This Row],[Data do Caixa Previsto]]="",0,YEAR(TbRegistroSaídas[[#This Row],[Data do Caixa Previsto]]))</f>
        <v>2018</v>
      </c>
      <c r="O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7" spans="2:15" hidden="1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46">
        <f>IF(TbRegistroSaídas[[#This Row],[Data do Caixa Previsto]]="",0,MONTH(TbRegistroSaídas[[#This Row],[Data do Caixa Previsto]]))</f>
        <v>1</v>
      </c>
      <c r="N57" s="46">
        <f>IF(TbRegistroSaídas[[#This Row],[Data do Caixa Previsto]]="",0,YEAR(TbRegistroSaídas[[#This Row],[Data do Caixa Previsto]]))</f>
        <v>2018</v>
      </c>
      <c r="O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836</v>
      </c>
    </row>
    <row r="58" spans="2:15" hidden="1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46">
        <f>IF(TbRegistroSaídas[[#This Row],[Data do Caixa Previsto]]="",0,MONTH(TbRegistroSaídas[[#This Row],[Data do Caixa Previsto]]))</f>
        <v>1</v>
      </c>
      <c r="N58" s="46">
        <f>IF(TbRegistroSaídas[[#This Row],[Data do Caixa Previsto]]="",0,YEAR(TbRegistroSaídas[[#This Row],[Data do Caixa Previsto]]))</f>
        <v>2018</v>
      </c>
      <c r="O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9" spans="2:15" hidden="1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46">
        <f>IF(TbRegistroSaídas[[#This Row],[Data do Caixa Previsto]]="",0,MONTH(TbRegistroSaídas[[#This Row],[Data do Caixa Previsto]]))</f>
        <v>1</v>
      </c>
      <c r="N59" s="46">
        <f>IF(TbRegistroSaídas[[#This Row],[Data do Caixa Previsto]]="",0,YEAR(TbRegistroSaídas[[#This Row],[Data do Caixa Previsto]]))</f>
        <v>2018</v>
      </c>
      <c r="O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833</v>
      </c>
    </row>
    <row r="60" spans="2:15" hidden="1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46">
        <f>IF(TbRegistroSaídas[[#This Row],[Data do Caixa Previsto]]="",0,MONTH(TbRegistroSaídas[[#This Row],[Data do Caixa Previsto]]))</f>
        <v>2</v>
      </c>
      <c r="N60" s="46">
        <f>IF(TbRegistroSaídas[[#This Row],[Data do Caixa Previsto]]="",0,YEAR(TbRegistroSaídas[[#This Row],[Data do Caixa Previsto]]))</f>
        <v>2018</v>
      </c>
      <c r="O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1" spans="2:15" hidden="1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46">
        <f>IF(TbRegistroSaídas[[#This Row],[Data do Caixa Previsto]]="",0,MONTH(TbRegistroSaídas[[#This Row],[Data do Caixa Previsto]]))</f>
        <v>2</v>
      </c>
      <c r="N61" s="46">
        <f>IF(TbRegistroSaídas[[#This Row],[Data do Caixa Previsto]]="",0,YEAR(TbRegistroSaídas[[#This Row],[Data do Caixa Previsto]]))</f>
        <v>2018</v>
      </c>
      <c r="O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2" spans="2:15" hidden="1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46">
        <f>IF(TbRegistroSaídas[[#This Row],[Data do Caixa Previsto]]="",0,MONTH(TbRegistroSaídas[[#This Row],[Data do Caixa Previsto]]))</f>
        <v>1</v>
      </c>
      <c r="N62" s="46">
        <f>IF(TbRegistroSaídas[[#This Row],[Data do Caixa Previsto]]="",0,YEAR(TbRegistroSaídas[[#This Row],[Data do Caixa Previsto]]))</f>
        <v>2018</v>
      </c>
      <c r="O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3" spans="2:15" hidden="1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46">
        <f>IF(TbRegistroSaídas[[#This Row],[Data do Caixa Previsto]]="",0,MONTH(TbRegistroSaídas[[#This Row],[Data do Caixa Previsto]]))</f>
        <v>1</v>
      </c>
      <c r="N63" s="46">
        <f>IF(TbRegistroSaídas[[#This Row],[Data do Caixa Previsto]]="",0,YEAR(TbRegistroSaídas[[#This Row],[Data do Caixa Previsto]]))</f>
        <v>2018</v>
      </c>
      <c r="O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64" spans="2:15" hidden="1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46">
        <f>IF(TbRegistroSaídas[[#This Row],[Data do Caixa Previsto]]="",0,MONTH(TbRegistroSaídas[[#This Row],[Data do Caixa Previsto]]))</f>
        <v>2</v>
      </c>
      <c r="N64" s="46">
        <f>IF(TbRegistroSaídas[[#This Row],[Data do Caixa Previsto]]="",0,YEAR(TbRegistroSaídas[[#This Row],[Data do Caixa Previsto]]))</f>
        <v>2018</v>
      </c>
      <c r="O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5" spans="2:15" hidden="1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46">
        <f>IF(TbRegistroSaídas[[#This Row],[Data do Caixa Previsto]]="",0,MONTH(TbRegistroSaídas[[#This Row],[Data do Caixa Previsto]]))</f>
        <v>2</v>
      </c>
      <c r="N65" s="46">
        <f>IF(TbRegistroSaídas[[#This Row],[Data do Caixa Previsto]]="",0,YEAR(TbRegistroSaídas[[#This Row],[Data do Caixa Previsto]]))</f>
        <v>2018</v>
      </c>
      <c r="O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6" spans="2:15" hidden="1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46">
        <f>IF(TbRegistroSaídas[[#This Row],[Data do Caixa Previsto]]="",0,MONTH(TbRegistroSaídas[[#This Row],[Data do Caixa Previsto]]))</f>
        <v>1</v>
      </c>
      <c r="N66" s="46">
        <f>IF(TbRegistroSaídas[[#This Row],[Data do Caixa Previsto]]="",0,YEAR(TbRegistroSaídas[[#This Row],[Data do Caixa Previsto]]))</f>
        <v>2018</v>
      </c>
      <c r="O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820</v>
      </c>
    </row>
    <row r="67" spans="2:15" hidden="1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46">
        <f>IF(TbRegistroSaídas[[#This Row],[Data do Caixa Previsto]]="",0,MONTH(TbRegistroSaídas[[#This Row],[Data do Caixa Previsto]]))</f>
        <v>1</v>
      </c>
      <c r="N67" s="46">
        <f>IF(TbRegistroSaídas[[#This Row],[Data do Caixa Previsto]]="",0,YEAR(TbRegistroSaídas[[#This Row],[Data do Caixa Previsto]]))</f>
        <v>2018</v>
      </c>
      <c r="O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51</v>
      </c>
    </row>
    <row r="68" spans="2:15" hidden="1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46">
        <f>IF(TbRegistroSaídas[[#This Row],[Data do Caixa Previsto]]="",0,MONTH(TbRegistroSaídas[[#This Row],[Data do Caixa Previsto]]))</f>
        <v>1</v>
      </c>
      <c r="N68" s="46">
        <f>IF(TbRegistroSaídas[[#This Row],[Data do Caixa Previsto]]="",0,YEAR(TbRegistroSaídas[[#This Row],[Data do Caixa Previsto]]))</f>
        <v>2018</v>
      </c>
      <c r="O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86</v>
      </c>
    </row>
    <row r="69" spans="2:15" hidden="1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46">
        <f>IF(TbRegistroSaídas[[#This Row],[Data do Caixa Previsto]]="",0,MONTH(TbRegistroSaídas[[#This Row],[Data do Caixa Previsto]]))</f>
        <v>1</v>
      </c>
      <c r="N69" s="46">
        <f>IF(TbRegistroSaídas[[#This Row],[Data do Caixa Previsto]]="",0,YEAR(TbRegistroSaídas[[#This Row],[Data do Caixa Previsto]]))</f>
        <v>2018</v>
      </c>
      <c r="O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0" spans="2:15" hidden="1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46">
        <f>IF(TbRegistroSaídas[[#This Row],[Data do Caixa Previsto]]="",0,MONTH(TbRegistroSaídas[[#This Row],[Data do Caixa Previsto]]))</f>
        <v>2</v>
      </c>
      <c r="N70" s="46">
        <f>IF(TbRegistroSaídas[[#This Row],[Data do Caixa Previsto]]="",0,YEAR(TbRegistroSaídas[[#This Row],[Data do Caixa Previsto]]))</f>
        <v>2018</v>
      </c>
      <c r="O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810</v>
      </c>
    </row>
    <row r="71" spans="2:15" hidden="1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46">
        <f>IF(TbRegistroSaídas[[#This Row],[Data do Caixa Previsto]]="",0,MONTH(TbRegistroSaídas[[#This Row],[Data do Caixa Previsto]]))</f>
        <v>2</v>
      </c>
      <c r="N71" s="46">
        <f>IF(TbRegistroSaídas[[#This Row],[Data do Caixa Previsto]]="",0,YEAR(TbRegistroSaídas[[#This Row],[Data do Caixa Previsto]]))</f>
        <v>2018</v>
      </c>
      <c r="O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2" spans="2:15" hidden="1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46">
        <f>IF(TbRegistroSaídas[[#This Row],[Data do Caixa Previsto]]="",0,MONTH(TbRegistroSaídas[[#This Row],[Data do Caixa Previsto]]))</f>
        <v>2</v>
      </c>
      <c r="N72" s="46">
        <f>IF(TbRegistroSaídas[[#This Row],[Data do Caixa Previsto]]="",0,YEAR(TbRegistroSaídas[[#This Row],[Data do Caixa Previsto]]))</f>
        <v>2018</v>
      </c>
      <c r="O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3" spans="2:15" hidden="1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46">
        <f>IF(TbRegistroSaídas[[#This Row],[Data do Caixa Previsto]]="",0,MONTH(TbRegistroSaídas[[#This Row],[Data do Caixa Previsto]]))</f>
        <v>3</v>
      </c>
      <c r="N73" s="46">
        <f>IF(TbRegistroSaídas[[#This Row],[Data do Caixa Previsto]]="",0,YEAR(TbRegistroSaídas[[#This Row],[Data do Caixa Previsto]]))</f>
        <v>2018</v>
      </c>
      <c r="O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4" spans="2:15" hidden="1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46">
        <f>IF(TbRegistroSaídas[[#This Row],[Data do Caixa Previsto]]="",0,MONTH(TbRegistroSaídas[[#This Row],[Data do Caixa Previsto]]))</f>
        <v>3</v>
      </c>
      <c r="N74" s="46">
        <f>IF(TbRegistroSaídas[[#This Row],[Data do Caixa Previsto]]="",0,YEAR(TbRegistroSaídas[[#This Row],[Data do Caixa Previsto]]))</f>
        <v>2018</v>
      </c>
      <c r="O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5" spans="2:15" hidden="1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46">
        <f>IF(TbRegistroSaídas[[#This Row],[Data do Caixa Previsto]]="",0,MONTH(TbRegistroSaídas[[#This Row],[Data do Caixa Previsto]]))</f>
        <v>2</v>
      </c>
      <c r="N75" s="46">
        <f>IF(TbRegistroSaídas[[#This Row],[Data do Caixa Previsto]]="",0,YEAR(TbRegistroSaídas[[#This Row],[Data do Caixa Previsto]]))</f>
        <v>2018</v>
      </c>
      <c r="O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6" spans="2:15" hidden="1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46">
        <f>IF(TbRegistroSaídas[[#This Row],[Data do Caixa Previsto]]="",0,MONTH(TbRegistroSaídas[[#This Row],[Data do Caixa Previsto]]))</f>
        <v>3</v>
      </c>
      <c r="N76" s="46">
        <f>IF(TbRegistroSaídas[[#This Row],[Data do Caixa Previsto]]="",0,YEAR(TbRegistroSaídas[[#This Row],[Data do Caixa Previsto]]))</f>
        <v>2018</v>
      </c>
      <c r="O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50</v>
      </c>
    </row>
    <row r="77" spans="2:15" hidden="1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46">
        <f>IF(TbRegistroSaídas[[#This Row],[Data do Caixa Previsto]]="",0,MONTH(TbRegistroSaídas[[#This Row],[Data do Caixa Previsto]]))</f>
        <v>4</v>
      </c>
      <c r="N77" s="46">
        <f>IF(TbRegistroSaídas[[#This Row],[Data do Caixa Previsto]]="",0,YEAR(TbRegistroSaídas[[#This Row],[Data do Caixa Previsto]]))</f>
        <v>2018</v>
      </c>
      <c r="O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8" spans="2:15" hidden="1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46">
        <f>IF(TbRegistroSaídas[[#This Row],[Data do Caixa Previsto]]="",0,MONTH(TbRegistroSaídas[[#This Row],[Data do Caixa Previsto]]))</f>
        <v>3</v>
      </c>
      <c r="N78" s="46">
        <f>IF(TbRegistroSaídas[[#This Row],[Data do Caixa Previsto]]="",0,YEAR(TbRegistroSaídas[[#This Row],[Data do Caixa Previsto]]))</f>
        <v>2018</v>
      </c>
      <c r="O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9" spans="2:15" hidden="1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46">
        <f>IF(TbRegistroSaídas[[#This Row],[Data do Caixa Previsto]]="",0,MONTH(TbRegistroSaídas[[#This Row],[Data do Caixa Previsto]]))</f>
        <v>3</v>
      </c>
      <c r="N79" s="46">
        <f>IF(TbRegistroSaídas[[#This Row],[Data do Caixa Previsto]]="",0,YEAR(TbRegistroSaídas[[#This Row],[Data do Caixa Previsto]]))</f>
        <v>2018</v>
      </c>
      <c r="O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0" spans="2:15" hidden="1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46">
        <f>IF(TbRegistroSaídas[[#This Row],[Data do Caixa Previsto]]="",0,MONTH(TbRegistroSaídas[[#This Row],[Data do Caixa Previsto]]))</f>
        <v>4</v>
      </c>
      <c r="N80" s="46">
        <f>IF(TbRegistroSaídas[[#This Row],[Data do Caixa Previsto]]="",0,YEAR(TbRegistroSaídas[[#This Row],[Data do Caixa Previsto]]))</f>
        <v>2018</v>
      </c>
      <c r="O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1" spans="2:15" hidden="1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46">
        <f>IF(TbRegistroSaídas[[#This Row],[Data do Caixa Previsto]]="",0,MONTH(TbRegistroSaídas[[#This Row],[Data do Caixa Previsto]]))</f>
        <v>3</v>
      </c>
      <c r="N81" s="46">
        <f>IF(TbRegistroSaídas[[#This Row],[Data do Caixa Previsto]]="",0,YEAR(TbRegistroSaídas[[#This Row],[Data do Caixa Previsto]]))</f>
        <v>2018</v>
      </c>
      <c r="O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2" spans="2:15" hidden="1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46">
        <f>IF(TbRegistroSaídas[[#This Row],[Data do Caixa Previsto]]="",0,MONTH(TbRegistroSaídas[[#This Row],[Data do Caixa Previsto]]))</f>
        <v>3</v>
      </c>
      <c r="N82" s="46">
        <f>IF(TbRegistroSaídas[[#This Row],[Data do Caixa Previsto]]="",0,YEAR(TbRegistroSaídas[[#This Row],[Data do Caixa Previsto]]))</f>
        <v>2018</v>
      </c>
      <c r="O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3" spans="2:15" hidden="1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46">
        <f>IF(TbRegistroSaídas[[#This Row],[Data do Caixa Previsto]]="",0,MONTH(TbRegistroSaídas[[#This Row],[Data do Caixa Previsto]]))</f>
        <v>3</v>
      </c>
      <c r="N83" s="46">
        <f>IF(TbRegistroSaídas[[#This Row],[Data do Caixa Previsto]]="",0,YEAR(TbRegistroSaídas[[#This Row],[Data do Caixa Previsto]]))</f>
        <v>2018</v>
      </c>
      <c r="O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4" spans="2:15" hidden="1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46">
        <f>IF(TbRegistroSaídas[[#This Row],[Data do Caixa Previsto]]="",0,MONTH(TbRegistroSaídas[[#This Row],[Data do Caixa Previsto]]))</f>
        <v>4</v>
      </c>
      <c r="N84" s="46">
        <f>IF(TbRegistroSaídas[[#This Row],[Data do Caixa Previsto]]="",0,YEAR(TbRegistroSaídas[[#This Row],[Data do Caixa Previsto]]))</f>
        <v>2018</v>
      </c>
      <c r="O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5" spans="2:15" hidden="1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46">
        <f>IF(TbRegistroSaídas[[#This Row],[Data do Caixa Previsto]]="",0,MONTH(TbRegistroSaídas[[#This Row],[Data do Caixa Previsto]]))</f>
        <v>4</v>
      </c>
      <c r="N85" s="46">
        <f>IF(TbRegistroSaídas[[#This Row],[Data do Caixa Previsto]]="",0,YEAR(TbRegistroSaídas[[#This Row],[Data do Caixa Previsto]]))</f>
        <v>2018</v>
      </c>
      <c r="O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</v>
      </c>
    </row>
    <row r="86" spans="2:15" hidden="1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46">
        <f>IF(TbRegistroSaídas[[#This Row],[Data do Caixa Previsto]]="",0,MONTH(TbRegistroSaídas[[#This Row],[Data do Caixa Previsto]]))</f>
        <v>3</v>
      </c>
      <c r="N86" s="46">
        <f>IF(TbRegistroSaídas[[#This Row],[Data do Caixa Previsto]]="",0,YEAR(TbRegistroSaídas[[#This Row],[Data do Caixa Previsto]]))</f>
        <v>2018</v>
      </c>
      <c r="O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7" spans="2:15" hidden="1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46">
        <f>IF(TbRegistroSaídas[[#This Row],[Data do Caixa Previsto]]="",0,MONTH(TbRegistroSaídas[[#This Row],[Data do Caixa Previsto]]))</f>
        <v>3</v>
      </c>
      <c r="N87" s="46">
        <f>IF(TbRegistroSaídas[[#This Row],[Data do Caixa Previsto]]="",0,YEAR(TbRegistroSaídas[[#This Row],[Data do Caixa Previsto]]))</f>
        <v>2018</v>
      </c>
      <c r="O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8" spans="2:15" hidden="1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46">
        <f>IF(TbRegistroSaídas[[#This Row],[Data do Caixa Previsto]]="",0,MONTH(TbRegistroSaídas[[#This Row],[Data do Caixa Previsto]]))</f>
        <v>5</v>
      </c>
      <c r="N88" s="46">
        <f>IF(TbRegistroSaídas[[#This Row],[Data do Caixa Previsto]]="",0,YEAR(TbRegistroSaídas[[#This Row],[Data do Caixa Previsto]]))</f>
        <v>2018</v>
      </c>
      <c r="O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9" spans="2:15" hidden="1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46">
        <f>IF(TbRegistroSaídas[[#This Row],[Data do Caixa Previsto]]="",0,MONTH(TbRegistroSaídas[[#This Row],[Data do Caixa Previsto]]))</f>
        <v>4</v>
      </c>
      <c r="N89" s="46">
        <f>IF(TbRegistroSaídas[[#This Row],[Data do Caixa Previsto]]="",0,YEAR(TbRegistroSaídas[[#This Row],[Data do Caixa Previsto]]))</f>
        <v>2018</v>
      </c>
      <c r="O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0" spans="2:15" hidden="1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46">
        <f>IF(TbRegistroSaídas[[#This Row],[Data do Caixa Previsto]]="",0,MONTH(TbRegistroSaídas[[#This Row],[Data do Caixa Previsto]]))</f>
        <v>4</v>
      </c>
      <c r="N90" s="46">
        <f>IF(TbRegistroSaídas[[#This Row],[Data do Caixa Previsto]]="",0,YEAR(TbRegistroSaídas[[#This Row],[Data do Caixa Previsto]]))</f>
        <v>2018</v>
      </c>
      <c r="O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1" spans="2:15" hidden="1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46">
        <f>IF(TbRegistroSaídas[[#This Row],[Data do Caixa Previsto]]="",0,MONTH(TbRegistroSaídas[[#This Row],[Data do Caixa Previsto]]))</f>
        <v>4</v>
      </c>
      <c r="N91" s="46">
        <f>IF(TbRegistroSaídas[[#This Row],[Data do Caixa Previsto]]="",0,YEAR(TbRegistroSaídas[[#This Row],[Data do Caixa Previsto]]))</f>
        <v>2018</v>
      </c>
      <c r="O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2" spans="2:15" hidden="1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46">
        <f>IF(TbRegistroSaídas[[#This Row],[Data do Caixa Previsto]]="",0,MONTH(TbRegistroSaídas[[#This Row],[Data do Caixa Previsto]]))</f>
        <v>5</v>
      </c>
      <c r="N92" s="46">
        <f>IF(TbRegistroSaídas[[#This Row],[Data do Caixa Previsto]]="",0,YEAR(TbRegistroSaídas[[#This Row],[Data do Caixa Previsto]]))</f>
        <v>2018</v>
      </c>
      <c r="O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3" spans="2:15" hidden="1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46">
        <f>IF(TbRegistroSaídas[[#This Row],[Data do Caixa Previsto]]="",0,MONTH(TbRegistroSaídas[[#This Row],[Data do Caixa Previsto]]))</f>
        <v>4</v>
      </c>
      <c r="N93" s="46">
        <f>IF(TbRegistroSaídas[[#This Row],[Data do Caixa Previsto]]="",0,YEAR(TbRegistroSaídas[[#This Row],[Data do Caixa Previsto]]))</f>
        <v>2018</v>
      </c>
      <c r="O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4" spans="2:15" hidden="1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46">
        <f>IF(TbRegistroSaídas[[#This Row],[Data do Caixa Previsto]]="",0,MONTH(TbRegistroSaídas[[#This Row],[Data do Caixa Previsto]]))</f>
        <v>5</v>
      </c>
      <c r="N94" s="46">
        <f>IF(TbRegistroSaídas[[#This Row],[Data do Caixa Previsto]]="",0,YEAR(TbRegistroSaídas[[#This Row],[Data do Caixa Previsto]]))</f>
        <v>2018</v>
      </c>
      <c r="O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723</v>
      </c>
    </row>
    <row r="95" spans="2:15" hidden="1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46">
        <f>IF(TbRegistroSaídas[[#This Row],[Data do Caixa Previsto]]="",0,MONTH(TbRegistroSaídas[[#This Row],[Data do Caixa Previsto]]))</f>
        <v>4</v>
      </c>
      <c r="N95" s="46">
        <f>IF(TbRegistroSaídas[[#This Row],[Data do Caixa Previsto]]="",0,YEAR(TbRegistroSaídas[[#This Row],[Data do Caixa Previsto]]))</f>
        <v>2018</v>
      </c>
      <c r="O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6" spans="2:15" hidden="1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46">
        <f>IF(TbRegistroSaídas[[#This Row],[Data do Caixa Previsto]]="",0,MONTH(TbRegistroSaídas[[#This Row],[Data do Caixa Previsto]]))</f>
        <v>5</v>
      </c>
      <c r="N96" s="46">
        <f>IF(TbRegistroSaídas[[#This Row],[Data do Caixa Previsto]]="",0,YEAR(TbRegistroSaídas[[#This Row],[Data do Caixa Previsto]]))</f>
        <v>2018</v>
      </c>
      <c r="O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7" spans="2:15" hidden="1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46">
        <f>IF(TbRegistroSaídas[[#This Row],[Data do Caixa Previsto]]="",0,MONTH(TbRegistroSaídas[[#This Row],[Data do Caixa Previsto]]))</f>
        <v>5</v>
      </c>
      <c r="N97" s="46">
        <f>IF(TbRegistroSaídas[[#This Row],[Data do Caixa Previsto]]="",0,YEAR(TbRegistroSaídas[[#This Row],[Data do Caixa Previsto]]))</f>
        <v>2018</v>
      </c>
      <c r="O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694</v>
      </c>
    </row>
    <row r="98" spans="2:15" hidden="1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46">
        <f>IF(TbRegistroSaídas[[#This Row],[Data do Caixa Previsto]]="",0,MONTH(TbRegistroSaídas[[#This Row],[Data do Caixa Previsto]]))</f>
        <v>5</v>
      </c>
      <c r="N98" s="46">
        <f>IF(TbRegistroSaídas[[#This Row],[Data do Caixa Previsto]]="",0,YEAR(TbRegistroSaídas[[#This Row],[Data do Caixa Previsto]]))</f>
        <v>2018</v>
      </c>
      <c r="O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717</v>
      </c>
    </row>
    <row r="99" spans="2:15" hidden="1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46">
        <f>IF(TbRegistroSaídas[[#This Row],[Data do Caixa Previsto]]="",0,MONTH(TbRegistroSaídas[[#This Row],[Data do Caixa Previsto]]))</f>
        <v>6</v>
      </c>
      <c r="N99" s="46">
        <f>IF(TbRegistroSaídas[[#This Row],[Data do Caixa Previsto]]="",0,YEAR(TbRegistroSaídas[[#This Row],[Data do Caixa Previsto]]))</f>
        <v>2018</v>
      </c>
      <c r="O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0" spans="2:15" hidden="1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46">
        <f>IF(TbRegistroSaídas[[#This Row],[Data do Caixa Previsto]]="",0,MONTH(TbRegistroSaídas[[#This Row],[Data do Caixa Previsto]]))</f>
        <v>6</v>
      </c>
      <c r="N100" s="46">
        <f>IF(TbRegistroSaídas[[#This Row],[Data do Caixa Previsto]]="",0,YEAR(TbRegistroSaídas[[#This Row],[Data do Caixa Previsto]]))</f>
        <v>2018</v>
      </c>
      <c r="O1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1" spans="2:15" hidden="1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46">
        <f>IF(TbRegistroSaídas[[#This Row],[Data do Caixa Previsto]]="",0,MONTH(TbRegistroSaídas[[#This Row],[Data do Caixa Previsto]]))</f>
        <v>5</v>
      </c>
      <c r="N101" s="46">
        <f>IF(TbRegistroSaídas[[#This Row],[Data do Caixa Previsto]]="",0,YEAR(TbRegistroSaídas[[#This Row],[Data do Caixa Previsto]]))</f>
        <v>2018</v>
      </c>
      <c r="O1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2" spans="2:15" hidden="1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46">
        <f>IF(TbRegistroSaídas[[#This Row],[Data do Caixa Previsto]]="",0,MONTH(TbRegistroSaídas[[#This Row],[Data do Caixa Previsto]]))</f>
        <v>6</v>
      </c>
      <c r="N102" s="46">
        <f>IF(TbRegistroSaídas[[#This Row],[Data do Caixa Previsto]]="",0,YEAR(TbRegistroSaídas[[#This Row],[Data do Caixa Previsto]]))</f>
        <v>2018</v>
      </c>
      <c r="O1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667</v>
      </c>
    </row>
    <row r="103" spans="2:15" hidden="1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46">
        <f>IF(TbRegistroSaídas[[#This Row],[Data do Caixa Previsto]]="",0,MONTH(TbRegistroSaídas[[#This Row],[Data do Caixa Previsto]]))</f>
        <v>7</v>
      </c>
      <c r="N103" s="46">
        <f>IF(TbRegistroSaídas[[#This Row],[Data do Caixa Previsto]]="",0,YEAR(TbRegistroSaídas[[#This Row],[Data do Caixa Previsto]]))</f>
        <v>2018</v>
      </c>
      <c r="O1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4" spans="2:15" hidden="1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46">
        <f>IF(TbRegistroSaídas[[#This Row],[Data do Caixa Previsto]]="",0,MONTH(TbRegistroSaídas[[#This Row],[Data do Caixa Previsto]]))</f>
        <v>7</v>
      </c>
      <c r="N104" s="46">
        <f>IF(TbRegistroSaídas[[#This Row],[Data do Caixa Previsto]]="",0,YEAR(TbRegistroSaídas[[#This Row],[Data do Caixa Previsto]]))</f>
        <v>2018</v>
      </c>
      <c r="O1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5" spans="2:15" hidden="1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46">
        <f>IF(TbRegistroSaídas[[#This Row],[Data do Caixa Previsto]]="",0,MONTH(TbRegistroSaídas[[#This Row],[Data do Caixa Previsto]]))</f>
        <v>7</v>
      </c>
      <c r="N105" s="46">
        <f>IF(TbRegistroSaídas[[#This Row],[Data do Caixa Previsto]]="",0,YEAR(TbRegistroSaídas[[#This Row],[Data do Caixa Previsto]]))</f>
        <v>2018</v>
      </c>
      <c r="O1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6" spans="2:15" hidden="1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46">
        <f>IF(TbRegistroSaídas[[#This Row],[Data do Caixa Previsto]]="",0,MONTH(TbRegistroSaídas[[#This Row],[Data do Caixa Previsto]]))</f>
        <v>6</v>
      </c>
      <c r="N106" s="46">
        <f>IF(TbRegistroSaídas[[#This Row],[Data do Caixa Previsto]]="",0,YEAR(TbRegistroSaídas[[#This Row],[Data do Caixa Previsto]]))</f>
        <v>2018</v>
      </c>
      <c r="O1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692</v>
      </c>
    </row>
    <row r="107" spans="2:15" hidden="1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46">
        <f>IF(TbRegistroSaídas[[#This Row],[Data do Caixa Previsto]]="",0,MONTH(TbRegistroSaídas[[#This Row],[Data do Caixa Previsto]]))</f>
        <v>6</v>
      </c>
      <c r="N107" s="46">
        <f>IF(TbRegistroSaídas[[#This Row],[Data do Caixa Previsto]]="",0,YEAR(TbRegistroSaídas[[#This Row],[Data do Caixa Previsto]]))</f>
        <v>2018</v>
      </c>
      <c r="O1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8" spans="2:15" hidden="1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46">
        <f>IF(TbRegistroSaídas[[#This Row],[Data do Caixa Previsto]]="",0,MONTH(TbRegistroSaídas[[#This Row],[Data do Caixa Previsto]]))</f>
        <v>6</v>
      </c>
      <c r="N108" s="46">
        <f>IF(TbRegistroSaídas[[#This Row],[Data do Caixa Previsto]]="",0,YEAR(TbRegistroSaídas[[#This Row],[Data do Caixa Previsto]]))</f>
        <v>2018</v>
      </c>
      <c r="O1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9" spans="2:15" hidden="1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46">
        <f>IF(TbRegistroSaídas[[#This Row],[Data do Caixa Previsto]]="",0,MONTH(TbRegistroSaídas[[#This Row],[Data do Caixa Previsto]]))</f>
        <v>7</v>
      </c>
      <c r="N109" s="46">
        <f>IF(TbRegistroSaídas[[#This Row],[Data do Caixa Previsto]]="",0,YEAR(TbRegistroSaídas[[#This Row],[Data do Caixa Previsto]]))</f>
        <v>2018</v>
      </c>
      <c r="O1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0" spans="2:15" hidden="1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46">
        <f>IF(TbRegistroSaídas[[#This Row],[Data do Caixa Previsto]]="",0,MONTH(TbRegistroSaídas[[#This Row],[Data do Caixa Previsto]]))</f>
        <v>6</v>
      </c>
      <c r="N110" s="46">
        <f>IF(TbRegistroSaídas[[#This Row],[Data do Caixa Previsto]]="",0,YEAR(TbRegistroSaídas[[#This Row],[Data do Caixa Previsto]]))</f>
        <v>2018</v>
      </c>
      <c r="O1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1" spans="2:15" hidden="1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46">
        <f>IF(TbRegistroSaídas[[#This Row],[Data do Caixa Previsto]]="",0,MONTH(TbRegistroSaídas[[#This Row],[Data do Caixa Previsto]]))</f>
        <v>7</v>
      </c>
      <c r="N111" s="46">
        <f>IF(TbRegistroSaídas[[#This Row],[Data do Caixa Previsto]]="",0,YEAR(TbRegistroSaídas[[#This Row],[Data do Caixa Previsto]]))</f>
        <v>2018</v>
      </c>
      <c r="O1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2" spans="2:15" hidden="1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46">
        <f>IF(TbRegistroSaídas[[#This Row],[Data do Caixa Previsto]]="",0,MONTH(TbRegistroSaídas[[#This Row],[Data do Caixa Previsto]]))</f>
        <v>6</v>
      </c>
      <c r="N112" s="46">
        <f>IF(TbRegistroSaídas[[#This Row],[Data do Caixa Previsto]]="",0,YEAR(TbRegistroSaídas[[#This Row],[Data do Caixa Previsto]]))</f>
        <v>2018</v>
      </c>
      <c r="O1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3" spans="2:15" hidden="1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46">
        <f>IF(TbRegistroSaídas[[#This Row],[Data do Caixa Previsto]]="",0,MONTH(TbRegistroSaídas[[#This Row],[Data do Caixa Previsto]]))</f>
        <v>7</v>
      </c>
      <c r="N113" s="46">
        <f>IF(TbRegistroSaídas[[#This Row],[Data do Caixa Previsto]]="",0,YEAR(TbRegistroSaídas[[#This Row],[Data do Caixa Previsto]]))</f>
        <v>2018</v>
      </c>
      <c r="O1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657</v>
      </c>
    </row>
    <row r="114" spans="2:15" hidden="1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46">
        <f>IF(TbRegistroSaídas[[#This Row],[Data do Caixa Previsto]]="",0,MONTH(TbRegistroSaídas[[#This Row],[Data do Caixa Previsto]]))</f>
        <v>8</v>
      </c>
      <c r="N114" s="46">
        <f>IF(TbRegistroSaídas[[#This Row],[Data do Caixa Previsto]]="",0,YEAR(TbRegistroSaídas[[#This Row],[Data do Caixa Previsto]]))</f>
        <v>2018</v>
      </c>
      <c r="O1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5" spans="2:15" hidden="1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46">
        <f>IF(TbRegistroSaídas[[#This Row],[Data do Caixa Previsto]]="",0,MONTH(TbRegistroSaídas[[#This Row],[Data do Caixa Previsto]]))</f>
        <v>7</v>
      </c>
      <c r="N115" s="46">
        <f>IF(TbRegistroSaídas[[#This Row],[Data do Caixa Previsto]]="",0,YEAR(TbRegistroSaídas[[#This Row],[Data do Caixa Previsto]]))</f>
        <v>2018</v>
      </c>
      <c r="O1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6" spans="2:15" hidden="1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46">
        <f>IF(TbRegistroSaídas[[#This Row],[Data do Caixa Previsto]]="",0,MONTH(TbRegistroSaídas[[#This Row],[Data do Caixa Previsto]]))</f>
        <v>7</v>
      </c>
      <c r="N116" s="46">
        <f>IF(TbRegistroSaídas[[#This Row],[Data do Caixa Previsto]]="",0,YEAR(TbRegistroSaídas[[#This Row],[Data do Caixa Previsto]]))</f>
        <v>2018</v>
      </c>
      <c r="O1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640</v>
      </c>
    </row>
    <row r="117" spans="2:15" hidden="1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46">
        <f>IF(TbRegistroSaídas[[#This Row],[Data do Caixa Previsto]]="",0,MONTH(TbRegistroSaídas[[#This Row],[Data do Caixa Previsto]]))</f>
        <v>7</v>
      </c>
      <c r="N117" s="46">
        <f>IF(TbRegistroSaídas[[#This Row],[Data do Caixa Previsto]]="",0,YEAR(TbRegistroSaídas[[#This Row],[Data do Caixa Previsto]]))</f>
        <v>2018</v>
      </c>
      <c r="O1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8" spans="2:15" hidden="1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46">
        <f>IF(TbRegistroSaídas[[#This Row],[Data do Caixa Previsto]]="",0,MONTH(TbRegistroSaídas[[#This Row],[Data do Caixa Previsto]]))</f>
        <v>8</v>
      </c>
      <c r="N118" s="46">
        <f>IF(TbRegistroSaídas[[#This Row],[Data do Caixa Previsto]]="",0,YEAR(TbRegistroSaídas[[#This Row],[Data do Caixa Previsto]]))</f>
        <v>2018</v>
      </c>
      <c r="O1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9" spans="2:15" hidden="1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46">
        <f>IF(TbRegistroSaídas[[#This Row],[Data do Caixa Previsto]]="",0,MONTH(TbRegistroSaídas[[#This Row],[Data do Caixa Previsto]]))</f>
        <v>7</v>
      </c>
      <c r="N119" s="46">
        <f>IF(TbRegistroSaídas[[#This Row],[Data do Caixa Previsto]]="",0,YEAR(TbRegistroSaídas[[#This Row],[Data do Caixa Previsto]]))</f>
        <v>2018</v>
      </c>
      <c r="O1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0" spans="2:15" hidden="1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46">
        <f>IF(TbRegistroSaídas[[#This Row],[Data do Caixa Previsto]]="",0,MONTH(TbRegistroSaídas[[#This Row],[Data do Caixa Previsto]]))</f>
        <v>7</v>
      </c>
      <c r="N120" s="46">
        <f>IF(TbRegistroSaídas[[#This Row],[Data do Caixa Previsto]]="",0,YEAR(TbRegistroSaídas[[#This Row],[Data do Caixa Previsto]]))</f>
        <v>2018</v>
      </c>
      <c r="O1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53</v>
      </c>
    </row>
    <row r="121" spans="2:15" hidden="1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46">
        <f>IF(TbRegistroSaídas[[#This Row],[Data do Caixa Previsto]]="",0,MONTH(TbRegistroSaídas[[#This Row],[Data do Caixa Previsto]]))</f>
        <v>7</v>
      </c>
      <c r="N121" s="46">
        <f>IF(TbRegistroSaídas[[#This Row],[Data do Caixa Previsto]]="",0,YEAR(TbRegistroSaídas[[#This Row],[Data do Caixa Previsto]]))</f>
        <v>2018</v>
      </c>
      <c r="O1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647</v>
      </c>
    </row>
    <row r="122" spans="2:15" hidden="1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46">
        <f>IF(TbRegistroSaídas[[#This Row],[Data do Caixa Previsto]]="",0,MONTH(TbRegistroSaídas[[#This Row],[Data do Caixa Previsto]]))</f>
        <v>9</v>
      </c>
      <c r="N122" s="46">
        <f>IF(TbRegistroSaídas[[#This Row],[Data do Caixa Previsto]]="",0,YEAR(TbRegistroSaídas[[#This Row],[Data do Caixa Previsto]]))</f>
        <v>2018</v>
      </c>
      <c r="O1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3" spans="2:15" hidden="1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46">
        <f>IF(TbRegistroSaídas[[#This Row],[Data do Caixa Previsto]]="",0,MONTH(TbRegistroSaídas[[#This Row],[Data do Caixa Previsto]]))</f>
        <v>8</v>
      </c>
      <c r="N123" s="46">
        <f>IF(TbRegistroSaídas[[#This Row],[Data do Caixa Previsto]]="",0,YEAR(TbRegistroSaídas[[#This Row],[Data do Caixa Previsto]]))</f>
        <v>2018</v>
      </c>
      <c r="O1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4" spans="2:15" hidden="1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46">
        <f>IF(TbRegistroSaídas[[#This Row],[Data do Caixa Previsto]]="",0,MONTH(TbRegistroSaídas[[#This Row],[Data do Caixa Previsto]]))</f>
        <v>7</v>
      </c>
      <c r="N124" s="46">
        <f>IF(TbRegistroSaídas[[#This Row],[Data do Caixa Previsto]]="",0,YEAR(TbRegistroSaídas[[#This Row],[Data do Caixa Previsto]]))</f>
        <v>2018</v>
      </c>
      <c r="O1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5" spans="2:15" hidden="1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46">
        <f>IF(TbRegistroSaídas[[#This Row],[Data do Caixa Previsto]]="",0,MONTH(TbRegistroSaídas[[#This Row],[Data do Caixa Previsto]]))</f>
        <v>7</v>
      </c>
      <c r="N125" s="46">
        <f>IF(TbRegistroSaídas[[#This Row],[Data do Caixa Previsto]]="",0,YEAR(TbRegistroSaídas[[#This Row],[Data do Caixa Previsto]]))</f>
        <v>2018</v>
      </c>
      <c r="O1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6" spans="2:15" hidden="1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46">
        <f>IF(TbRegistroSaídas[[#This Row],[Data do Caixa Previsto]]="",0,MONTH(TbRegistroSaídas[[#This Row],[Data do Caixa Previsto]]))</f>
        <v>8</v>
      </c>
      <c r="N126" s="46">
        <f>IF(TbRegistroSaídas[[#This Row],[Data do Caixa Previsto]]="",0,YEAR(TbRegistroSaídas[[#This Row],[Data do Caixa Previsto]]))</f>
        <v>2018</v>
      </c>
      <c r="O1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7" spans="2:15" hidden="1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46">
        <f>IF(TbRegistroSaídas[[#This Row],[Data do Caixa Previsto]]="",0,MONTH(TbRegistroSaídas[[#This Row],[Data do Caixa Previsto]]))</f>
        <v>10</v>
      </c>
      <c r="N127" s="46">
        <f>IF(TbRegistroSaídas[[#This Row],[Data do Caixa Previsto]]="",0,YEAR(TbRegistroSaídas[[#This Row],[Data do Caixa Previsto]]))</f>
        <v>2018</v>
      </c>
      <c r="O1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8" spans="2:15" hidden="1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46">
        <f>IF(TbRegistroSaídas[[#This Row],[Data do Caixa Previsto]]="",0,MONTH(TbRegistroSaídas[[#This Row],[Data do Caixa Previsto]]))</f>
        <v>9</v>
      </c>
      <c r="N128" s="46">
        <f>IF(TbRegistroSaídas[[#This Row],[Data do Caixa Previsto]]="",0,YEAR(TbRegistroSaídas[[#This Row],[Data do Caixa Previsto]]))</f>
        <v>2018</v>
      </c>
      <c r="O1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9" spans="2:15" hidden="1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46">
        <f>IF(TbRegistroSaídas[[#This Row],[Data do Caixa Previsto]]="",0,MONTH(TbRegistroSaídas[[#This Row],[Data do Caixa Previsto]]))</f>
        <v>9</v>
      </c>
      <c r="N129" s="46">
        <f>IF(TbRegistroSaídas[[#This Row],[Data do Caixa Previsto]]="",0,YEAR(TbRegistroSaídas[[#This Row],[Data do Caixa Previsto]]))</f>
        <v>2018</v>
      </c>
      <c r="O1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0" spans="2:15" hidden="1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46">
        <f>IF(TbRegistroSaídas[[#This Row],[Data do Caixa Previsto]]="",0,MONTH(TbRegistroSaídas[[#This Row],[Data do Caixa Previsto]]))</f>
        <v>9</v>
      </c>
      <c r="N130" s="46">
        <f>IF(TbRegistroSaídas[[#This Row],[Data do Caixa Previsto]]="",0,YEAR(TbRegistroSaídas[[#This Row],[Data do Caixa Previsto]]))</f>
        <v>2018</v>
      </c>
      <c r="O1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1" spans="2:15" hidden="1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46">
        <f>IF(TbRegistroSaídas[[#This Row],[Data do Caixa Previsto]]="",0,MONTH(TbRegistroSaídas[[#This Row],[Data do Caixa Previsto]]))</f>
        <v>9</v>
      </c>
      <c r="N131" s="46">
        <f>IF(TbRegistroSaídas[[#This Row],[Data do Caixa Previsto]]="",0,YEAR(TbRegistroSaídas[[#This Row],[Data do Caixa Previsto]]))</f>
        <v>2018</v>
      </c>
      <c r="O1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2" spans="2:15" hidden="1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46">
        <f>IF(TbRegistroSaídas[[#This Row],[Data do Caixa Previsto]]="",0,MONTH(TbRegistroSaídas[[#This Row],[Data do Caixa Previsto]]))</f>
        <v>9</v>
      </c>
      <c r="N132" s="46">
        <f>IF(TbRegistroSaídas[[#This Row],[Data do Caixa Previsto]]="",0,YEAR(TbRegistroSaídas[[#This Row],[Data do Caixa Previsto]]))</f>
        <v>2018</v>
      </c>
      <c r="O1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3" spans="2:15" hidden="1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46">
        <f>IF(TbRegistroSaídas[[#This Row],[Data do Caixa Previsto]]="",0,MONTH(TbRegistroSaídas[[#This Row],[Data do Caixa Previsto]]))</f>
        <v>8</v>
      </c>
      <c r="N133" s="46">
        <f>IF(TbRegistroSaídas[[#This Row],[Data do Caixa Previsto]]="",0,YEAR(TbRegistroSaídas[[#This Row],[Data do Caixa Previsto]]))</f>
        <v>2018</v>
      </c>
      <c r="O1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4" spans="2:15" hidden="1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46">
        <f>IF(TbRegistroSaídas[[#This Row],[Data do Caixa Previsto]]="",0,MONTH(TbRegistroSaídas[[#This Row],[Data do Caixa Previsto]]))</f>
        <v>9</v>
      </c>
      <c r="N134" s="46">
        <f>IF(TbRegistroSaídas[[#This Row],[Data do Caixa Previsto]]="",0,YEAR(TbRegistroSaídas[[#This Row],[Data do Caixa Previsto]]))</f>
        <v>2018</v>
      </c>
      <c r="O1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5" spans="2:15" hidden="1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46">
        <f>IF(TbRegistroSaídas[[#This Row],[Data do Caixa Previsto]]="",0,MONTH(TbRegistroSaídas[[#This Row],[Data do Caixa Previsto]]))</f>
        <v>10</v>
      </c>
      <c r="N135" s="46">
        <f>IF(TbRegistroSaídas[[#This Row],[Data do Caixa Previsto]]="",0,YEAR(TbRegistroSaídas[[#This Row],[Data do Caixa Previsto]]))</f>
        <v>2018</v>
      </c>
      <c r="O1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6" spans="2:15" hidden="1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46">
        <f>IF(TbRegistroSaídas[[#This Row],[Data do Caixa Previsto]]="",0,MONTH(TbRegistroSaídas[[#This Row],[Data do Caixa Previsto]]))</f>
        <v>10</v>
      </c>
      <c r="N136" s="46">
        <f>IF(TbRegistroSaídas[[#This Row],[Data do Caixa Previsto]]="",0,YEAR(TbRegistroSaídas[[#This Row],[Data do Caixa Previsto]]))</f>
        <v>2018</v>
      </c>
      <c r="O1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7" spans="2:15" hidden="1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46">
        <f>IF(TbRegistroSaídas[[#This Row],[Data do Caixa Previsto]]="",0,MONTH(TbRegistroSaídas[[#This Row],[Data do Caixa Previsto]]))</f>
        <v>9</v>
      </c>
      <c r="N137" s="46">
        <f>IF(TbRegistroSaídas[[#This Row],[Data do Caixa Previsto]]="",0,YEAR(TbRegistroSaídas[[#This Row],[Data do Caixa Previsto]]))</f>
        <v>2018</v>
      </c>
      <c r="O1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592</v>
      </c>
    </row>
    <row r="138" spans="2:15" hidden="1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46">
        <f>IF(TbRegistroSaídas[[#This Row],[Data do Caixa Previsto]]="",0,MONTH(TbRegistroSaídas[[#This Row],[Data do Caixa Previsto]]))</f>
        <v>9</v>
      </c>
      <c r="N138" s="46">
        <f>IF(TbRegistroSaídas[[#This Row],[Data do Caixa Previsto]]="",0,YEAR(TbRegistroSaídas[[#This Row],[Data do Caixa Previsto]]))</f>
        <v>2018</v>
      </c>
      <c r="O1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587</v>
      </c>
    </row>
    <row r="139" spans="2:15" hidden="1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46">
        <f>IF(TbRegistroSaídas[[#This Row],[Data do Caixa Previsto]]="",0,MONTH(TbRegistroSaídas[[#This Row],[Data do Caixa Previsto]]))</f>
        <v>11</v>
      </c>
      <c r="N139" s="46">
        <f>IF(TbRegistroSaídas[[#This Row],[Data do Caixa Previsto]]="",0,YEAR(TbRegistroSaídas[[#This Row],[Data do Caixa Previsto]]))</f>
        <v>2018</v>
      </c>
      <c r="O1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0" spans="2:15" hidden="1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46">
        <f>IF(TbRegistroSaídas[[#This Row],[Data do Caixa Previsto]]="",0,MONTH(TbRegistroSaídas[[#This Row],[Data do Caixa Previsto]]))</f>
        <v>10</v>
      </c>
      <c r="N140" s="46">
        <f>IF(TbRegistroSaídas[[#This Row],[Data do Caixa Previsto]]="",0,YEAR(TbRegistroSaídas[[#This Row],[Data do Caixa Previsto]]))</f>
        <v>2018</v>
      </c>
      <c r="O1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1" spans="2:15" hidden="1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46">
        <f>IF(TbRegistroSaídas[[#This Row],[Data do Caixa Previsto]]="",0,MONTH(TbRegistroSaídas[[#This Row],[Data do Caixa Previsto]]))</f>
        <v>10</v>
      </c>
      <c r="N141" s="46">
        <f>IF(TbRegistroSaídas[[#This Row],[Data do Caixa Previsto]]="",0,YEAR(TbRegistroSaídas[[#This Row],[Data do Caixa Previsto]]))</f>
        <v>2018</v>
      </c>
      <c r="O1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2" spans="2:15" hidden="1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46">
        <f>IF(TbRegistroSaídas[[#This Row],[Data do Caixa Previsto]]="",0,MONTH(TbRegistroSaídas[[#This Row],[Data do Caixa Previsto]]))</f>
        <v>11</v>
      </c>
      <c r="N142" s="46">
        <f>IF(TbRegistroSaídas[[#This Row],[Data do Caixa Previsto]]="",0,YEAR(TbRegistroSaídas[[#This Row],[Data do Caixa Previsto]]))</f>
        <v>2018</v>
      </c>
      <c r="O1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3" spans="2:15" hidden="1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46">
        <f>IF(TbRegistroSaídas[[#This Row],[Data do Caixa Previsto]]="",0,MONTH(TbRegistroSaídas[[#This Row],[Data do Caixa Previsto]]))</f>
        <v>11</v>
      </c>
      <c r="N143" s="46">
        <f>IF(TbRegistroSaídas[[#This Row],[Data do Caixa Previsto]]="",0,YEAR(TbRegistroSaídas[[#This Row],[Data do Caixa Previsto]]))</f>
        <v>2018</v>
      </c>
      <c r="O1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44" spans="2:15" hidden="1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46">
        <f>IF(TbRegistroSaídas[[#This Row],[Data do Caixa Previsto]]="",0,MONTH(TbRegistroSaídas[[#This Row],[Data do Caixa Previsto]]))</f>
        <v>10</v>
      </c>
      <c r="N144" s="46">
        <f>IF(TbRegistroSaídas[[#This Row],[Data do Caixa Previsto]]="",0,YEAR(TbRegistroSaídas[[#This Row],[Data do Caixa Previsto]]))</f>
        <v>2018</v>
      </c>
      <c r="O1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5" spans="2:15" hidden="1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46">
        <f>IF(TbRegistroSaídas[[#This Row],[Data do Caixa Previsto]]="",0,MONTH(TbRegistroSaídas[[#This Row],[Data do Caixa Previsto]]))</f>
        <v>10</v>
      </c>
      <c r="N145" s="46">
        <f>IF(TbRegistroSaídas[[#This Row],[Data do Caixa Previsto]]="",0,YEAR(TbRegistroSaídas[[#This Row],[Data do Caixa Previsto]]))</f>
        <v>2018</v>
      </c>
      <c r="O1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6" spans="2:15" hidden="1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46">
        <f>IF(TbRegistroSaídas[[#This Row],[Data do Caixa Previsto]]="",0,MONTH(TbRegistroSaídas[[#This Row],[Data do Caixa Previsto]]))</f>
        <v>10</v>
      </c>
      <c r="N146" s="46">
        <f>IF(TbRegistroSaídas[[#This Row],[Data do Caixa Previsto]]="",0,YEAR(TbRegistroSaídas[[#This Row],[Data do Caixa Previsto]]))</f>
        <v>2018</v>
      </c>
      <c r="O1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</v>
      </c>
    </row>
    <row r="147" spans="2:15" hidden="1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46">
        <f>IF(TbRegistroSaídas[[#This Row],[Data do Caixa Previsto]]="",0,MONTH(TbRegistroSaídas[[#This Row],[Data do Caixa Previsto]]))</f>
        <v>10</v>
      </c>
      <c r="N147" s="46">
        <f>IF(TbRegistroSaídas[[#This Row],[Data do Caixa Previsto]]="",0,YEAR(TbRegistroSaídas[[#This Row],[Data do Caixa Previsto]]))</f>
        <v>2018</v>
      </c>
      <c r="O1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61</v>
      </c>
    </row>
    <row r="148" spans="2:15" hidden="1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46">
        <f>IF(TbRegistroSaídas[[#This Row],[Data do Caixa Previsto]]="",0,MONTH(TbRegistroSaídas[[#This Row],[Data do Caixa Previsto]]))</f>
        <v>12</v>
      </c>
      <c r="N148" s="46">
        <f>IF(TbRegistroSaídas[[#This Row],[Data do Caixa Previsto]]="",0,YEAR(TbRegistroSaídas[[#This Row],[Data do Caixa Previsto]]))</f>
        <v>2018</v>
      </c>
      <c r="O1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9" spans="2:15" hidden="1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46">
        <f>IF(TbRegistroSaídas[[#This Row],[Data do Caixa Previsto]]="",0,MONTH(TbRegistroSaídas[[#This Row],[Data do Caixa Previsto]]))</f>
        <v>10</v>
      </c>
      <c r="N149" s="46">
        <f>IF(TbRegistroSaídas[[#This Row],[Data do Caixa Previsto]]="",0,YEAR(TbRegistroSaídas[[#This Row],[Data do Caixa Previsto]]))</f>
        <v>2018</v>
      </c>
      <c r="O1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0" spans="2:15" hidden="1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46">
        <f>IF(TbRegistroSaídas[[#This Row],[Data do Caixa Previsto]]="",0,MONTH(TbRegistroSaídas[[#This Row],[Data do Caixa Previsto]]))</f>
        <v>12</v>
      </c>
      <c r="N150" s="46">
        <f>IF(TbRegistroSaídas[[#This Row],[Data do Caixa Previsto]]="",0,YEAR(TbRegistroSaídas[[#This Row],[Data do Caixa Previsto]]))</f>
        <v>2018</v>
      </c>
      <c r="O1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1" spans="2:15" hidden="1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46">
        <f>IF(TbRegistroSaídas[[#This Row],[Data do Caixa Previsto]]="",0,MONTH(TbRegistroSaídas[[#This Row],[Data do Caixa Previsto]]))</f>
        <v>11</v>
      </c>
      <c r="N151" s="46">
        <f>IF(TbRegistroSaídas[[#This Row],[Data do Caixa Previsto]]="",0,YEAR(TbRegistroSaídas[[#This Row],[Data do Caixa Previsto]]))</f>
        <v>2018</v>
      </c>
      <c r="O1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2" spans="2:15" hidden="1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46">
        <f>IF(TbRegistroSaídas[[#This Row],[Data do Caixa Previsto]]="",0,MONTH(TbRegistroSaídas[[#This Row],[Data do Caixa Previsto]]))</f>
        <v>10</v>
      </c>
      <c r="N152" s="46">
        <f>IF(TbRegistroSaídas[[#This Row],[Data do Caixa Previsto]]="",0,YEAR(TbRegistroSaídas[[#This Row],[Data do Caixa Previsto]]))</f>
        <v>2018</v>
      </c>
      <c r="O1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3" spans="2:15" hidden="1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46">
        <f>IF(TbRegistroSaídas[[#This Row],[Data do Caixa Previsto]]="",0,MONTH(TbRegistroSaídas[[#This Row],[Data do Caixa Previsto]]))</f>
        <v>12</v>
      </c>
      <c r="N153" s="46">
        <f>IF(TbRegistroSaídas[[#This Row],[Data do Caixa Previsto]]="",0,YEAR(TbRegistroSaídas[[#This Row],[Data do Caixa Previsto]]))</f>
        <v>2018</v>
      </c>
      <c r="O1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4" spans="2:15" hidden="1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46">
        <f>IF(TbRegistroSaídas[[#This Row],[Data do Caixa Previsto]]="",0,MONTH(TbRegistroSaídas[[#This Row],[Data do Caixa Previsto]]))</f>
        <v>1</v>
      </c>
      <c r="N154" s="46">
        <f>IF(TbRegistroSaídas[[#This Row],[Data do Caixa Previsto]]="",0,YEAR(TbRegistroSaídas[[#This Row],[Data do Caixa Previsto]]))</f>
        <v>2019</v>
      </c>
      <c r="O1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5" spans="2:15" hidden="1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46">
        <f>IF(TbRegistroSaídas[[#This Row],[Data do Caixa Previsto]]="",0,MONTH(TbRegistroSaídas[[#This Row],[Data do Caixa Previsto]]))</f>
        <v>12</v>
      </c>
      <c r="N155" s="46">
        <f>IF(TbRegistroSaídas[[#This Row],[Data do Caixa Previsto]]="",0,YEAR(TbRegistroSaídas[[#This Row],[Data do Caixa Previsto]]))</f>
        <v>2018</v>
      </c>
      <c r="O1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6" spans="2:15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46">
        <f>IF(TbRegistroSaídas[[#This Row],[Data do Caixa Previsto]]="",0,MONTH(TbRegistroSaídas[[#This Row],[Data do Caixa Previsto]]))</f>
        <v>1</v>
      </c>
      <c r="N156" s="46">
        <f>IF(TbRegistroSaídas[[#This Row],[Data do Caixa Previsto]]="",0,YEAR(TbRegistroSaídas[[#This Row],[Data do Caixa Previsto]]))</f>
        <v>2019</v>
      </c>
      <c r="O1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11</v>
      </c>
    </row>
    <row r="157" spans="2:15" hidden="1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46">
        <f>IF(TbRegistroSaídas[[#This Row],[Data do Caixa Previsto]]="",0,MONTH(TbRegistroSaídas[[#This Row],[Data do Caixa Previsto]]))</f>
        <v>11</v>
      </c>
      <c r="N157" s="46">
        <f>IF(TbRegistroSaídas[[#This Row],[Data do Caixa Previsto]]="",0,YEAR(TbRegistroSaídas[[#This Row],[Data do Caixa Previsto]]))</f>
        <v>2018</v>
      </c>
      <c r="O1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58" spans="2:15" hidden="1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46">
        <f>IF(TbRegistroSaídas[[#This Row],[Data do Caixa Previsto]]="",0,MONTH(TbRegistroSaídas[[#This Row],[Data do Caixa Previsto]]))</f>
        <v>12</v>
      </c>
      <c r="N158" s="46">
        <f>IF(TbRegistroSaídas[[#This Row],[Data do Caixa Previsto]]="",0,YEAR(TbRegistroSaídas[[#This Row],[Data do Caixa Previsto]]))</f>
        <v>2018</v>
      </c>
      <c r="O1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9" spans="2:15" hidden="1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46">
        <f>IF(TbRegistroSaídas[[#This Row],[Data do Caixa Previsto]]="",0,MONTH(TbRegistroSaídas[[#This Row],[Data do Caixa Previsto]]))</f>
        <v>11</v>
      </c>
      <c r="N159" s="46">
        <f>IF(TbRegistroSaídas[[#This Row],[Data do Caixa Previsto]]="",0,YEAR(TbRegistroSaídas[[#This Row],[Data do Caixa Previsto]]))</f>
        <v>2018</v>
      </c>
      <c r="O1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60" spans="2:15" hidden="1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46">
        <f>IF(TbRegistroSaídas[[#This Row],[Data do Caixa Previsto]]="",0,MONTH(TbRegistroSaídas[[#This Row],[Data do Caixa Previsto]]))</f>
        <v>11</v>
      </c>
      <c r="N160" s="46">
        <f>IF(TbRegistroSaídas[[#This Row],[Data do Caixa Previsto]]="",0,YEAR(TbRegistroSaídas[[#This Row],[Data do Caixa Previsto]]))</f>
        <v>2018</v>
      </c>
      <c r="O1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1" spans="2:15" hidden="1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46">
        <f>IF(TbRegistroSaídas[[#This Row],[Data do Caixa Previsto]]="",0,MONTH(TbRegistroSaídas[[#This Row],[Data do Caixa Previsto]]))</f>
        <v>11</v>
      </c>
      <c r="N161" s="46">
        <f>IF(TbRegistroSaídas[[#This Row],[Data do Caixa Previsto]]="",0,YEAR(TbRegistroSaídas[[#This Row],[Data do Caixa Previsto]]))</f>
        <v>2018</v>
      </c>
      <c r="O1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2" spans="2:15" hidden="1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46">
        <f>IF(TbRegistroSaídas[[#This Row],[Data do Caixa Previsto]]="",0,MONTH(TbRegistroSaídas[[#This Row],[Data do Caixa Previsto]]))</f>
        <v>11</v>
      </c>
      <c r="N162" s="46">
        <f>IF(TbRegistroSaídas[[#This Row],[Data do Caixa Previsto]]="",0,YEAR(TbRegistroSaídas[[#This Row],[Data do Caixa Previsto]]))</f>
        <v>2018</v>
      </c>
      <c r="O1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3" spans="2:15" hidden="1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46">
        <f>IF(TbRegistroSaídas[[#This Row],[Data do Caixa Previsto]]="",0,MONTH(TbRegistroSaídas[[#This Row],[Data do Caixa Previsto]]))</f>
        <v>1</v>
      </c>
      <c r="N163" s="46">
        <f>IF(TbRegistroSaídas[[#This Row],[Data do Caixa Previsto]]="",0,YEAR(TbRegistroSaídas[[#This Row],[Data do Caixa Previsto]]))</f>
        <v>2019</v>
      </c>
      <c r="O1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4" spans="2:15" hidden="1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46">
        <f>IF(TbRegistroSaídas[[#This Row],[Data do Caixa Previsto]]="",0,MONTH(TbRegistroSaídas[[#This Row],[Data do Caixa Previsto]]))</f>
        <v>1</v>
      </c>
      <c r="N164" s="46">
        <f>IF(TbRegistroSaídas[[#This Row],[Data do Caixa Previsto]]="",0,YEAR(TbRegistroSaídas[[#This Row],[Data do Caixa Previsto]]))</f>
        <v>2019</v>
      </c>
      <c r="O1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5" spans="2:15" hidden="1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46">
        <f>IF(TbRegistroSaídas[[#This Row],[Data do Caixa Previsto]]="",0,MONTH(TbRegistroSaídas[[#This Row],[Data do Caixa Previsto]]))</f>
        <v>12</v>
      </c>
      <c r="N165" s="46">
        <f>IF(TbRegistroSaídas[[#This Row],[Data do Caixa Previsto]]="",0,YEAR(TbRegistroSaídas[[#This Row],[Data do Caixa Previsto]]))</f>
        <v>2018</v>
      </c>
      <c r="O1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6" spans="2:15" hidden="1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46">
        <f>IF(TbRegistroSaídas[[#This Row],[Data do Caixa Previsto]]="",0,MONTH(TbRegistroSaídas[[#This Row],[Data do Caixa Previsto]]))</f>
        <v>12</v>
      </c>
      <c r="N166" s="46">
        <f>IF(TbRegistroSaídas[[#This Row],[Data do Caixa Previsto]]="",0,YEAR(TbRegistroSaídas[[#This Row],[Data do Caixa Previsto]]))</f>
        <v>2018</v>
      </c>
      <c r="O1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7" spans="2:15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46">
        <f>IF(TbRegistroSaídas[[#This Row],[Data do Caixa Previsto]]="",0,MONTH(TbRegistroSaídas[[#This Row],[Data do Caixa Previsto]]))</f>
        <v>1</v>
      </c>
      <c r="N167" s="46">
        <f>IF(TbRegistroSaídas[[#This Row],[Data do Caixa Previsto]]="",0,YEAR(TbRegistroSaídas[[#This Row],[Data do Caixa Previsto]]))</f>
        <v>2019</v>
      </c>
      <c r="O1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465</v>
      </c>
    </row>
    <row r="168" spans="2:15" hidden="1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46">
        <f>IF(TbRegistroSaídas[[#This Row],[Data do Caixa Previsto]]="",0,MONTH(TbRegistroSaídas[[#This Row],[Data do Caixa Previsto]]))</f>
        <v>12</v>
      </c>
      <c r="N168" s="46">
        <f>IF(TbRegistroSaídas[[#This Row],[Data do Caixa Previsto]]="",0,YEAR(TbRegistroSaídas[[#This Row],[Data do Caixa Previsto]]))</f>
        <v>2018</v>
      </c>
      <c r="O1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9" spans="2:15" hidden="1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46">
        <f>IF(TbRegistroSaídas[[#This Row],[Data do Caixa Previsto]]="",0,MONTH(TbRegistroSaídas[[#This Row],[Data do Caixa Previsto]]))</f>
        <v>1</v>
      </c>
      <c r="N169" s="46">
        <f>IF(TbRegistroSaídas[[#This Row],[Data do Caixa Previsto]]="",0,YEAR(TbRegistroSaídas[[#This Row],[Data do Caixa Previsto]]))</f>
        <v>2019</v>
      </c>
      <c r="O1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0" spans="2:15" hidden="1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46">
        <f>IF(TbRegistroSaídas[[#This Row],[Data do Caixa Previsto]]="",0,MONTH(TbRegistroSaídas[[#This Row],[Data do Caixa Previsto]]))</f>
        <v>2</v>
      </c>
      <c r="N170" s="46">
        <f>IF(TbRegistroSaídas[[#This Row],[Data do Caixa Previsto]]="",0,YEAR(TbRegistroSaídas[[#This Row],[Data do Caixa Previsto]]))</f>
        <v>2019</v>
      </c>
      <c r="O1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1" spans="2:15" hidden="1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46">
        <f>IF(TbRegistroSaídas[[#This Row],[Data do Caixa Previsto]]="",0,MONTH(TbRegistroSaídas[[#This Row],[Data do Caixa Previsto]]))</f>
        <v>1</v>
      </c>
      <c r="N171" s="46">
        <f>IF(TbRegistroSaídas[[#This Row],[Data do Caixa Previsto]]="",0,YEAR(TbRegistroSaídas[[#This Row],[Data do Caixa Previsto]]))</f>
        <v>2019</v>
      </c>
      <c r="O1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2" spans="2:15" hidden="1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46">
        <f>IF(TbRegistroSaídas[[#This Row],[Data do Caixa Previsto]]="",0,MONTH(TbRegistroSaídas[[#This Row],[Data do Caixa Previsto]]))</f>
        <v>2</v>
      </c>
      <c r="N172" s="46">
        <f>IF(TbRegistroSaídas[[#This Row],[Data do Caixa Previsto]]="",0,YEAR(TbRegistroSaídas[[#This Row],[Data do Caixa Previsto]]))</f>
        <v>2019</v>
      </c>
      <c r="O1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3" spans="2:15" hidden="1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46">
        <f>IF(TbRegistroSaídas[[#This Row],[Data do Caixa Previsto]]="",0,MONTH(TbRegistroSaídas[[#This Row],[Data do Caixa Previsto]]))</f>
        <v>1</v>
      </c>
      <c r="N173" s="46">
        <f>IF(TbRegistroSaídas[[#This Row],[Data do Caixa Previsto]]="",0,YEAR(TbRegistroSaídas[[#This Row],[Data do Caixa Previsto]]))</f>
        <v>2019</v>
      </c>
      <c r="O1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4" spans="2:15" hidden="1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46">
        <f>IF(TbRegistroSaídas[[#This Row],[Data do Caixa Previsto]]="",0,MONTH(TbRegistroSaídas[[#This Row],[Data do Caixa Previsto]]))</f>
        <v>1</v>
      </c>
      <c r="N174" s="46">
        <f>IF(TbRegistroSaídas[[#This Row],[Data do Caixa Previsto]]="",0,YEAR(TbRegistroSaídas[[#This Row],[Data do Caixa Previsto]]))</f>
        <v>2019</v>
      </c>
      <c r="O1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5" spans="2:15" hidden="1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46">
        <f>IF(TbRegistroSaídas[[#This Row],[Data do Caixa Previsto]]="",0,MONTH(TbRegistroSaídas[[#This Row],[Data do Caixa Previsto]]))</f>
        <v>2</v>
      </c>
      <c r="N175" s="46">
        <f>IF(TbRegistroSaídas[[#This Row],[Data do Caixa Previsto]]="",0,YEAR(TbRegistroSaídas[[#This Row],[Data do Caixa Previsto]]))</f>
        <v>2019</v>
      </c>
      <c r="O1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6" spans="2:15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46">
        <f>IF(TbRegistroSaídas[[#This Row],[Data do Caixa Previsto]]="",0,MONTH(TbRegistroSaídas[[#This Row],[Data do Caixa Previsto]]))</f>
        <v>1</v>
      </c>
      <c r="N176" s="46">
        <f>IF(TbRegistroSaídas[[#This Row],[Data do Caixa Previsto]]="",0,YEAR(TbRegistroSaídas[[#This Row],[Data do Caixa Previsto]]))</f>
        <v>2019</v>
      </c>
      <c r="O1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74</v>
      </c>
    </row>
    <row r="177" spans="2:15" hidden="1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46">
        <f>IF(TbRegistroSaídas[[#This Row],[Data do Caixa Previsto]]="",0,MONTH(TbRegistroSaídas[[#This Row],[Data do Caixa Previsto]]))</f>
        <v>1</v>
      </c>
      <c r="N177" s="46">
        <f>IF(TbRegistroSaídas[[#This Row],[Data do Caixa Previsto]]="",0,YEAR(TbRegistroSaídas[[#This Row],[Data do Caixa Previsto]]))</f>
        <v>2019</v>
      </c>
      <c r="O1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8" spans="2:15" hidden="1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46">
        <f>IF(TbRegistroSaídas[[#This Row],[Data do Caixa Previsto]]="",0,MONTH(TbRegistroSaídas[[#This Row],[Data do Caixa Previsto]]))</f>
        <v>2</v>
      </c>
      <c r="N178" s="46">
        <f>IF(TbRegistroSaídas[[#This Row],[Data do Caixa Previsto]]="",0,YEAR(TbRegistroSaídas[[#This Row],[Data do Caixa Previsto]]))</f>
        <v>2019</v>
      </c>
      <c r="O1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9" spans="2:15" hidden="1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46">
        <f>IF(TbRegistroSaídas[[#This Row],[Data do Caixa Previsto]]="",0,MONTH(TbRegistroSaídas[[#This Row],[Data do Caixa Previsto]]))</f>
        <v>1</v>
      </c>
      <c r="N179" s="46">
        <f>IF(TbRegistroSaídas[[#This Row],[Data do Caixa Previsto]]="",0,YEAR(TbRegistroSaídas[[#This Row],[Data do Caixa Previsto]]))</f>
        <v>2019</v>
      </c>
      <c r="O1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0" spans="2:15" hidden="1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46">
        <f>IF(TbRegistroSaídas[[#This Row],[Data do Caixa Previsto]]="",0,MONTH(TbRegistroSaídas[[#This Row],[Data do Caixa Previsto]]))</f>
        <v>1</v>
      </c>
      <c r="N180" s="46">
        <f>IF(TbRegistroSaídas[[#This Row],[Data do Caixa Previsto]]="",0,YEAR(TbRegistroSaídas[[#This Row],[Data do Caixa Previsto]]))</f>
        <v>2019</v>
      </c>
      <c r="O1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1" spans="2:15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46">
        <f>IF(TbRegistroSaídas[[#This Row],[Data do Caixa Previsto]]="",0,MONTH(TbRegistroSaídas[[#This Row],[Data do Caixa Previsto]]))</f>
        <v>2</v>
      </c>
      <c r="N181" s="46">
        <f>IF(TbRegistroSaídas[[#This Row],[Data do Caixa Previsto]]="",0,YEAR(TbRegistroSaídas[[#This Row],[Data do Caixa Previsto]]))</f>
        <v>2019</v>
      </c>
      <c r="O1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436</v>
      </c>
    </row>
    <row r="182" spans="2:15" hidden="1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46">
        <f>IF(TbRegistroSaídas[[#This Row],[Data do Caixa Previsto]]="",0,MONTH(TbRegistroSaídas[[#This Row],[Data do Caixa Previsto]]))</f>
        <v>2</v>
      </c>
      <c r="N182" s="46">
        <f>IF(TbRegistroSaídas[[#This Row],[Data do Caixa Previsto]]="",0,YEAR(TbRegistroSaídas[[#This Row],[Data do Caixa Previsto]]))</f>
        <v>2019</v>
      </c>
      <c r="O1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3" spans="2:15" hidden="1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46">
        <f>IF(TbRegistroSaídas[[#This Row],[Data do Caixa Previsto]]="",0,MONTH(TbRegistroSaídas[[#This Row],[Data do Caixa Previsto]]))</f>
        <v>2</v>
      </c>
      <c r="N183" s="46">
        <f>IF(TbRegistroSaídas[[#This Row],[Data do Caixa Previsto]]="",0,YEAR(TbRegistroSaídas[[#This Row],[Data do Caixa Previsto]]))</f>
        <v>2019</v>
      </c>
      <c r="O1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4" spans="2:15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46">
        <f>IF(TbRegistroSaídas[[#This Row],[Data do Caixa Previsto]]="",0,MONTH(TbRegistroSaídas[[#This Row],[Data do Caixa Previsto]]))</f>
        <v>2</v>
      </c>
      <c r="N184" s="46">
        <f>IF(TbRegistroSaídas[[#This Row],[Data do Caixa Previsto]]="",0,YEAR(TbRegistroSaídas[[#This Row],[Data do Caixa Previsto]]))</f>
        <v>2019</v>
      </c>
      <c r="O1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442</v>
      </c>
    </row>
    <row r="185" spans="2:15" hidden="1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46">
        <f>IF(TbRegistroSaídas[[#This Row],[Data do Caixa Previsto]]="",0,MONTH(TbRegistroSaídas[[#This Row],[Data do Caixa Previsto]]))</f>
        <v>2</v>
      </c>
      <c r="N185" s="46">
        <f>IF(TbRegistroSaídas[[#This Row],[Data do Caixa Previsto]]="",0,YEAR(TbRegistroSaídas[[#This Row],[Data do Caixa Previsto]]))</f>
        <v>2019</v>
      </c>
      <c r="O1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6" spans="2:15" hidden="1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46">
        <f>IF(TbRegistroSaídas[[#This Row],[Data do Caixa Previsto]]="",0,MONTH(TbRegistroSaídas[[#This Row],[Data do Caixa Previsto]]))</f>
        <v>2</v>
      </c>
      <c r="N186" s="46">
        <f>IF(TbRegistroSaídas[[#This Row],[Data do Caixa Previsto]]="",0,YEAR(TbRegistroSaídas[[#This Row],[Data do Caixa Previsto]]))</f>
        <v>2019</v>
      </c>
      <c r="O1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7" spans="2:15" hidden="1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46">
        <f>IF(TbRegistroSaídas[[#This Row],[Data do Caixa Previsto]]="",0,MONTH(TbRegistroSaídas[[#This Row],[Data do Caixa Previsto]]))</f>
        <v>3</v>
      </c>
      <c r="N187" s="46">
        <f>IF(TbRegistroSaídas[[#This Row],[Data do Caixa Previsto]]="",0,YEAR(TbRegistroSaídas[[#This Row],[Data do Caixa Previsto]]))</f>
        <v>2019</v>
      </c>
      <c r="O1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8" spans="2:15" hidden="1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46">
        <f>IF(TbRegistroSaídas[[#This Row],[Data do Caixa Previsto]]="",0,MONTH(TbRegistroSaídas[[#This Row],[Data do Caixa Previsto]]))</f>
        <v>2</v>
      </c>
      <c r="N188" s="46">
        <f>IF(TbRegistroSaídas[[#This Row],[Data do Caixa Previsto]]="",0,YEAR(TbRegistroSaídas[[#This Row],[Data do Caixa Previsto]]))</f>
        <v>2019</v>
      </c>
      <c r="O1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9" spans="2:15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46">
        <f>IF(TbRegistroSaídas[[#This Row],[Data do Caixa Previsto]]="",0,MONTH(TbRegistroSaídas[[#This Row],[Data do Caixa Previsto]]))</f>
        <v>2</v>
      </c>
      <c r="N189" s="46">
        <f>IF(TbRegistroSaídas[[#This Row],[Data do Caixa Previsto]]="",0,YEAR(TbRegistroSaídas[[#This Row],[Data do Caixa Previsto]]))</f>
        <v>2019</v>
      </c>
      <c r="O1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424</v>
      </c>
    </row>
    <row r="190" spans="2:15" hidden="1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46">
        <f>IF(TbRegistroSaídas[[#This Row],[Data do Caixa Previsto]]="",0,MONTH(TbRegistroSaídas[[#This Row],[Data do Caixa Previsto]]))</f>
        <v>3</v>
      </c>
      <c r="N190" s="46">
        <f>IF(TbRegistroSaídas[[#This Row],[Data do Caixa Previsto]]="",0,YEAR(TbRegistroSaídas[[#This Row],[Data do Caixa Previsto]]))</f>
        <v>2019</v>
      </c>
      <c r="O1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1" spans="2:15" hidden="1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46">
        <f>IF(TbRegistroSaídas[[#This Row],[Data do Caixa Previsto]]="",0,MONTH(TbRegistroSaídas[[#This Row],[Data do Caixa Previsto]]))</f>
        <v>4</v>
      </c>
      <c r="N191" s="46">
        <f>IF(TbRegistroSaídas[[#This Row],[Data do Caixa Previsto]]="",0,YEAR(TbRegistroSaídas[[#This Row],[Data do Caixa Previsto]]))</f>
        <v>2019</v>
      </c>
      <c r="O1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2" spans="2:15" hidden="1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46">
        <f>IF(TbRegistroSaídas[[#This Row],[Data do Caixa Previsto]]="",0,MONTH(TbRegistroSaídas[[#This Row],[Data do Caixa Previsto]]))</f>
        <v>4</v>
      </c>
      <c r="N192" s="46">
        <f>IF(TbRegistroSaídas[[#This Row],[Data do Caixa Previsto]]="",0,YEAR(TbRegistroSaídas[[#This Row],[Data do Caixa Previsto]]))</f>
        <v>2019</v>
      </c>
      <c r="O1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3" spans="2:15" hidden="1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46">
        <f>IF(TbRegistroSaídas[[#This Row],[Data do Caixa Previsto]]="",0,MONTH(TbRegistroSaídas[[#This Row],[Data do Caixa Previsto]]))</f>
        <v>3</v>
      </c>
      <c r="N193" s="46">
        <f>IF(TbRegistroSaídas[[#This Row],[Data do Caixa Previsto]]="",0,YEAR(TbRegistroSaídas[[#This Row],[Data do Caixa Previsto]]))</f>
        <v>2019</v>
      </c>
      <c r="O1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4" spans="2:15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46">
        <f>IF(TbRegistroSaídas[[#This Row],[Data do Caixa Previsto]]="",0,MONTH(TbRegistroSaídas[[#This Row],[Data do Caixa Previsto]]))</f>
        <v>4</v>
      </c>
      <c r="N194" s="46">
        <f>IF(TbRegistroSaídas[[#This Row],[Data do Caixa Previsto]]="",0,YEAR(TbRegistroSaídas[[#This Row],[Data do Caixa Previsto]]))</f>
        <v>2019</v>
      </c>
      <c r="O1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373</v>
      </c>
    </row>
    <row r="195" spans="2:15" hidden="1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46">
        <f>IF(TbRegistroSaídas[[#This Row],[Data do Caixa Previsto]]="",0,MONTH(TbRegistroSaídas[[#This Row],[Data do Caixa Previsto]]))</f>
        <v>4</v>
      </c>
      <c r="N195" s="46">
        <f>IF(TbRegistroSaídas[[#This Row],[Data do Caixa Previsto]]="",0,YEAR(TbRegistroSaídas[[#This Row],[Data do Caixa Previsto]]))</f>
        <v>2019</v>
      </c>
      <c r="O1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6" spans="2:15" hidden="1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46">
        <f>IF(TbRegistroSaídas[[#This Row],[Data do Caixa Previsto]]="",0,MONTH(TbRegistroSaídas[[#This Row],[Data do Caixa Previsto]]))</f>
        <v>3</v>
      </c>
      <c r="N196" s="46">
        <f>IF(TbRegistroSaídas[[#This Row],[Data do Caixa Previsto]]="",0,YEAR(TbRegistroSaídas[[#This Row],[Data do Caixa Previsto]]))</f>
        <v>2019</v>
      </c>
      <c r="O1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7" spans="2:15" hidden="1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46">
        <f>IF(TbRegistroSaídas[[#This Row],[Data do Caixa Previsto]]="",0,MONTH(TbRegistroSaídas[[#This Row],[Data do Caixa Previsto]]))</f>
        <v>4</v>
      </c>
      <c r="N197" s="46">
        <f>IF(TbRegistroSaídas[[#This Row],[Data do Caixa Previsto]]="",0,YEAR(TbRegistroSaídas[[#This Row],[Data do Caixa Previsto]]))</f>
        <v>2019</v>
      </c>
      <c r="O1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8" spans="2:15" hidden="1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46">
        <f>IF(TbRegistroSaídas[[#This Row],[Data do Caixa Previsto]]="",0,MONTH(TbRegistroSaídas[[#This Row],[Data do Caixa Previsto]]))</f>
        <v>3</v>
      </c>
      <c r="N198" s="46">
        <f>IF(TbRegistroSaídas[[#This Row],[Data do Caixa Previsto]]="",0,YEAR(TbRegistroSaídas[[#This Row],[Data do Caixa Previsto]]))</f>
        <v>2019</v>
      </c>
      <c r="O1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9" spans="2:15" hidden="1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46">
        <f>IF(TbRegistroSaídas[[#This Row],[Data do Caixa Previsto]]="",0,MONTH(TbRegistroSaídas[[#This Row],[Data do Caixa Previsto]]))</f>
        <v>3</v>
      </c>
      <c r="N199" s="46">
        <f>IF(TbRegistroSaídas[[#This Row],[Data do Caixa Previsto]]="",0,YEAR(TbRegistroSaídas[[#This Row],[Data do Caixa Previsto]]))</f>
        <v>2019</v>
      </c>
      <c r="O1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0" spans="2:15" hidden="1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46">
        <f>IF(TbRegistroSaídas[[#This Row],[Data do Caixa Previsto]]="",0,MONTH(TbRegistroSaídas[[#This Row],[Data do Caixa Previsto]]))</f>
        <v>5</v>
      </c>
      <c r="N200" s="46">
        <f>IF(TbRegistroSaídas[[#This Row],[Data do Caixa Previsto]]="",0,YEAR(TbRegistroSaídas[[#This Row],[Data do Caixa Previsto]]))</f>
        <v>2019</v>
      </c>
      <c r="O2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1" spans="2:15" hidden="1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46">
        <f>IF(TbRegistroSaídas[[#This Row],[Data do Caixa Previsto]]="",0,MONTH(TbRegistroSaídas[[#This Row],[Data do Caixa Previsto]]))</f>
        <v>3</v>
      </c>
      <c r="N201" s="46">
        <f>IF(TbRegistroSaídas[[#This Row],[Data do Caixa Previsto]]="",0,YEAR(TbRegistroSaídas[[#This Row],[Data do Caixa Previsto]]))</f>
        <v>2019</v>
      </c>
      <c r="O2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2" spans="2:15" hidden="1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46">
        <f>IF(TbRegistroSaídas[[#This Row],[Data do Caixa Previsto]]="",0,MONTH(TbRegistroSaídas[[#This Row],[Data do Caixa Previsto]]))</f>
        <v>4</v>
      </c>
      <c r="N202" s="46">
        <f>IF(TbRegistroSaídas[[#This Row],[Data do Caixa Previsto]]="",0,YEAR(TbRegistroSaídas[[#This Row],[Data do Caixa Previsto]]))</f>
        <v>2019</v>
      </c>
      <c r="O2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3" spans="2:15" hidden="1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46">
        <f>IF(TbRegistroSaídas[[#This Row],[Data do Caixa Previsto]]="",0,MONTH(TbRegistroSaídas[[#This Row],[Data do Caixa Previsto]]))</f>
        <v>4</v>
      </c>
      <c r="N203" s="46">
        <f>IF(TbRegistroSaídas[[#This Row],[Data do Caixa Previsto]]="",0,YEAR(TbRegistroSaídas[[#This Row],[Data do Caixa Previsto]]))</f>
        <v>2019</v>
      </c>
      <c r="O2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4" spans="2:15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46">
        <f>IF(TbRegistroSaídas[[#This Row],[Data do Caixa Previsto]]="",0,MONTH(TbRegistroSaídas[[#This Row],[Data do Caixa Previsto]]))</f>
        <v>5</v>
      </c>
      <c r="N204" s="46">
        <f>IF(TbRegistroSaídas[[#This Row],[Data do Caixa Previsto]]="",0,YEAR(TbRegistroSaídas[[#This Row],[Data do Caixa Previsto]]))</f>
        <v>2019</v>
      </c>
      <c r="O2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340</v>
      </c>
    </row>
    <row r="205" spans="2:15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46">
        <f>IF(TbRegistroSaídas[[#This Row],[Data do Caixa Previsto]]="",0,MONTH(TbRegistroSaídas[[#This Row],[Data do Caixa Previsto]]))</f>
        <v>5</v>
      </c>
      <c r="N205" s="46">
        <f>IF(TbRegistroSaídas[[#This Row],[Data do Caixa Previsto]]="",0,YEAR(TbRegistroSaídas[[#This Row],[Data do Caixa Previsto]]))</f>
        <v>2019</v>
      </c>
      <c r="O2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</v>
      </c>
    </row>
    <row r="206" spans="2:15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46">
        <f>IF(TbRegistroSaídas[[#This Row],[Data do Caixa Previsto]]="",0,MONTH(TbRegistroSaídas[[#This Row],[Data do Caixa Previsto]]))</f>
        <v>4</v>
      </c>
      <c r="N206" s="46">
        <f>IF(TbRegistroSaídas[[#This Row],[Data do Caixa Previsto]]="",0,YEAR(TbRegistroSaídas[[#This Row],[Data do Caixa Previsto]]))</f>
        <v>2019</v>
      </c>
      <c r="O2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207" spans="2:15" hidden="1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46">
        <f>IF(TbRegistroSaídas[[#This Row],[Data do Caixa Previsto]]="",0,MONTH(TbRegistroSaídas[[#This Row],[Data do Caixa Previsto]]))</f>
        <v>4</v>
      </c>
      <c r="N207" s="46">
        <f>IF(TbRegistroSaídas[[#This Row],[Data do Caixa Previsto]]="",0,YEAR(TbRegistroSaídas[[#This Row],[Data do Caixa Previsto]]))</f>
        <v>2019</v>
      </c>
      <c r="O2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8" spans="2:15" hidden="1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46">
        <f>IF(TbRegistroSaídas[[#This Row],[Data do Caixa Previsto]]="",0,MONTH(TbRegistroSaídas[[#This Row],[Data do Caixa Previsto]]))</f>
        <v>4</v>
      </c>
      <c r="N208" s="46">
        <f>IF(TbRegistroSaídas[[#This Row],[Data do Caixa Previsto]]="",0,YEAR(TbRegistroSaídas[[#This Row],[Data do Caixa Previsto]]))</f>
        <v>2019</v>
      </c>
      <c r="O2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9" spans="2:15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46">
        <f>IF(TbRegistroSaídas[[#This Row],[Data do Caixa Previsto]]="",0,MONTH(TbRegistroSaídas[[#This Row],[Data do Caixa Previsto]]))</f>
        <v>5</v>
      </c>
      <c r="N209" s="46">
        <f>IF(TbRegistroSaídas[[#This Row],[Data do Caixa Previsto]]="",0,YEAR(TbRegistroSaídas[[#This Row],[Data do Caixa Previsto]]))</f>
        <v>2019</v>
      </c>
      <c r="O2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356</v>
      </c>
    </row>
    <row r="210" spans="2:15" hidden="1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46">
        <f>IF(TbRegistroSaídas[[#This Row],[Data do Caixa Previsto]]="",0,MONTH(TbRegistroSaídas[[#This Row],[Data do Caixa Previsto]]))</f>
        <v>5</v>
      </c>
      <c r="N210" s="46">
        <f>IF(TbRegistroSaídas[[#This Row],[Data do Caixa Previsto]]="",0,YEAR(TbRegistroSaídas[[#This Row],[Data do Caixa Previsto]]))</f>
        <v>2019</v>
      </c>
      <c r="O2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1" spans="2:15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46">
        <f>IF(TbRegistroSaídas[[#This Row],[Data do Caixa Previsto]]="",0,MONTH(TbRegistroSaídas[[#This Row],[Data do Caixa Previsto]]))</f>
        <v>6</v>
      </c>
      <c r="N211" s="46">
        <f>IF(TbRegistroSaídas[[#This Row],[Data do Caixa Previsto]]="",0,YEAR(TbRegistroSaídas[[#This Row],[Data do Caixa Previsto]]))</f>
        <v>2019</v>
      </c>
      <c r="O2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</v>
      </c>
    </row>
    <row r="212" spans="2:15" hidden="1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46">
        <f>IF(TbRegistroSaídas[[#This Row],[Data do Caixa Previsto]]="",0,MONTH(TbRegistroSaídas[[#This Row],[Data do Caixa Previsto]]))</f>
        <v>6</v>
      </c>
      <c r="N212" s="46">
        <f>IF(TbRegistroSaídas[[#This Row],[Data do Caixa Previsto]]="",0,YEAR(TbRegistroSaídas[[#This Row],[Data do Caixa Previsto]]))</f>
        <v>2019</v>
      </c>
      <c r="O2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3" spans="2:15" hidden="1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46">
        <f>IF(TbRegistroSaídas[[#This Row],[Data do Caixa Previsto]]="",0,MONTH(TbRegistroSaídas[[#This Row],[Data do Caixa Previsto]]))</f>
        <v>6</v>
      </c>
      <c r="N213" s="46">
        <f>IF(TbRegistroSaídas[[#This Row],[Data do Caixa Previsto]]="",0,YEAR(TbRegistroSaídas[[#This Row],[Data do Caixa Previsto]]))</f>
        <v>2019</v>
      </c>
      <c r="O2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4" spans="2:15" hidden="1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46">
        <f>IF(TbRegistroSaídas[[#This Row],[Data do Caixa Previsto]]="",0,MONTH(TbRegistroSaídas[[#This Row],[Data do Caixa Previsto]]))</f>
        <v>5</v>
      </c>
      <c r="N214" s="46">
        <f>IF(TbRegistroSaídas[[#This Row],[Data do Caixa Previsto]]="",0,YEAR(TbRegistroSaídas[[#This Row],[Data do Caixa Previsto]]))</f>
        <v>2019</v>
      </c>
      <c r="O2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5" spans="2:15" hidden="1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46">
        <f>IF(TbRegistroSaídas[[#This Row],[Data do Caixa Previsto]]="",0,MONTH(TbRegistroSaídas[[#This Row],[Data do Caixa Previsto]]))</f>
        <v>5</v>
      </c>
      <c r="N215" s="46">
        <f>IF(TbRegistroSaídas[[#This Row],[Data do Caixa Previsto]]="",0,YEAR(TbRegistroSaídas[[#This Row],[Data do Caixa Previsto]]))</f>
        <v>2019</v>
      </c>
      <c r="O2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6" spans="2:15" hidden="1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46">
        <f>IF(TbRegistroSaídas[[#This Row],[Data do Caixa Previsto]]="",0,MONTH(TbRegistroSaídas[[#This Row],[Data do Caixa Previsto]]))</f>
        <v>6</v>
      </c>
      <c r="N216" s="46">
        <f>IF(TbRegistroSaídas[[#This Row],[Data do Caixa Previsto]]="",0,YEAR(TbRegistroSaídas[[#This Row],[Data do Caixa Previsto]]))</f>
        <v>2019</v>
      </c>
      <c r="O2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7" spans="2:15" hidden="1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46">
        <f>IF(TbRegistroSaídas[[#This Row],[Data do Caixa Previsto]]="",0,MONTH(TbRegistroSaídas[[#This Row],[Data do Caixa Previsto]]))</f>
        <v>6</v>
      </c>
      <c r="N217" s="46">
        <f>IF(TbRegistroSaídas[[#This Row],[Data do Caixa Previsto]]="",0,YEAR(TbRegistroSaídas[[#This Row],[Data do Caixa Previsto]]))</f>
        <v>2019</v>
      </c>
      <c r="O2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8" spans="2:15" hidden="1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46">
        <f>IF(TbRegistroSaídas[[#This Row],[Data do Caixa Previsto]]="",0,MONTH(TbRegistroSaídas[[#This Row],[Data do Caixa Previsto]]))</f>
        <v>5</v>
      </c>
      <c r="N218" s="46">
        <f>IF(TbRegistroSaídas[[#This Row],[Data do Caixa Previsto]]="",0,YEAR(TbRegistroSaídas[[#This Row],[Data do Caixa Previsto]]))</f>
        <v>2019</v>
      </c>
      <c r="O2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9" spans="2:15" hidden="1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46">
        <f>IF(TbRegistroSaídas[[#This Row],[Data do Caixa Previsto]]="",0,MONTH(TbRegistroSaídas[[#This Row],[Data do Caixa Previsto]]))</f>
        <v>5</v>
      </c>
      <c r="N219" s="46">
        <f>IF(TbRegistroSaídas[[#This Row],[Data do Caixa Previsto]]="",0,YEAR(TbRegistroSaídas[[#This Row],[Data do Caixa Previsto]]))</f>
        <v>2019</v>
      </c>
      <c r="O2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0" spans="2:15" hidden="1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46">
        <f>IF(TbRegistroSaídas[[#This Row],[Data do Caixa Previsto]]="",0,MONTH(TbRegistroSaídas[[#This Row],[Data do Caixa Previsto]]))</f>
        <v>5</v>
      </c>
      <c r="N220" s="46">
        <f>IF(TbRegistroSaídas[[#This Row],[Data do Caixa Previsto]]="",0,YEAR(TbRegistroSaídas[[#This Row],[Data do Caixa Previsto]]))</f>
        <v>2019</v>
      </c>
      <c r="O2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1" spans="2:15" hidden="1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46">
        <f>IF(TbRegistroSaídas[[#This Row],[Data do Caixa Previsto]]="",0,MONTH(TbRegistroSaídas[[#This Row],[Data do Caixa Previsto]]))</f>
        <v>5</v>
      </c>
      <c r="N221" s="46">
        <f>IF(TbRegistroSaídas[[#This Row],[Data do Caixa Previsto]]="",0,YEAR(TbRegistroSaídas[[#This Row],[Data do Caixa Previsto]]))</f>
        <v>2019</v>
      </c>
      <c r="O2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2" spans="2:15" hidden="1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46">
        <f>IF(TbRegistroSaídas[[#This Row],[Data do Caixa Previsto]]="",0,MONTH(TbRegistroSaídas[[#This Row],[Data do Caixa Previsto]]))</f>
        <v>6</v>
      </c>
      <c r="N222" s="46">
        <f>IF(TbRegistroSaídas[[#This Row],[Data do Caixa Previsto]]="",0,YEAR(TbRegistroSaídas[[#This Row],[Data do Caixa Previsto]]))</f>
        <v>2019</v>
      </c>
      <c r="O2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3" spans="2:15" hidden="1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46">
        <f>IF(TbRegistroSaídas[[#This Row],[Data do Caixa Previsto]]="",0,MONTH(TbRegistroSaídas[[#This Row],[Data do Caixa Previsto]]))</f>
        <v>5</v>
      </c>
      <c r="N223" s="46">
        <f>IF(TbRegistroSaídas[[#This Row],[Data do Caixa Previsto]]="",0,YEAR(TbRegistroSaídas[[#This Row],[Data do Caixa Previsto]]))</f>
        <v>2019</v>
      </c>
      <c r="O2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4" spans="2:15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46">
        <f>IF(TbRegistroSaídas[[#This Row],[Data do Caixa Previsto]]="",0,MONTH(TbRegistroSaídas[[#This Row],[Data do Caixa Previsto]]))</f>
        <v>6</v>
      </c>
      <c r="N224" s="46">
        <f>IF(TbRegistroSaídas[[#This Row],[Data do Caixa Previsto]]="",0,YEAR(TbRegistroSaídas[[#This Row],[Data do Caixa Previsto]]))</f>
        <v>2019</v>
      </c>
      <c r="O2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300</v>
      </c>
    </row>
    <row r="225" spans="2:15" hidden="1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46">
        <f>IF(TbRegistroSaídas[[#This Row],[Data do Caixa Previsto]]="",0,MONTH(TbRegistroSaídas[[#This Row],[Data do Caixa Previsto]]))</f>
        <v>6</v>
      </c>
      <c r="N225" s="46">
        <f>IF(TbRegistroSaídas[[#This Row],[Data do Caixa Previsto]]="",0,YEAR(TbRegistroSaídas[[#This Row],[Data do Caixa Previsto]]))</f>
        <v>2019</v>
      </c>
      <c r="O2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6" spans="2:15" hidden="1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46">
        <f>IF(TbRegistroSaídas[[#This Row],[Data do Caixa Previsto]]="",0,MONTH(TbRegistroSaídas[[#This Row],[Data do Caixa Previsto]]))</f>
        <v>6</v>
      </c>
      <c r="N226" s="46">
        <f>IF(TbRegistroSaídas[[#This Row],[Data do Caixa Previsto]]="",0,YEAR(TbRegistroSaídas[[#This Row],[Data do Caixa Previsto]]))</f>
        <v>2019</v>
      </c>
      <c r="O2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7" spans="2:15" hidden="1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46">
        <f>IF(TbRegistroSaídas[[#This Row],[Data do Caixa Previsto]]="",0,MONTH(TbRegistroSaídas[[#This Row],[Data do Caixa Previsto]]))</f>
        <v>6</v>
      </c>
      <c r="N227" s="46">
        <f>IF(TbRegistroSaídas[[#This Row],[Data do Caixa Previsto]]="",0,YEAR(TbRegistroSaídas[[#This Row],[Data do Caixa Previsto]]))</f>
        <v>2019</v>
      </c>
      <c r="O2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8" spans="2:15" hidden="1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46">
        <f>IF(TbRegistroSaídas[[#This Row],[Data do Caixa Previsto]]="",0,MONTH(TbRegistroSaídas[[#This Row],[Data do Caixa Previsto]]))</f>
        <v>7</v>
      </c>
      <c r="N228" s="46">
        <f>IF(TbRegistroSaídas[[#This Row],[Data do Caixa Previsto]]="",0,YEAR(TbRegistroSaídas[[#This Row],[Data do Caixa Previsto]]))</f>
        <v>2019</v>
      </c>
      <c r="O2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9" spans="2:15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46">
        <f>IF(TbRegistroSaídas[[#This Row],[Data do Caixa Previsto]]="",0,MONTH(TbRegistroSaídas[[#This Row],[Data do Caixa Previsto]]))</f>
        <v>8</v>
      </c>
      <c r="N229" s="46">
        <f>IF(TbRegistroSaídas[[#This Row],[Data do Caixa Previsto]]="",0,YEAR(TbRegistroSaídas[[#This Row],[Data do Caixa Previsto]]))</f>
        <v>2019</v>
      </c>
      <c r="O2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259</v>
      </c>
    </row>
    <row r="230" spans="2:15" hidden="1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46">
        <f>IF(TbRegistroSaídas[[#This Row],[Data do Caixa Previsto]]="",0,MONTH(TbRegistroSaídas[[#This Row],[Data do Caixa Previsto]]))</f>
        <v>6</v>
      </c>
      <c r="N230" s="46">
        <f>IF(TbRegistroSaídas[[#This Row],[Data do Caixa Previsto]]="",0,YEAR(TbRegistroSaídas[[#This Row],[Data do Caixa Previsto]]))</f>
        <v>2019</v>
      </c>
      <c r="O2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1" spans="2:15" hidden="1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46">
        <f>IF(TbRegistroSaídas[[#This Row],[Data do Caixa Previsto]]="",0,MONTH(TbRegistroSaídas[[#This Row],[Data do Caixa Previsto]]))</f>
        <v>6</v>
      </c>
      <c r="N231" s="46">
        <f>IF(TbRegistroSaídas[[#This Row],[Data do Caixa Previsto]]="",0,YEAR(TbRegistroSaídas[[#This Row],[Data do Caixa Previsto]]))</f>
        <v>2019</v>
      </c>
      <c r="O2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2" spans="2:15" hidden="1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46">
        <f>IF(TbRegistroSaídas[[#This Row],[Data do Caixa Previsto]]="",0,MONTH(TbRegistroSaídas[[#This Row],[Data do Caixa Previsto]]))</f>
        <v>7</v>
      </c>
      <c r="N232" s="46">
        <f>IF(TbRegistroSaídas[[#This Row],[Data do Caixa Previsto]]="",0,YEAR(TbRegistroSaídas[[#This Row],[Data do Caixa Previsto]]))</f>
        <v>2019</v>
      </c>
      <c r="O2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N2" sqref="N2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46" t="s">
        <v>13</v>
      </c>
      <c r="K1" s="146"/>
      <c r="L1" s="146"/>
      <c r="M1" s="146"/>
      <c r="N1" s="1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26</v>
      </c>
      <c r="C8" s="47">
        <v>20582</v>
      </c>
      <c r="D8" s="47">
        <v>24761</v>
      </c>
      <c r="E8" s="47">
        <v>37458</v>
      </c>
      <c r="F8" s="47">
        <v>30226</v>
      </c>
      <c r="G8" s="47">
        <v>19009</v>
      </c>
      <c r="H8" s="47">
        <v>28711</v>
      </c>
      <c r="I8" s="47">
        <v>33298</v>
      </c>
      <c r="J8" s="47">
        <v>22302</v>
      </c>
      <c r="K8" s="47">
        <v>26024</v>
      </c>
      <c r="L8" s="47">
        <v>29400</v>
      </c>
      <c r="M8" s="47">
        <v>30897</v>
      </c>
      <c r="N8" s="47">
        <v>17906</v>
      </c>
      <c r="O8" s="47">
        <v>320574</v>
      </c>
    </row>
    <row r="9" spans="2:15" ht="20.100000000000001" customHeight="1" x14ac:dyDescent="0.25">
      <c r="B9" s="45" t="s">
        <v>32</v>
      </c>
      <c r="C9" s="47">
        <v>1864</v>
      </c>
      <c r="D9" s="47"/>
      <c r="E9" s="47">
        <v>4800</v>
      </c>
      <c r="F9" s="47"/>
      <c r="G9" s="47">
        <v>6340</v>
      </c>
      <c r="H9" s="47">
        <v>6836</v>
      </c>
      <c r="I9" s="47">
        <v>2713</v>
      </c>
      <c r="J9" s="47">
        <v>3080</v>
      </c>
      <c r="K9" s="47"/>
      <c r="L9" s="47">
        <v>4922</v>
      </c>
      <c r="M9" s="47">
        <v>919</v>
      </c>
      <c r="N9" s="47"/>
      <c r="O9" s="47">
        <v>31474</v>
      </c>
    </row>
    <row r="10" spans="2:15" ht="20.100000000000001" customHeight="1" x14ac:dyDescent="0.25">
      <c r="B10" s="45" t="s">
        <v>33</v>
      </c>
      <c r="C10" s="47">
        <v>3843</v>
      </c>
      <c r="D10" s="47">
        <v>10345</v>
      </c>
      <c r="E10" s="47">
        <v>5629</v>
      </c>
      <c r="F10" s="47">
        <v>4467</v>
      </c>
      <c r="G10" s="47"/>
      <c r="H10" s="47">
        <v>2114</v>
      </c>
      <c r="I10" s="47">
        <v>8337</v>
      </c>
      <c r="J10" s="47">
        <v>4072</v>
      </c>
      <c r="K10" s="47">
        <v>5761</v>
      </c>
      <c r="L10" s="47">
        <v>7117</v>
      </c>
      <c r="M10" s="47">
        <v>3068</v>
      </c>
      <c r="N10" s="47">
        <v>2088</v>
      </c>
      <c r="O10" s="47">
        <v>56841</v>
      </c>
    </row>
    <row r="11" spans="2:15" ht="20.100000000000001" customHeight="1" x14ac:dyDescent="0.25">
      <c r="B11" s="45" t="s">
        <v>34</v>
      </c>
      <c r="C11" s="47"/>
      <c r="D11" s="47">
        <v>5718</v>
      </c>
      <c r="E11" s="47">
        <v>4918</v>
      </c>
      <c r="F11" s="47">
        <v>3446</v>
      </c>
      <c r="G11" s="47">
        <v>611</v>
      </c>
      <c r="H11" s="47">
        <v>3224</v>
      </c>
      <c r="I11" s="47">
        <v>1306</v>
      </c>
      <c r="J11" s="47"/>
      <c r="K11" s="47">
        <v>6637</v>
      </c>
      <c r="L11" s="47"/>
      <c r="M11" s="47">
        <v>1820</v>
      </c>
      <c r="N11" s="47"/>
      <c r="O11" s="47">
        <v>27680</v>
      </c>
    </row>
    <row r="12" spans="2:15" ht="20.100000000000001" customHeight="1" x14ac:dyDescent="0.25">
      <c r="B12" s="45" t="s">
        <v>35</v>
      </c>
      <c r="C12" s="47">
        <v>10164</v>
      </c>
      <c r="D12" s="47">
        <v>7734</v>
      </c>
      <c r="E12" s="47">
        <v>9984</v>
      </c>
      <c r="F12" s="47">
        <v>22313</v>
      </c>
      <c r="G12" s="47">
        <v>4850</v>
      </c>
      <c r="H12" s="47">
        <v>12262</v>
      </c>
      <c r="I12" s="47">
        <v>12594</v>
      </c>
      <c r="J12" s="47">
        <v>6006</v>
      </c>
      <c r="K12" s="47">
        <v>11235</v>
      </c>
      <c r="L12" s="47">
        <v>10633</v>
      </c>
      <c r="M12" s="47">
        <v>20451</v>
      </c>
      <c r="N12" s="47">
        <v>9738</v>
      </c>
      <c r="O12" s="47">
        <v>137964</v>
      </c>
    </row>
    <row r="13" spans="2:15" ht="20.100000000000001" customHeight="1" x14ac:dyDescent="0.25">
      <c r="B13" s="45" t="s">
        <v>36</v>
      </c>
      <c r="C13" s="47">
        <v>4711</v>
      </c>
      <c r="D13" s="47">
        <v>964</v>
      </c>
      <c r="E13" s="47">
        <v>12127</v>
      </c>
      <c r="F13" s="47"/>
      <c r="G13" s="47">
        <v>7208</v>
      </c>
      <c r="H13" s="47">
        <v>4275</v>
      </c>
      <c r="I13" s="47">
        <v>8348</v>
      </c>
      <c r="J13" s="47">
        <v>9144</v>
      </c>
      <c r="K13" s="47">
        <v>2391</v>
      </c>
      <c r="L13" s="47">
        <v>6728</v>
      </c>
      <c r="M13" s="47">
        <v>4639</v>
      </c>
      <c r="N13" s="47">
        <v>6080</v>
      </c>
      <c r="O13" s="47">
        <v>66615</v>
      </c>
    </row>
    <row r="14" spans="2:15" ht="20.100000000000001" customHeight="1" x14ac:dyDescent="0.25">
      <c r="B14" s="44" t="s">
        <v>542</v>
      </c>
      <c r="C14" s="47">
        <v>20582</v>
      </c>
      <c r="D14" s="47">
        <v>24761</v>
      </c>
      <c r="E14" s="47">
        <v>37458</v>
      </c>
      <c r="F14" s="47">
        <v>30226</v>
      </c>
      <c r="G14" s="47">
        <v>19009</v>
      </c>
      <c r="H14" s="47">
        <v>28711</v>
      </c>
      <c r="I14" s="47">
        <v>33298</v>
      </c>
      <c r="J14" s="47">
        <v>22302</v>
      </c>
      <c r="K14" s="47">
        <v>26024</v>
      </c>
      <c r="L14" s="47">
        <v>29400</v>
      </c>
      <c r="M14" s="47">
        <v>30897</v>
      </c>
      <c r="N14" s="47">
        <v>17906</v>
      </c>
      <c r="O14" s="47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38</v>
      </c>
      <c r="C8" s="47">
        <v>41773</v>
      </c>
      <c r="D8" s="47">
        <v>25578</v>
      </c>
      <c r="E8" s="47">
        <v>24127</v>
      </c>
      <c r="F8" s="47">
        <v>14679</v>
      </c>
      <c r="G8" s="47">
        <v>24782</v>
      </c>
      <c r="H8" s="47">
        <v>24927</v>
      </c>
      <c r="I8" s="47">
        <v>34065</v>
      </c>
      <c r="J8" s="47">
        <v>21727</v>
      </c>
      <c r="K8" s="47">
        <v>19948</v>
      </c>
      <c r="L8" s="47">
        <v>28693</v>
      </c>
      <c r="M8" s="47">
        <v>22624</v>
      </c>
      <c r="N8" s="47">
        <v>19227</v>
      </c>
      <c r="O8" s="47">
        <v>302150</v>
      </c>
    </row>
    <row r="9" spans="2:15" ht="20.100000000000001" customHeight="1" x14ac:dyDescent="0.25">
      <c r="B9" s="45" t="s">
        <v>32</v>
      </c>
      <c r="C9" s="47">
        <v>3057</v>
      </c>
      <c r="D9" s="47">
        <v>3255</v>
      </c>
      <c r="E9" s="47">
        <v>5837</v>
      </c>
      <c r="F9" s="47">
        <v>2760</v>
      </c>
      <c r="G9" s="47">
        <v>1882</v>
      </c>
      <c r="H9" s="47">
        <v>1613</v>
      </c>
      <c r="I9" s="47"/>
      <c r="J9" s="47">
        <v>9987</v>
      </c>
      <c r="K9" s="47">
        <v>5001</v>
      </c>
      <c r="L9" s="47">
        <v>10149</v>
      </c>
      <c r="M9" s="47">
        <v>1542</v>
      </c>
      <c r="N9" s="47">
        <v>3956</v>
      </c>
      <c r="O9" s="47">
        <v>49039</v>
      </c>
    </row>
    <row r="10" spans="2:15" ht="20.100000000000001" customHeight="1" x14ac:dyDescent="0.25">
      <c r="B10" s="45" t="s">
        <v>33</v>
      </c>
      <c r="C10" s="47">
        <v>6054</v>
      </c>
      <c r="D10" s="47">
        <v>8702</v>
      </c>
      <c r="E10" s="47">
        <v>474</v>
      </c>
      <c r="F10" s="47">
        <v>2463</v>
      </c>
      <c r="G10" s="47">
        <v>6406</v>
      </c>
      <c r="H10" s="47">
        <v>10243</v>
      </c>
      <c r="I10" s="47">
        <v>14461</v>
      </c>
      <c r="J10" s="47">
        <v>4084</v>
      </c>
      <c r="K10" s="47">
        <v>521</v>
      </c>
      <c r="L10" s="47">
        <v>819</v>
      </c>
      <c r="M10" s="47">
        <v>7204</v>
      </c>
      <c r="N10" s="47"/>
      <c r="O10" s="47">
        <v>61431</v>
      </c>
    </row>
    <row r="11" spans="2:15" ht="20.100000000000001" customHeight="1" x14ac:dyDescent="0.25">
      <c r="B11" s="45" t="s">
        <v>34</v>
      </c>
      <c r="C11" s="47">
        <v>2247</v>
      </c>
      <c r="D11" s="47">
        <v>3503</v>
      </c>
      <c r="E11" s="47">
        <v>3893</v>
      </c>
      <c r="F11" s="47">
        <v>4867</v>
      </c>
      <c r="G11" s="47"/>
      <c r="H11" s="47"/>
      <c r="I11" s="47">
        <v>1108</v>
      </c>
      <c r="J11" s="47">
        <v>4462</v>
      </c>
      <c r="K11" s="47">
        <v>159</v>
      </c>
      <c r="L11" s="47">
        <v>9436</v>
      </c>
      <c r="M11" s="47"/>
      <c r="N11" s="47"/>
      <c r="O11" s="47">
        <v>29675</v>
      </c>
    </row>
    <row r="12" spans="2:15" ht="20.100000000000001" customHeight="1" x14ac:dyDescent="0.25">
      <c r="B12" s="45" t="s">
        <v>36</v>
      </c>
      <c r="C12" s="47">
        <v>12821</v>
      </c>
      <c r="D12" s="47"/>
      <c r="E12" s="47"/>
      <c r="F12" s="47"/>
      <c r="G12" s="47">
        <v>4543</v>
      </c>
      <c r="H12" s="47">
        <v>3756</v>
      </c>
      <c r="I12" s="47">
        <v>7688</v>
      </c>
      <c r="J12" s="47">
        <v>2140</v>
      </c>
      <c r="K12" s="47">
        <v>4173</v>
      </c>
      <c r="L12" s="47">
        <v>1260</v>
      </c>
      <c r="M12" s="47"/>
      <c r="N12" s="47">
        <v>3894</v>
      </c>
      <c r="O12" s="47">
        <v>40275</v>
      </c>
    </row>
    <row r="13" spans="2:15" ht="20.100000000000001" customHeight="1" x14ac:dyDescent="0.25">
      <c r="B13" s="45" t="s">
        <v>45</v>
      </c>
      <c r="C13" s="47">
        <v>17594</v>
      </c>
      <c r="D13" s="47">
        <v>10118</v>
      </c>
      <c r="E13" s="47">
        <v>13923</v>
      </c>
      <c r="F13" s="47">
        <v>4589</v>
      </c>
      <c r="G13" s="47">
        <v>11951</v>
      </c>
      <c r="H13" s="47">
        <v>9315</v>
      </c>
      <c r="I13" s="47">
        <v>10808</v>
      </c>
      <c r="J13" s="47">
        <v>1054</v>
      </c>
      <c r="K13" s="47">
        <v>10094</v>
      </c>
      <c r="L13" s="47">
        <v>7029</v>
      </c>
      <c r="M13" s="47">
        <v>13878</v>
      </c>
      <c r="N13" s="47">
        <v>11377</v>
      </c>
      <c r="O13" s="47">
        <v>121730</v>
      </c>
    </row>
    <row r="14" spans="2:15" ht="20.100000000000001" customHeight="1" x14ac:dyDescent="0.25">
      <c r="B14" s="44" t="s">
        <v>542</v>
      </c>
      <c r="C14" s="47">
        <v>41773</v>
      </c>
      <c r="D14" s="47">
        <v>25578</v>
      </c>
      <c r="E14" s="47">
        <v>24127</v>
      </c>
      <c r="F14" s="47">
        <v>14679</v>
      </c>
      <c r="G14" s="47">
        <v>24782</v>
      </c>
      <c r="H14" s="47">
        <v>24927</v>
      </c>
      <c r="I14" s="47">
        <v>34065</v>
      </c>
      <c r="J14" s="47">
        <v>21727</v>
      </c>
      <c r="K14" s="47">
        <v>19948</v>
      </c>
      <c r="L14" s="47">
        <v>28693</v>
      </c>
      <c r="M14" s="47">
        <v>22624</v>
      </c>
      <c r="N14" s="47">
        <v>19227</v>
      </c>
      <c r="O14" s="47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4" t="s">
        <v>38</v>
      </c>
      <c r="C9" s="47">
        <v>3042</v>
      </c>
      <c r="D9" s="47">
        <v>7524</v>
      </c>
      <c r="E9" s="47">
        <v>3690</v>
      </c>
      <c r="F9" s="47">
        <v>7220</v>
      </c>
      <c r="G9" s="47">
        <v>3086</v>
      </c>
      <c r="H9" s="47">
        <v>2759</v>
      </c>
      <c r="I9" s="47">
        <v>27321</v>
      </c>
    </row>
    <row r="10" spans="2:15" ht="20.100000000000001" customHeight="1" x14ac:dyDescent="0.25">
      <c r="B10" s="45" t="s">
        <v>34</v>
      </c>
      <c r="C10" s="47"/>
      <c r="D10" s="47"/>
      <c r="E10" s="47"/>
      <c r="F10" s="47">
        <v>2707</v>
      </c>
      <c r="G10" s="47"/>
      <c r="H10" s="47"/>
      <c r="I10" s="47">
        <v>2707</v>
      </c>
    </row>
    <row r="11" spans="2:15" ht="20.100000000000001" customHeight="1" x14ac:dyDescent="0.25">
      <c r="B11" s="45" t="s">
        <v>36</v>
      </c>
      <c r="C11" s="47"/>
      <c r="D11" s="47">
        <v>533</v>
      </c>
      <c r="E11" s="47"/>
      <c r="F11" s="47"/>
      <c r="G11" s="47"/>
      <c r="H11" s="47">
        <v>2759</v>
      </c>
      <c r="I11" s="47">
        <v>3292</v>
      </c>
    </row>
    <row r="12" spans="2:15" ht="20.100000000000001" customHeight="1" x14ac:dyDescent="0.25">
      <c r="B12" s="45" t="s">
        <v>45</v>
      </c>
      <c r="C12" s="47">
        <v>3042</v>
      </c>
      <c r="D12" s="47">
        <v>6991</v>
      </c>
      <c r="E12" s="47">
        <v>3690</v>
      </c>
      <c r="F12" s="47">
        <v>4513</v>
      </c>
      <c r="G12" s="47">
        <v>3086</v>
      </c>
      <c r="H12" s="47"/>
      <c r="I12" s="47">
        <v>21322</v>
      </c>
    </row>
    <row r="13" spans="2:15" ht="20.100000000000001" customHeight="1" x14ac:dyDescent="0.25">
      <c r="B13" s="44" t="s">
        <v>542</v>
      </c>
      <c r="C13" s="47">
        <v>3042</v>
      </c>
      <c r="D13" s="47">
        <v>7524</v>
      </c>
      <c r="E13" s="47">
        <v>3690</v>
      </c>
      <c r="F13" s="47">
        <v>7220</v>
      </c>
      <c r="G13" s="47">
        <v>3086</v>
      </c>
      <c r="H13" s="47">
        <v>2759</v>
      </c>
      <c r="I13" s="47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4" t="s">
        <v>26</v>
      </c>
      <c r="C9" s="47">
        <v>1209</v>
      </c>
      <c r="D9" s="47">
        <v>1992</v>
      </c>
      <c r="E9" s="47">
        <v>4797</v>
      </c>
      <c r="F9" s="47">
        <v>6672</v>
      </c>
      <c r="G9" s="47">
        <v>1482</v>
      </c>
      <c r="H9" s="47">
        <v>4535</v>
      </c>
      <c r="I9" s="47">
        <v>20687</v>
      </c>
    </row>
    <row r="10" spans="2:15" ht="20.100000000000001" customHeight="1" x14ac:dyDescent="0.25">
      <c r="B10" s="45" t="s">
        <v>32</v>
      </c>
      <c r="C10" s="47"/>
      <c r="D10" s="47"/>
      <c r="E10" s="47"/>
      <c r="F10" s="47"/>
      <c r="G10" s="47"/>
      <c r="H10" s="47">
        <v>4535</v>
      </c>
      <c r="I10" s="47">
        <v>4535</v>
      </c>
    </row>
    <row r="11" spans="2:15" ht="20.100000000000001" customHeight="1" x14ac:dyDescent="0.25">
      <c r="B11" s="45" t="s">
        <v>33</v>
      </c>
      <c r="C11" s="47"/>
      <c r="D11" s="47"/>
      <c r="E11" s="47">
        <v>4797</v>
      </c>
      <c r="F11" s="47"/>
      <c r="G11" s="47"/>
      <c r="H11" s="47"/>
      <c r="I11" s="47">
        <v>4797</v>
      </c>
    </row>
    <row r="12" spans="2:15" ht="20.100000000000001" customHeight="1" x14ac:dyDescent="0.25">
      <c r="B12" s="45" t="s">
        <v>34</v>
      </c>
      <c r="C12" s="47"/>
      <c r="D12" s="47"/>
      <c r="E12" s="47"/>
      <c r="F12" s="47"/>
      <c r="G12" s="47">
        <v>1482</v>
      </c>
      <c r="H12" s="47"/>
      <c r="I12" s="47">
        <v>1482</v>
      </c>
    </row>
    <row r="13" spans="2:15" ht="20.100000000000001" customHeight="1" x14ac:dyDescent="0.25">
      <c r="B13" s="45" t="s">
        <v>35</v>
      </c>
      <c r="C13" s="47">
        <v>1209</v>
      </c>
      <c r="D13" s="47">
        <v>1992</v>
      </c>
      <c r="E13" s="47"/>
      <c r="F13" s="47">
        <v>2531</v>
      </c>
      <c r="G13" s="47"/>
      <c r="H13" s="47"/>
      <c r="I13" s="47">
        <v>5732</v>
      </c>
    </row>
    <row r="14" spans="2:15" ht="20.100000000000001" customHeight="1" x14ac:dyDescent="0.25">
      <c r="B14" s="45" t="s">
        <v>36</v>
      </c>
      <c r="C14" s="47"/>
      <c r="D14" s="47"/>
      <c r="E14" s="47"/>
      <c r="F14" s="47">
        <v>4141</v>
      </c>
      <c r="G14" s="47"/>
      <c r="H14" s="47"/>
      <c r="I14" s="47">
        <v>4141</v>
      </c>
    </row>
    <row r="15" spans="2:15" ht="20.100000000000001" customHeight="1" x14ac:dyDescent="0.25">
      <c r="B15" s="44" t="s">
        <v>542</v>
      </c>
      <c r="C15" s="47">
        <v>1209</v>
      </c>
      <c r="D15" s="47">
        <v>1992</v>
      </c>
      <c r="E15" s="47">
        <v>4797</v>
      </c>
      <c r="F15" s="47">
        <v>6672</v>
      </c>
      <c r="G15" s="47">
        <v>1482</v>
      </c>
      <c r="H15" s="47">
        <v>4535</v>
      </c>
      <c r="I15" s="47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8">
        <f ca="1">TODAY()</f>
        <v>43945</v>
      </c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4" t="s">
        <v>26</v>
      </c>
      <c r="C9" s="47">
        <v>4843</v>
      </c>
      <c r="D9" s="47">
        <v>1561</v>
      </c>
      <c r="E9" s="47">
        <v>964</v>
      </c>
      <c r="F9" s="47">
        <v>5975</v>
      </c>
      <c r="G9" s="47">
        <v>2593</v>
      </c>
      <c r="H9" s="47">
        <v>5627</v>
      </c>
      <c r="I9" s="47">
        <v>2071</v>
      </c>
      <c r="J9" s="47">
        <v>3787</v>
      </c>
      <c r="K9" s="47">
        <v>4061</v>
      </c>
      <c r="L9" s="47">
        <v>31482</v>
      </c>
    </row>
    <row r="10" spans="2:15" ht="20.100000000000001" customHeight="1" x14ac:dyDescent="0.25">
      <c r="B10" s="45" t="s">
        <v>32</v>
      </c>
      <c r="C10" s="47">
        <v>4843</v>
      </c>
      <c r="D10" s="47"/>
      <c r="E10" s="47"/>
      <c r="F10" s="47"/>
      <c r="G10" s="47"/>
      <c r="H10" s="47"/>
      <c r="I10" s="47"/>
      <c r="J10" s="47"/>
      <c r="K10" s="47"/>
      <c r="L10" s="47">
        <v>4843</v>
      </c>
    </row>
    <row r="11" spans="2:15" ht="20.100000000000001" customHeight="1" x14ac:dyDescent="0.25">
      <c r="B11" s="45" t="s">
        <v>33</v>
      </c>
      <c r="C11" s="47"/>
      <c r="D11" s="47"/>
      <c r="E11" s="47"/>
      <c r="F11" s="47">
        <v>3998</v>
      </c>
      <c r="G11" s="47"/>
      <c r="H11" s="47"/>
      <c r="I11" s="47"/>
      <c r="J11" s="47"/>
      <c r="K11" s="47"/>
      <c r="L11" s="47">
        <v>3998</v>
      </c>
    </row>
    <row r="12" spans="2:15" ht="20.100000000000001" customHeight="1" x14ac:dyDescent="0.25">
      <c r="B12" s="45" t="s">
        <v>35</v>
      </c>
      <c r="C12" s="47"/>
      <c r="D12" s="47">
        <v>1561</v>
      </c>
      <c r="E12" s="47"/>
      <c r="F12" s="47"/>
      <c r="G12" s="47">
        <v>2593</v>
      </c>
      <c r="H12" s="47">
        <v>1369</v>
      </c>
      <c r="I12" s="47">
        <v>2071</v>
      </c>
      <c r="J12" s="47">
        <v>3787</v>
      </c>
      <c r="K12" s="47"/>
      <c r="L12" s="47">
        <v>11381</v>
      </c>
    </row>
    <row r="13" spans="2:15" ht="20.100000000000001" customHeight="1" x14ac:dyDescent="0.25">
      <c r="B13" s="45" t="s">
        <v>36</v>
      </c>
      <c r="C13" s="47"/>
      <c r="D13" s="47"/>
      <c r="E13" s="47">
        <v>964</v>
      </c>
      <c r="F13" s="47">
        <v>1977</v>
      </c>
      <c r="G13" s="47"/>
      <c r="H13" s="47">
        <v>4258</v>
      </c>
      <c r="I13" s="47"/>
      <c r="J13" s="47"/>
      <c r="K13" s="47">
        <v>4061</v>
      </c>
      <c r="L13" s="47">
        <v>11260</v>
      </c>
    </row>
    <row r="14" spans="2:15" ht="20.100000000000001" customHeight="1" x14ac:dyDescent="0.25">
      <c r="B14" s="44" t="s">
        <v>542</v>
      </c>
      <c r="C14" s="47">
        <v>4843</v>
      </c>
      <c r="D14" s="47">
        <v>1561</v>
      </c>
      <c r="E14" s="47">
        <v>964</v>
      </c>
      <c r="F14" s="47">
        <v>5975</v>
      </c>
      <c r="G14" s="47">
        <v>2593</v>
      </c>
      <c r="H14" s="47">
        <v>5627</v>
      </c>
      <c r="I14" s="47">
        <v>2071</v>
      </c>
      <c r="J14" s="47">
        <v>3787</v>
      </c>
      <c r="K14" s="47">
        <v>4061</v>
      </c>
      <c r="L14" s="47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98">
        <v>43404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/>
    </row>
    <row r="5" spans="2:11" ht="20.100000000000001" customHeight="1" x14ac:dyDescent="0.25">
      <c r="B5" s="52">
        <v>1234</v>
      </c>
      <c r="C5" s="49"/>
      <c r="D5" s="53"/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59">
        <v>123</v>
      </c>
      <c r="C8" s="49"/>
      <c r="D8" s="148"/>
      <c r="E8" s="49"/>
      <c r="F8" s="54"/>
      <c r="G8" s="55"/>
      <c r="H8" s="55"/>
      <c r="I8" s="56"/>
      <c r="J8" s="56"/>
      <c r="K8" s="60">
        <v>-123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62">
        <v>1234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v>-12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[1]DashBoardFinanceiroAtualD!E22</f>
        <v>271771</v>
      </c>
      <c r="C16" s="56"/>
      <c r="D16" s="70"/>
      <c r="E16" s="49"/>
      <c r="F16" s="76">
        <v>12</v>
      </c>
      <c r="G16" s="96">
        <v>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7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16" sqref="N16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03"/>
      <c r="B1" s="104" t="s">
        <v>603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07"/>
    </row>
    <row r="4" spans="1:12" x14ac:dyDescent="0.25">
      <c r="A4" s="103"/>
      <c r="B4" s="106" t="s">
        <v>568</v>
      </c>
      <c r="C4" s="108"/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[1]DashBoardFinanceiroAtual!K4</f>
        <v>Livros</v>
      </c>
      <c r="K4" s="109" t="s">
        <v>572</v>
      </c>
      <c r="L4" s="109" t="s">
        <v>569</v>
      </c>
    </row>
    <row r="5" spans="1:12" x14ac:dyDescent="0.25">
      <c r="A5" s="103"/>
      <c r="B5" s="106" t="s">
        <v>604</v>
      </c>
      <c r="C5" s="136"/>
      <c r="D5" s="103"/>
      <c r="E5" s="103"/>
      <c r="F5" s="112">
        <v>1</v>
      </c>
      <c r="G5" s="113"/>
      <c r="H5" s="113"/>
      <c r="I5" s="103"/>
      <c r="J5" s="113"/>
      <c r="K5" s="113"/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/>
      <c r="H6" s="115"/>
      <c r="I6" s="103"/>
      <c r="J6" s="115"/>
      <c r="K6" s="115"/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/>
      <c r="H7" s="115"/>
      <c r="I7" s="103"/>
      <c r="J7" s="115"/>
      <c r="K7" s="115"/>
      <c r="L7" s="106" t="s">
        <v>576</v>
      </c>
    </row>
    <row r="8" spans="1:12" x14ac:dyDescent="0.25">
      <c r="A8" s="103"/>
      <c r="B8" s="112" t="s">
        <v>577</v>
      </c>
      <c r="C8" s="116"/>
      <c r="D8" s="103"/>
      <c r="E8" s="103"/>
      <c r="F8" s="103">
        <v>4</v>
      </c>
      <c r="G8" s="115"/>
      <c r="H8" s="115"/>
      <c r="I8" s="103"/>
      <c r="J8" s="115"/>
      <c r="K8" s="115"/>
      <c r="L8" s="106" t="s">
        <v>578</v>
      </c>
    </row>
    <row r="9" spans="1:12" x14ac:dyDescent="0.25">
      <c r="A9" s="103"/>
      <c r="B9" s="103" t="s">
        <v>579</v>
      </c>
      <c r="C9" s="117"/>
      <c r="D9" s="103"/>
      <c r="E9" s="103"/>
      <c r="F9" s="103">
        <v>5</v>
      </c>
      <c r="G9" s="115"/>
      <c r="H9" s="115"/>
      <c r="I9" s="103"/>
      <c r="J9" s="115"/>
      <c r="K9" s="115"/>
      <c r="L9" s="106" t="s">
        <v>580</v>
      </c>
    </row>
    <row r="10" spans="1:12" x14ac:dyDescent="0.25">
      <c r="A10" s="103"/>
      <c r="B10" s="103" t="s">
        <v>581</v>
      </c>
      <c r="C10" s="117"/>
      <c r="D10" s="103"/>
      <c r="E10" s="103"/>
      <c r="F10" s="103">
        <v>6</v>
      </c>
      <c r="G10" s="115"/>
      <c r="H10" s="115"/>
      <c r="I10" s="103"/>
      <c r="J10" s="115"/>
      <c r="K10" s="115"/>
      <c r="L10" s="106" t="s">
        <v>582</v>
      </c>
    </row>
    <row r="11" spans="1:12" x14ac:dyDescent="0.25">
      <c r="A11" s="103"/>
      <c r="B11" s="118" t="s">
        <v>583</v>
      </c>
      <c r="C11" s="119"/>
      <c r="D11" s="103"/>
      <c r="E11" s="103"/>
      <c r="F11" s="103">
        <v>7</v>
      </c>
      <c r="G11" s="115"/>
      <c r="H11" s="115"/>
      <c r="I11" s="103"/>
      <c r="J11" s="115"/>
      <c r="K11" s="115"/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/>
      <c r="H12" s="115"/>
      <c r="I12" s="103"/>
      <c r="J12" s="115"/>
      <c r="K12" s="115"/>
      <c r="L12" s="106" t="s">
        <v>585</v>
      </c>
    </row>
    <row r="13" spans="1:12" x14ac:dyDescent="0.25">
      <c r="A13" s="103"/>
      <c r="B13" s="120" t="s">
        <v>586</v>
      </c>
      <c r="C13" s="120"/>
      <c r="D13" s="116"/>
      <c r="E13" s="103"/>
      <c r="F13" s="103">
        <v>9</v>
      </c>
      <c r="G13" s="115"/>
      <c r="H13" s="115"/>
      <c r="I13" s="103"/>
      <c r="J13" s="115"/>
      <c r="K13" s="115"/>
      <c r="L13" s="106" t="s">
        <v>587</v>
      </c>
    </row>
    <row r="14" spans="1:12" x14ac:dyDescent="0.25">
      <c r="A14" s="103"/>
      <c r="B14" s="121" t="s">
        <v>588</v>
      </c>
      <c r="C14" s="121"/>
      <c r="D14" s="122"/>
      <c r="E14" s="103"/>
      <c r="F14" s="103">
        <v>10</v>
      </c>
      <c r="G14" s="115"/>
      <c r="H14" s="115"/>
      <c r="I14" s="103"/>
      <c r="J14" s="115"/>
      <c r="K14" s="115"/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/>
      <c r="H15" s="115"/>
      <c r="I15" s="103"/>
      <c r="J15" s="115"/>
      <c r="K15" s="115"/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/>
      <c r="H16" s="123"/>
      <c r="I16" s="103"/>
      <c r="J16" s="123"/>
      <c r="K16" s="123"/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26"/>
      <c r="C22" s="127"/>
      <c r="D22" s="127"/>
      <c r="E22" s="127"/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26"/>
      <c r="C27" s="128"/>
      <c r="D27" s="128"/>
      <c r="E27" s="128"/>
      <c r="F27" s="103"/>
      <c r="G27" s="126"/>
      <c r="H27" s="128"/>
      <c r="I27" s="128"/>
      <c r="J27" s="128"/>
      <c r="K27" s="103"/>
      <c r="L27" s="103"/>
    </row>
    <row r="28" spans="1:12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>
        <f>C4</f>
        <v>0</v>
      </c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[1]DashBoardFinanceiroAtual!K14</f>
        <v>Vestuário</v>
      </c>
      <c r="I31" s="103"/>
      <c r="J31" s="103"/>
      <c r="K31" s="103"/>
      <c r="L31" s="103"/>
    </row>
    <row r="32" spans="1:12" x14ac:dyDescent="0.25">
      <c r="A32" s="103"/>
      <c r="B32" s="132"/>
      <c r="C32" s="133"/>
      <c r="D32" s="133"/>
      <c r="E32" s="134"/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6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zoomScaleNormal="100" workbookViewId="0">
      <selection activeCell="K3" sqref="K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2">
        <v>2019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 t="s">
        <v>34</v>
      </c>
    </row>
    <row r="5" spans="2:11" ht="20.100000000000001" customHeight="1" x14ac:dyDescent="0.25">
      <c r="B5" s="138">
        <f>DashBoardFinanceiroAnualD!$C$11</f>
        <v>21057</v>
      </c>
      <c r="C5" s="49"/>
      <c r="D5" s="53" t="s">
        <v>605</v>
      </c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139">
        <f>DashBoardFinanceiroAnualD!$D$13</f>
        <v>27321</v>
      </c>
      <c r="C8" s="49"/>
      <c r="D8" s="148"/>
      <c r="E8" s="49"/>
      <c r="F8" s="54"/>
      <c r="G8" s="55"/>
      <c r="H8" s="55"/>
      <c r="I8" s="56"/>
      <c r="J8" s="56"/>
      <c r="K8" s="142">
        <f>SUM(DashBoardFinanceiroAnualD!J5:J16)</f>
        <v>24678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140">
        <f>DashBoardFinanceiroAnualD!$D$14</f>
        <v>20687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v>-12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DashBoardFinanceiroAnualD!E22</f>
        <v>129286</v>
      </c>
      <c r="C16" s="56"/>
      <c r="D16" s="70"/>
      <c r="E16" s="49"/>
      <c r="F16" s="76">
        <f ca="1">DashBoardFinanceiroAnualD!E27</f>
        <v>175.65</v>
      </c>
      <c r="G16" s="96">
        <f ca="1">DashBoardFinanceiroAnualD!J27</f>
        <v>254.5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5" priority="2" operator="lessThan">
      <formula>0</formula>
    </cfRule>
  </conditionalFormatting>
  <conditionalFormatting sqref="B5">
    <cfRule type="cellIs" dxfId="4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abSelected="1" topLeftCell="A11" workbookViewId="0">
      <selection activeCell="I32" sqref="I32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103"/>
      <c r="B1" s="104" t="s">
        <v>564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41">
        <f>$C$4</f>
        <v>2019</v>
      </c>
    </row>
    <row r="4" spans="1:12" x14ac:dyDescent="0.25">
      <c r="A4" s="103"/>
      <c r="B4" s="106" t="s">
        <v>568</v>
      </c>
      <c r="C4" s="137">
        <f>DashBoardFinanceiroAnual!$K$2</f>
        <v>2019</v>
      </c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DashBoardFinanceiroAnual!$K$4</f>
        <v>Livros</v>
      </c>
      <c r="K4" s="109" t="s">
        <v>572</v>
      </c>
      <c r="L4" s="109" t="s">
        <v>569</v>
      </c>
    </row>
    <row r="5" spans="1:12" x14ac:dyDescent="0.25">
      <c r="A5" s="103"/>
      <c r="B5" s="103"/>
      <c r="C5" s="103"/>
      <c r="D5" s="103"/>
      <c r="E5" s="103"/>
      <c r="F5" s="112">
        <v>1</v>
      </c>
      <c r="G5" s="113">
        <f>SUMIFS(TbRegistroSaídas[Valor],TbRegistroSaídas[Mês Previsto],F5,TbRegistroSaídas[Ano Previsto],$C$4,TbRegistroSaídas[Data do Caixa Realizado],"")</f>
        <v>3042</v>
      </c>
      <c r="H5" s="113">
        <f>SUMIFS(TbRegistroEntradas[Valor],TbRegistroEntradas[Mês Previsto],F5,TbRegistroEntradas[Ano Previsto],$C$4,TbRegistroEntradas[Data do Caixa Realizado],"")</f>
        <v>1209</v>
      </c>
      <c r="I5" s="103"/>
      <c r="J5" s="113">
        <f>SUMIFS(TbRegistroEntradas[Valor],TbRegistroEntradas[Conta Nível 2],$J$4,TbRegistroEntradas[Ano Caixa],$L$3,TbRegistroEntradas[Mês Caixa],F5)</f>
        <v>0</v>
      </c>
      <c r="K5" s="113" t="e">
        <f>IF(J5=0,NA(),J5)</f>
        <v>#N/A</v>
      </c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>
        <f>SUMIFS(TbRegistroSaídas[Valor],TbRegistroSaídas[Mês Previsto],F6,TbRegistroSaídas[Ano Previsto],$C$4,TbRegistroSaídas[Data do Caixa Realizado],"")</f>
        <v>7524</v>
      </c>
      <c r="H6" s="115">
        <f>SUMIFS(TbRegistroEntradas[Valor],TbRegistroEntradas[Mês Previsto],F6,TbRegistroEntradas[Ano Previsto],$C$4,TbRegistroEntradas[Data do Caixa Realizado],"")</f>
        <v>1992</v>
      </c>
      <c r="I6" s="103"/>
      <c r="J6" s="115">
        <f>SUMIFS(TbRegistroEntradas[Valor],TbRegistroEntradas[Conta Nível 2],$J$4,TbRegistroEntradas[Ano Caixa],$L$3,TbRegistroEntradas[Mês Caixa],F6)</f>
        <v>10916</v>
      </c>
      <c r="K6" s="115">
        <f t="shared" ref="K6:K16" si="0">IF(J6=0,NA(),J6)</f>
        <v>10916</v>
      </c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>
        <f>SUMIFS(TbRegistroSaídas[Valor],TbRegistroSaídas[Mês Previsto],F7,TbRegistroSaídas[Ano Previsto],$C$4,TbRegistroSaídas[Data do Caixa Realizado],"")</f>
        <v>0</v>
      </c>
      <c r="H7" s="115">
        <f>SUMIFS(TbRegistroEntradas[Valor],TbRegistroEntradas[Mês Previsto],F7,TbRegistroEntradas[Ano Previsto],$C$4,TbRegistroEntradas[Data do Caixa Realizado],"")</f>
        <v>0</v>
      </c>
      <c r="I7" s="103"/>
      <c r="J7" s="115">
        <f>SUMIFS(TbRegistroEntradas[Valor],TbRegistroEntradas[Conta Nível 2],$J$4,TbRegistroEntradas[Ano Caixa],$L$3,TbRegistroEntradas[Mês Caixa],F7)</f>
        <v>9948</v>
      </c>
      <c r="K7" s="115">
        <f t="shared" si="0"/>
        <v>9948</v>
      </c>
      <c r="L7" s="106" t="s">
        <v>576</v>
      </c>
    </row>
    <row r="8" spans="1:12" x14ac:dyDescent="0.25">
      <c r="A8" s="103"/>
      <c r="B8" s="112" t="s">
        <v>577</v>
      </c>
      <c r="C8" s="116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03"/>
      <c r="E8" s="103"/>
      <c r="F8" s="103">
        <v>4</v>
      </c>
      <c r="G8" s="115">
        <f>SUMIFS(TbRegistroSaídas[Valor],TbRegistroSaídas[Mês Previsto],F8,TbRegistroSaídas[Ano Previsto],$C$4,TbRegistroSaídas[Data do Caixa Realizado],"")</f>
        <v>3690</v>
      </c>
      <c r="H8" s="115">
        <f>SUMIFS(TbRegistroEntradas[Valor],TbRegistroEntradas[Mês Previsto],F8,TbRegistroEntradas[Ano Previsto],$C$4,TbRegistroEntradas[Data do Caixa Realizado],"")</f>
        <v>4797</v>
      </c>
      <c r="I8" s="103"/>
      <c r="J8" s="115">
        <f>SUMIFS(TbRegistroEntradas[Valor],TbRegistroEntradas[Conta Nível 2],$J$4,TbRegistroEntradas[Ano Caixa],$L$3,TbRegistroEntradas[Mês Caixa],F8)</f>
        <v>0</v>
      </c>
      <c r="K8" s="115" t="e">
        <f t="shared" si="0"/>
        <v>#N/A</v>
      </c>
      <c r="L8" s="106" t="s">
        <v>578</v>
      </c>
    </row>
    <row r="9" spans="1:12" x14ac:dyDescent="0.25">
      <c r="A9" s="103"/>
      <c r="B9" s="103" t="s">
        <v>579</v>
      </c>
      <c r="C9" s="117">
        <f>SUMIFS(TbRegistroEntradas[Valor],TbRegistroEntradas[Ano Caixa],"="&amp;$C$4)</f>
        <v>129286</v>
      </c>
      <c r="D9" s="103"/>
      <c r="E9" s="103"/>
      <c r="F9" s="103">
        <v>5</v>
      </c>
      <c r="G9" s="115">
        <f>SUMIFS(TbRegistroSaídas[Valor],TbRegistroSaídas[Mês Previsto],F9,TbRegistroSaídas[Ano Previsto],$C$4,TbRegistroSaídas[Data do Caixa Realizado],"")</f>
        <v>7220</v>
      </c>
      <c r="H9" s="115">
        <f>SUMIFS(TbRegistroEntradas[Valor],TbRegistroEntradas[Mês Previsto],F9,TbRegistroEntradas[Ano Previsto],$C$4,TbRegistroEntradas[Data do Caixa Realizado],"")</f>
        <v>6672</v>
      </c>
      <c r="I9" s="103"/>
      <c r="J9" s="115">
        <f>SUMIFS(TbRegistroEntradas[Valor],TbRegistroEntradas[Conta Nível 2],$J$4,TbRegistroEntradas[Ano Caixa],$L$3,TbRegistroEntradas[Mês Caixa],F9)</f>
        <v>1620</v>
      </c>
      <c r="K9" s="115">
        <f t="shared" si="0"/>
        <v>1620</v>
      </c>
      <c r="L9" s="106" t="s">
        <v>580</v>
      </c>
    </row>
    <row r="10" spans="1:12" x14ac:dyDescent="0.25">
      <c r="A10" s="103"/>
      <c r="B10" s="103" t="s">
        <v>581</v>
      </c>
      <c r="C10" s="117">
        <f>SUMIFS(TbRegistroSaídas[Valor],TbRegistroSaídas[Ano Caixa],"="&amp;$C$4)</f>
        <v>163337</v>
      </c>
      <c r="D10" s="103"/>
      <c r="E10" s="103"/>
      <c r="F10" s="103">
        <v>6</v>
      </c>
      <c r="G10" s="115">
        <f>SUMIFS(TbRegistroSaídas[Valor],TbRegistroSaídas[Mês Previsto],F10,TbRegistroSaídas[Ano Previsto],$C$4,TbRegistroSaídas[Data do Caixa Realizado],"")</f>
        <v>3086</v>
      </c>
      <c r="H10" s="115">
        <f>SUMIFS(TbRegistroEntradas[Valor],TbRegistroEntradas[Mês Previsto],F10,TbRegistroEntradas[Ano Previsto],$C$4,TbRegistroEntradas[Data do Caixa Realizado],"")</f>
        <v>1482</v>
      </c>
      <c r="I10" s="103"/>
      <c r="J10" s="115">
        <f>SUMIFS(TbRegistroEntradas[Valor],TbRegistroEntradas[Conta Nível 2],$J$4,TbRegistroEntradas[Ano Caixa],$L$3,TbRegistroEntradas[Mês Caixa],F10)</f>
        <v>2194</v>
      </c>
      <c r="K10" s="115">
        <f t="shared" si="0"/>
        <v>2194</v>
      </c>
      <c r="L10" s="106" t="s">
        <v>582</v>
      </c>
    </row>
    <row r="11" spans="1:12" x14ac:dyDescent="0.25">
      <c r="A11" s="103"/>
      <c r="B11" s="118" t="s">
        <v>583</v>
      </c>
      <c r="C11" s="119">
        <f>C8+(C9-C10)</f>
        <v>21057</v>
      </c>
      <c r="D11" s="103"/>
      <c r="E11" s="103"/>
      <c r="F11" s="103">
        <v>7</v>
      </c>
      <c r="G11" s="115">
        <f>SUMIFS(TbRegistroSaídas[Valor],TbRegistroSaídas[Mês Previsto],F11,TbRegistroSaídas[Ano Previsto],$C$4,TbRegistroSaídas[Data do Caixa Realizado],"")</f>
        <v>0</v>
      </c>
      <c r="H11" s="115">
        <f>SUMIFS(TbRegistroEntradas[Valor],TbRegistroEntradas[Mês Previsto],F11,TbRegistroEntradas[Ano Previsto],$C$4,TbRegistroEntradas[Data do Caixa Realizado],"")</f>
        <v>4535</v>
      </c>
      <c r="I11" s="103"/>
      <c r="J11" s="115">
        <f>SUMIFS(TbRegistroEntradas[Valor],TbRegistroEntradas[Conta Nível 2],$J$4,TbRegistroEntradas[Ano Caixa],$L$3,TbRegistroEntradas[Mês Caixa],F11)</f>
        <v>0</v>
      </c>
      <c r="K11" s="115" t="e">
        <f t="shared" si="0"/>
        <v>#N/A</v>
      </c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>
        <f>SUMIFS(TbRegistroSaídas[Valor],TbRegistroSaídas[Mês Previsto],F12,TbRegistroSaídas[Ano Previsto],$C$4,TbRegistroSaídas[Data do Caixa Realizado],"")</f>
        <v>2759</v>
      </c>
      <c r="H12" s="115">
        <f>SUMIFS(TbRegistroEntradas[Valor],TbRegistroEntradas[Mês Previsto],F12,TbRegistroEntradas[Ano Previsto],$C$4,TbRegistroEntradas[Data do Caixa Realizado],"")</f>
        <v>0</v>
      </c>
      <c r="I12" s="103"/>
      <c r="J12" s="115">
        <f>SUMIFS(TbRegistroEntradas[Valor],TbRegistroEntradas[Conta Nível 2],$J$4,TbRegistroEntradas[Ano Caixa],$L$3,TbRegistroEntradas[Mês Caixa],F12)</f>
        <v>0</v>
      </c>
      <c r="K12" s="115" t="e">
        <f t="shared" si="0"/>
        <v>#N/A</v>
      </c>
      <c r="L12" s="106" t="s">
        <v>585</v>
      </c>
    </row>
    <row r="13" spans="1:12" x14ac:dyDescent="0.25">
      <c r="A13" s="103"/>
      <c r="B13" s="120" t="s">
        <v>586</v>
      </c>
      <c r="C13" s="120"/>
      <c r="D13" s="116">
        <f>SUMIFS(TbRegistroSaídas[Valor],TbRegistroSaídas[Data do Caixa Realizado],"",TbRegistroSaídas[Ano Previsto],"="&amp;$C$4)</f>
        <v>27321</v>
      </c>
      <c r="E13" s="103"/>
      <c r="F13" s="103">
        <v>9</v>
      </c>
      <c r="G13" s="115">
        <f>SUMIFS(TbRegistroSaídas[Valor],TbRegistroSaídas[Mês Previsto],F13,TbRegistroSaídas[Ano Previsto],$C$4,TbRegistroSaídas[Data do Caixa Realizado],"")</f>
        <v>0</v>
      </c>
      <c r="H13" s="115">
        <f>SUMIFS(TbRegistroEntradas[Valor],TbRegistroEntradas[Mês Previsto],F13,TbRegistroEntradas[Ano Previsto],$C$4,TbRegistroEntradas[Data do Caixa Realizado],"")</f>
        <v>0</v>
      </c>
      <c r="I13" s="103"/>
      <c r="J13" s="115">
        <f>SUMIFS(TbRegistroEntradas[Valor],TbRegistroEntradas[Conta Nível 2],$J$4,TbRegistroEntradas[Ano Caixa],$L$3,TbRegistroEntradas[Mês Caixa],F13)</f>
        <v>0</v>
      </c>
      <c r="K13" s="115" t="e">
        <f t="shared" si="0"/>
        <v>#N/A</v>
      </c>
      <c r="L13" s="106" t="s">
        <v>587</v>
      </c>
    </row>
    <row r="14" spans="1:12" x14ac:dyDescent="0.25">
      <c r="A14" s="103"/>
      <c r="B14" s="121" t="s">
        <v>588</v>
      </c>
      <c r="C14" s="121"/>
      <c r="D14" s="122">
        <f>SUMIFS(TbRegistroEntradas[Valor],TbRegistroEntradas[Data do Caixa Realizado],"",TbRegistroEntradas[Ano Previsto],$C$4)</f>
        <v>20687</v>
      </c>
      <c r="E14" s="103"/>
      <c r="F14" s="103">
        <v>10</v>
      </c>
      <c r="G14" s="115">
        <f>SUMIFS(TbRegistroSaídas[Valor],TbRegistroSaídas[Mês Previsto],F14,TbRegistroSaídas[Ano Previsto],$C$4,TbRegistroSaídas[Data do Caixa Realizado],"")</f>
        <v>0</v>
      </c>
      <c r="H14" s="115">
        <f>SUMIFS(TbRegistroEntradas[Valor],TbRegistroEntradas[Mês Previsto],F14,TbRegistroEntradas[Ano Previsto],$C$4,TbRegistroEntradas[Data do Caixa Realizado],"")</f>
        <v>0</v>
      </c>
      <c r="I14" s="103"/>
      <c r="J14" s="115">
        <f>SUMIFS(TbRegistroEntradas[Valor],TbRegistroEntradas[Conta Nível 2],$J$4,TbRegistroEntradas[Ano Caixa],$L$3,TbRegistroEntradas[Mês Caixa],F14)</f>
        <v>0</v>
      </c>
      <c r="K14" s="115" t="e">
        <f t="shared" si="0"/>
        <v>#N/A</v>
      </c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>
        <f>SUMIFS(TbRegistroSaídas[Valor],TbRegistroSaídas[Mês Previsto],F15,TbRegistroSaídas[Ano Previsto],$C$4,TbRegistroSaídas[Data do Caixa Realizado],"")</f>
        <v>0</v>
      </c>
      <c r="H15" s="115">
        <f>SUMIFS(TbRegistroEntradas[Valor],TbRegistroEntradas[Mês Previsto],F15,TbRegistroEntradas[Ano Previsto],$C$4,TbRegistroEntradas[Data do Caixa Realizado],"")</f>
        <v>0</v>
      </c>
      <c r="I15" s="103"/>
      <c r="J15" s="115">
        <f>SUMIFS(TbRegistroEntradas[Valor],TbRegistroEntradas[Conta Nível 2],$J$4,TbRegistroEntradas[Ano Caixa],$L$3,TbRegistroEntradas[Mês Caixa],F15)</f>
        <v>0</v>
      </c>
      <c r="K15" s="115" t="e">
        <f t="shared" si="0"/>
        <v>#N/A</v>
      </c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>
        <f>SUMIFS(TbRegistroSaídas[Valor],TbRegistroSaídas[Mês Previsto],F16,TbRegistroSaídas[Ano Previsto],$C$4,TbRegistroSaídas[Data do Caixa Realizado],"")</f>
        <v>0</v>
      </c>
      <c r="H16" s="123">
        <f>SUMIFS(TbRegistroEntradas[Valor],TbRegistroEntradas[Mês Previsto],F16,TbRegistroEntradas[Ano Previsto],$C$4,TbRegistroEntradas[Data do Caixa Realizado],"")</f>
        <v>0</v>
      </c>
      <c r="I16" s="103"/>
      <c r="J16" s="123">
        <f>SUMIFS(TbRegistroEntradas[Valor],TbRegistroEntradas[Conta Nível 2],$J$4,TbRegistroEntradas[Ano Caixa],$L$3,TbRegistroEntradas[Mês Caixa],F16)</f>
        <v>0</v>
      </c>
      <c r="K16" s="123" t="e">
        <f t="shared" si="0"/>
        <v>#N/A</v>
      </c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52">
        <f>C4</f>
        <v>2019</v>
      </c>
      <c r="C22" s="127">
        <f>SUMIFS(TbRegistroEntradas[Valor],TbRegistroEntradas[Venda à Vista],"Vista",TbRegistroEntradas[Ano Caixa],$B$22)</f>
        <v>39755</v>
      </c>
      <c r="D22" s="127">
        <f>SUMIFS(TbRegistroEntradas[Valor],TbRegistroEntradas[Venda à Vista],"Prazo",TbRegistroEntradas[Ano Caixa],$B$22)</f>
        <v>89531</v>
      </c>
      <c r="E22" s="127">
        <f>C22+D22</f>
        <v>129286</v>
      </c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52">
        <f>$C$4</f>
        <v>2019</v>
      </c>
      <c r="C27" s="128">
        <f ca="1">COUNTIFS(TbRegistroEntradas[Ano Previsto],$B$27,TbRegistroEntradas[Dias de Atraso],"&gt;0")</f>
        <v>20</v>
      </c>
      <c r="D27" s="128">
        <f ca="1">SUMIFS(TbRegistroEntradas[Dias de Atraso],TbRegistroEntradas[Ano Previsto],$B$27,TbRegistroEntradas[Dias de Atraso],"&gt;0")</f>
        <v>3513</v>
      </c>
      <c r="E27" s="128">
        <f ca="1">D27/C27</f>
        <v>175.65</v>
      </c>
      <c r="F27" s="103"/>
      <c r="G27" s="152">
        <f>$C$4</f>
        <v>2019</v>
      </c>
      <c r="H27" s="128">
        <f ca="1">COUNTIFS(TbRegistroSaídas[Ano Previsto],$G$27,TbRegistroSaídas[Dias de Atraso],"&gt;0")</f>
        <v>14</v>
      </c>
      <c r="I27" s="128">
        <f ca="1">SUMIFS(TbRegistroSaídas[Dias de Atraso],TbRegistroSaídas[Ano Previsto],$G$27,TbRegistroSaídas[Dias de Atraso],"&gt;0")</f>
        <v>3563</v>
      </c>
      <c r="J27" s="128">
        <f ca="1">I27/H27</f>
        <v>254.5</v>
      </c>
      <c r="K27" s="103"/>
      <c r="L27" s="103"/>
    </row>
    <row r="28" spans="1:12" x14ac:dyDescent="0.25">
      <c r="A28" s="103"/>
      <c r="B28" s="103"/>
      <c r="C28" s="103"/>
      <c r="D28" s="15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/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[1]DashBoardFinanceiroAnual!K14</f>
        <v>Vestuário</v>
      </c>
      <c r="I31" s="103"/>
      <c r="J31" s="103"/>
      <c r="K31" s="103"/>
      <c r="L31" s="103"/>
    </row>
    <row r="32" spans="1:12" x14ac:dyDescent="0.25">
      <c r="A32" s="103"/>
      <c r="B32" s="132"/>
      <c r="C32" s="133"/>
      <c r="D32" s="133"/>
      <c r="E32" s="134"/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6</vt:i4>
      </vt:variant>
    </vt:vector>
  </HeadingPairs>
  <TitlesOfParts>
    <vt:vector size="24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2020-04-24T18:20:47Z</dcterms:modified>
</cp:coreProperties>
</file>