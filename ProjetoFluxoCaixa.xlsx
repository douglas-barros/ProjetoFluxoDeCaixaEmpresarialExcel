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8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</definedNames>
  <calcPr calcId="145621"/>
</workbook>
</file>

<file path=xl/calcChain.xml><?xml version="1.0" encoding="utf-8"?>
<calcChain xmlns="http://schemas.openxmlformats.org/spreadsheetml/2006/main">
  <c r="E26" i="10" l="1"/>
  <c r="F26" i="10" s="1"/>
  <c r="G26" i="10" s="1"/>
  <c r="H26" i="10" s="1"/>
  <c r="I26" i="10" s="1"/>
  <c r="J26" i="10" s="1"/>
  <c r="K26" i="10" s="1"/>
  <c r="L26" i="10" s="1"/>
  <c r="M26" i="10" s="1"/>
  <c r="N26" i="10" s="1"/>
  <c r="D26" i="10"/>
  <c r="C26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N23" i="10"/>
  <c r="M23" i="10"/>
  <c r="L23" i="10"/>
  <c r="K23" i="10"/>
  <c r="J23" i="10"/>
  <c r="I23" i="10"/>
  <c r="H23" i="10"/>
  <c r="G23" i="10"/>
  <c r="F23" i="10"/>
  <c r="E23" i="10"/>
  <c r="D23" i="10"/>
  <c r="N22" i="10"/>
  <c r="M22" i="10"/>
  <c r="L22" i="10"/>
  <c r="K22" i="10"/>
  <c r="J22" i="10"/>
  <c r="I22" i="10"/>
  <c r="H22" i="10"/>
  <c r="G22" i="10"/>
  <c r="F22" i="10"/>
  <c r="E22" i="10"/>
  <c r="D22" i="10"/>
  <c r="C23" i="10"/>
  <c r="C22" i="10"/>
  <c r="D18" i="10"/>
  <c r="N17" i="10"/>
  <c r="M17" i="10"/>
  <c r="L17" i="10"/>
  <c r="K17" i="10"/>
  <c r="J17" i="10"/>
  <c r="I17" i="10"/>
  <c r="H17" i="10"/>
  <c r="G17" i="10"/>
  <c r="F17" i="10"/>
  <c r="E17" i="10"/>
  <c r="D17" i="10"/>
  <c r="N16" i="10"/>
  <c r="M16" i="10"/>
  <c r="L16" i="10"/>
  <c r="K16" i="10"/>
  <c r="J16" i="10"/>
  <c r="I16" i="10"/>
  <c r="H16" i="10"/>
  <c r="G16" i="10"/>
  <c r="F16" i="10"/>
  <c r="E16" i="10"/>
  <c r="D16" i="10"/>
  <c r="E15" i="10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D15" i="10"/>
  <c r="C18" i="10"/>
  <c r="C17" i="10"/>
  <c r="C16" i="10"/>
  <c r="C15" i="10"/>
  <c r="C8" i="10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L10" i="10" l="1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C11" i="10" l="1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<sst xmlns="http://schemas.openxmlformats.org/spreadsheetml/2006/main" count="1609" uniqueCount="542">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</sst>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25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4" headerRowBorderDxfId="23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2" headerRowBorderDxfId="21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0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L234" totalsRowShown="0" headerRowDxfId="10">
  <autoFilter ref="B3:L234"/>
  <tableColumns count="11">
    <tableColumn id="1" name="Data do Caixa Realizado" dataDxfId="9"/>
    <tableColumn id="2" name="Data da Competência" dataDxfId="8"/>
    <tableColumn id="3" name="Data do Caixa Previsto" dataDxfId="7"/>
    <tableColumn id="4" name="Conta Nível 1"/>
    <tableColumn id="5" name="Conta Nível 2"/>
    <tableColumn id="6" name="Histórico"/>
    <tableColumn id="7" name="Valor" dataDxfId="6"/>
    <tableColumn id="8" name="Mês Caixa" dataDxfId="5">
      <calculatedColumnFormula>IF(TbRegistroEntradas[[#This Row],[Data do Caixa Realizado]]="",0,MONTH(TbRegistroEntradas[[#This Row],[Data do Caixa Realizado]]))</calculatedColumnFormula>
    </tableColumn>
    <tableColumn id="9" name="Ano Caixa" dataDxfId="4">
      <calculatedColumnFormula>IF(TbRegistroEntradas[[#This Row],[Data do Caixa Realizado]]="",0,YEAR(TbRegistroEntradas[[#This Row],[Data do Caixa Realizado]]))</calculatedColumnFormula>
    </tableColumn>
    <tableColumn id="10" name="Mês Competência" dataDxfId="3">
      <calculatedColumnFormula>IF(TbRegistroEntradas[[#This Row],[Data da Competência]]="",0,MONTH(TbRegistroEntradas[[#This Row],[Data da Competência]]))</calculatedColumnFormula>
    </tableColumn>
    <tableColumn id="11" name="Ano Competência" dataDxfId="2">
      <calculatedColumnFormula>IF(TbRegistroEntradas[[#This Row],[Data da Competência]]="",0,YEAR(TbRegistroEntradas[[#This Row],[Data da Competência]]))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L232" totalsRowShown="0" headerRowDxfId="19" headerRowBorderDxfId="18" tableBorderDxfId="17">
  <autoFilter ref="B3:L232"/>
  <tableColumns count="11">
    <tableColumn id="1" name="Data do Caixa Realizado" dataDxfId="16"/>
    <tableColumn id="2" name="Data da Competência" dataDxfId="15"/>
    <tableColumn id="3" name="Data do Caixa Previsto" dataDxfId="14"/>
    <tableColumn id="4" name="Conta Nível 1"/>
    <tableColumn id="5" name="Conta Nível 2"/>
    <tableColumn id="6" name="Histórico"/>
    <tableColumn id="7" name="Valor" dataDxfId="13"/>
    <tableColumn id="8" name="Mês Caixa" dataDxfId="12">
      <calculatedColumnFormula>IF(TbRegistroSaídas[[#This Row],[Data do Caixa Realizado]]="",0,MONTH(TbRegistroSaídas[[#This Row],[Data do Caixa Realizado]]))</calculatedColumnFormula>
    </tableColumn>
    <tableColumn id="9" name="Ano Caixa" dataDxfId="11">
      <calculatedColumnFormula>IF(TbRegistroSaídas[[#This Row],[Data do Caixa Realizado]]="",0,YEAR(TbRegistroSaídas[[#This Row],[Data do Caixa Realizado]]))</calculatedColumnFormula>
    </tableColumn>
    <tableColumn id="10" name="Mês Competência" dataDxfId="1">
      <calculatedColumnFormula>IF(TbRegistroSaídas[[#This Row],[Data da Competência]]="",0,MONTH(TbRegistroSaídas[[#This Row],[Data da Competência]]))</calculatedColumnFormula>
    </tableColumn>
    <tableColumn id="11" name="Ano Competência" dataDxfId="0">
      <calculatedColumnFormula>IF(TbRegistroSaídas[[#This Row],[Data da Competência]]="",0,YEAR(TbRegistroSaídas[[#This Row],[Data da Competência]]))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4" t="s">
        <v>28</v>
      </c>
      <c r="C3" s="2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45</v>
      </c>
      <c r="C3" s="26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234"/>
  <sheetViews>
    <sheetView showGridLines="0" topLeftCell="E1" zoomScale="85" zoomScaleNormal="85" workbookViewId="0">
      <pane ySplit="3" topLeftCell="A4" activePane="bottomLeft" state="frozen"/>
      <selection pane="bottomLeft" activeCell="L4" sqref="L4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5" width="9.140625" customWidth="1"/>
  </cols>
  <sheetData>
    <row r="1" spans="2:12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2" ht="39.950000000000003" customHeight="1" x14ac:dyDescent="0.25">
      <c r="B2" s="12"/>
      <c r="C2" s="12"/>
      <c r="D2" s="12"/>
      <c r="E2" s="5"/>
      <c r="F2" s="5"/>
      <c r="G2" s="5"/>
      <c r="H2" s="15"/>
    </row>
    <row r="3" spans="2:12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</row>
    <row r="4" spans="2:12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</row>
    <row r="5" spans="2:12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</row>
    <row r="6" spans="2:12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</row>
    <row r="7" spans="2:12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</row>
    <row r="8" spans="2:12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</row>
    <row r="9" spans="2:12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</row>
    <row r="10" spans="2:12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</row>
    <row r="11" spans="2:12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</row>
    <row r="12" spans="2:12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</row>
    <row r="14" spans="2:12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</row>
    <row r="15" spans="2:12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</row>
    <row r="16" spans="2:12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</row>
    <row r="17" spans="2:12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</row>
    <row r="18" spans="2:12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</row>
    <row r="19" spans="2:12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</row>
    <row r="20" spans="2:12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</row>
    <row r="21" spans="2:12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</row>
    <row r="22" spans="2:12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</row>
    <row r="23" spans="2:12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</row>
    <row r="24" spans="2:12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</row>
    <row r="25" spans="2:12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</row>
    <row r="26" spans="2:12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</row>
    <row r="27" spans="2:12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</row>
    <row r="28" spans="2:12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</row>
    <row r="29" spans="2:12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</row>
    <row r="30" spans="2:12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</row>
    <row r="31" spans="2:12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</row>
    <row r="32" spans="2:12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</row>
    <row r="34" spans="2:12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</row>
    <row r="35" spans="2:12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</row>
    <row r="36" spans="2:12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</row>
    <row r="37" spans="2:12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</row>
    <row r="38" spans="2:12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</row>
    <row r="39" spans="2:12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</row>
    <row r="40" spans="2:12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</row>
    <row r="41" spans="2:12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</row>
    <row r="42" spans="2:12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</row>
    <row r="43" spans="2:12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</row>
    <row r="44" spans="2:12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</row>
    <row r="45" spans="2:12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</row>
    <row r="46" spans="2:12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</row>
    <row r="47" spans="2:12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</row>
    <row r="48" spans="2:12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</row>
    <row r="49" spans="2:12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</row>
    <row r="50" spans="2:12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</row>
    <row r="51" spans="2:12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</row>
    <row r="52" spans="2:12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</row>
    <row r="53" spans="2:12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</row>
    <row r="54" spans="2:12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</row>
    <row r="55" spans="2:12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</row>
    <row r="56" spans="2:12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</row>
    <row r="57" spans="2:12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</row>
    <row r="58" spans="2:12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</row>
    <row r="59" spans="2:12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</row>
    <row r="60" spans="2:12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</row>
    <row r="61" spans="2:12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</row>
    <row r="62" spans="2:12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</row>
    <row r="63" spans="2:12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</row>
    <row r="64" spans="2:12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</row>
    <row r="65" spans="2:12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</row>
    <row r="66" spans="2:12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</row>
    <row r="67" spans="2:12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</row>
    <row r="68" spans="2:12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</row>
    <row r="69" spans="2:12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</row>
    <row r="70" spans="2:12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</row>
    <row r="71" spans="2:12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</row>
    <row r="72" spans="2:12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</row>
    <row r="73" spans="2:12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</row>
    <row r="74" spans="2:12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</row>
    <row r="75" spans="2:12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</row>
    <row r="76" spans="2:12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</row>
    <row r="77" spans="2:12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</row>
    <row r="78" spans="2:12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</row>
    <row r="79" spans="2:12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</row>
    <row r="80" spans="2:12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</row>
    <row r="81" spans="2:12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</row>
    <row r="82" spans="2:12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</row>
    <row r="83" spans="2:12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</row>
    <row r="84" spans="2:12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</row>
    <row r="85" spans="2:12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</row>
    <row r="86" spans="2:12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</row>
    <row r="87" spans="2:12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</row>
    <row r="88" spans="2:12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</row>
    <row r="89" spans="2:12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</row>
    <row r="90" spans="2:12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</row>
    <row r="91" spans="2:12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</row>
    <row r="92" spans="2:12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</row>
    <row r="93" spans="2:12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</row>
    <row r="94" spans="2:12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</row>
    <row r="95" spans="2:12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</row>
    <row r="96" spans="2:12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</row>
    <row r="97" spans="2:12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</row>
    <row r="98" spans="2:12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</row>
    <row r="99" spans="2:12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</row>
    <row r="100" spans="2:12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</row>
    <row r="101" spans="2:12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</row>
    <row r="102" spans="2:12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</row>
    <row r="103" spans="2:12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</row>
    <row r="104" spans="2:12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</row>
    <row r="105" spans="2:12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</row>
    <row r="106" spans="2:12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</row>
    <row r="107" spans="2:12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</row>
    <row r="108" spans="2:12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</row>
    <row r="109" spans="2:12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</row>
    <row r="110" spans="2:12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</row>
    <row r="111" spans="2:12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</row>
    <row r="112" spans="2:12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</row>
    <row r="113" spans="2:12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</row>
    <row r="114" spans="2:12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</row>
    <row r="115" spans="2:12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</row>
    <row r="116" spans="2:12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</row>
    <row r="117" spans="2:12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</row>
    <row r="118" spans="2:12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</row>
    <row r="119" spans="2:12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</row>
    <row r="120" spans="2:12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</row>
    <row r="121" spans="2:12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</row>
    <row r="122" spans="2:12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</row>
    <row r="123" spans="2:12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</row>
    <row r="124" spans="2:12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</row>
    <row r="125" spans="2:12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</row>
    <row r="126" spans="2:12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</row>
    <row r="127" spans="2:12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</row>
    <row r="128" spans="2:12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</row>
    <row r="129" spans="2:12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</row>
    <row r="130" spans="2:12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</row>
    <row r="131" spans="2:12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</row>
    <row r="132" spans="2:12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</row>
    <row r="133" spans="2:12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</row>
    <row r="134" spans="2:12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</row>
    <row r="135" spans="2:12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</row>
    <row r="136" spans="2:12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</row>
    <row r="137" spans="2:12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</row>
    <row r="138" spans="2:12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</row>
    <row r="139" spans="2:12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</row>
    <row r="140" spans="2:12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</row>
    <row r="141" spans="2:12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</row>
    <row r="142" spans="2:12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</row>
    <row r="143" spans="2:12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</row>
    <row r="144" spans="2:12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</row>
    <row r="145" spans="2:12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</row>
    <row r="146" spans="2:12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</row>
    <row r="147" spans="2:12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</row>
    <row r="148" spans="2:12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</row>
    <row r="149" spans="2:12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</row>
    <row r="150" spans="2:12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</row>
    <row r="151" spans="2:12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</row>
    <row r="152" spans="2:12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</row>
    <row r="153" spans="2:12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</row>
    <row r="154" spans="2:12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</row>
    <row r="155" spans="2:12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</row>
    <row r="156" spans="2:12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</row>
    <row r="157" spans="2:12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</row>
    <row r="158" spans="2:12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</row>
    <row r="159" spans="2:12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</row>
    <row r="160" spans="2:12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</row>
    <row r="161" spans="2:12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</row>
    <row r="162" spans="2:12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</row>
    <row r="163" spans="2:12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</row>
    <row r="164" spans="2:12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</row>
    <row r="165" spans="2:12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</row>
    <row r="166" spans="2:12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</row>
    <row r="167" spans="2:12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</row>
    <row r="168" spans="2:12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</row>
    <row r="169" spans="2:12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</row>
    <row r="170" spans="2:12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</row>
    <row r="171" spans="2:12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</row>
    <row r="172" spans="2:12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</row>
    <row r="173" spans="2:12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</row>
    <row r="174" spans="2:12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</row>
    <row r="175" spans="2:12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</row>
    <row r="176" spans="2:12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</row>
    <row r="177" spans="2:12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</row>
    <row r="178" spans="2:12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</row>
    <row r="179" spans="2:12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</row>
    <row r="180" spans="2:12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</row>
    <row r="181" spans="2:12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</row>
    <row r="182" spans="2:12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</row>
    <row r="183" spans="2:12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</row>
    <row r="184" spans="2:12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</row>
    <row r="185" spans="2:12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</row>
    <row r="186" spans="2:12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</row>
    <row r="187" spans="2:12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</row>
    <row r="188" spans="2:12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</row>
    <row r="189" spans="2:12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</row>
    <row r="190" spans="2:12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</row>
    <row r="191" spans="2:12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</row>
    <row r="192" spans="2:12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</row>
    <row r="193" spans="2:12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</row>
    <row r="194" spans="2:12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</row>
    <row r="195" spans="2:12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</row>
    <row r="196" spans="2:12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</row>
    <row r="197" spans="2:12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</row>
    <row r="198" spans="2:12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</row>
    <row r="199" spans="2:12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</row>
    <row r="200" spans="2:12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</row>
    <row r="201" spans="2:12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</row>
    <row r="202" spans="2:12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</row>
    <row r="203" spans="2:12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</row>
    <row r="204" spans="2:12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</row>
    <row r="205" spans="2:12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</row>
    <row r="206" spans="2:12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</row>
    <row r="207" spans="2:12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</row>
    <row r="208" spans="2:12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</row>
    <row r="209" spans="2:12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</row>
    <row r="210" spans="2:12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</row>
    <row r="211" spans="2:12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</row>
    <row r="212" spans="2:12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</row>
    <row r="213" spans="2:12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</row>
    <row r="214" spans="2:12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</row>
    <row r="215" spans="2:12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</row>
    <row r="216" spans="2:12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</row>
    <row r="217" spans="2:12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</row>
    <row r="218" spans="2:12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</row>
    <row r="219" spans="2:12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</row>
    <row r="220" spans="2:12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</row>
    <row r="221" spans="2:12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</row>
    <row r="222" spans="2:12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</row>
    <row r="223" spans="2:12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</row>
    <row r="224" spans="2:12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</row>
    <row r="225" spans="2:12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</row>
    <row r="226" spans="2:12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</row>
    <row r="227" spans="2:12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</row>
    <row r="228" spans="2:12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</row>
    <row r="229" spans="2:12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</row>
    <row r="230" spans="2:12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</row>
    <row r="231" spans="2:12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</row>
    <row r="232" spans="2:12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</row>
    <row r="233" spans="2:12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</row>
    <row r="234" spans="2:12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232"/>
  <sheetViews>
    <sheetView showGridLines="0" zoomScale="70" zoomScaleNormal="70" workbookViewId="0">
      <pane ySplit="3" topLeftCell="A4" activePane="bottomLeft" state="frozen"/>
      <selection pane="bottomLeft" activeCell="L4" sqref="L4"/>
    </sheetView>
  </sheetViews>
  <sheetFormatPr defaultColWidth="9.140625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5" width="9.140625" customWidth="1"/>
  </cols>
  <sheetData>
    <row r="1" spans="2:12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2" ht="39.950000000000003" customHeight="1" x14ac:dyDescent="0.25">
      <c r="B2" s="5"/>
      <c r="C2" s="5"/>
      <c r="D2" s="5"/>
      <c r="E2" s="5"/>
      <c r="F2" s="5"/>
      <c r="G2" s="5"/>
      <c r="H2" s="5"/>
    </row>
    <row r="3" spans="2:12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</row>
    <row r="4" spans="2:12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</row>
    <row r="5" spans="2:12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</row>
    <row r="6" spans="2:12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</row>
    <row r="7" spans="2:12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</row>
    <row r="8" spans="2:12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</row>
    <row r="9" spans="2:12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</row>
    <row r="10" spans="2:12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</row>
    <row r="11" spans="2:12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</row>
    <row r="12" spans="2:12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</row>
    <row r="14" spans="2:12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</row>
    <row r="15" spans="2:12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</row>
    <row r="16" spans="2:12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</row>
    <row r="17" spans="2:12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</row>
    <row r="18" spans="2:12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</row>
    <row r="19" spans="2:12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</row>
    <row r="20" spans="2:12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</row>
    <row r="21" spans="2:12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</row>
    <row r="22" spans="2:12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</row>
    <row r="23" spans="2:12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</row>
    <row r="24" spans="2:12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</row>
    <row r="25" spans="2:12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</row>
    <row r="26" spans="2:12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</row>
    <row r="27" spans="2:12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</row>
    <row r="28" spans="2:12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</row>
    <row r="29" spans="2:12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</row>
    <row r="30" spans="2:12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</row>
    <row r="31" spans="2:12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</row>
    <row r="32" spans="2:12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</row>
    <row r="34" spans="2:12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</row>
    <row r="35" spans="2:12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</row>
    <row r="36" spans="2:12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</row>
    <row r="37" spans="2:12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</row>
    <row r="38" spans="2:12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</row>
    <row r="39" spans="2:12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</row>
    <row r="40" spans="2:12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</row>
    <row r="41" spans="2:12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</row>
    <row r="42" spans="2:12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</row>
    <row r="43" spans="2:12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</row>
    <row r="44" spans="2:12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</row>
    <row r="45" spans="2:12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</row>
    <row r="46" spans="2:12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</row>
    <row r="47" spans="2:12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</row>
    <row r="48" spans="2:12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</row>
    <row r="49" spans="2:12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</row>
    <row r="50" spans="2:12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</row>
    <row r="51" spans="2:12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</row>
    <row r="52" spans="2:12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</row>
    <row r="53" spans="2:12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</row>
    <row r="54" spans="2:12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</row>
    <row r="55" spans="2:12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</row>
    <row r="56" spans="2:12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</row>
    <row r="57" spans="2:12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</row>
    <row r="58" spans="2:12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</row>
    <row r="59" spans="2:12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</row>
    <row r="60" spans="2:12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</row>
    <row r="61" spans="2:12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</row>
    <row r="62" spans="2:12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</row>
    <row r="63" spans="2:12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</row>
    <row r="64" spans="2:12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</row>
    <row r="65" spans="2:12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</row>
    <row r="66" spans="2:12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</row>
    <row r="67" spans="2:12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</row>
    <row r="68" spans="2:12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</row>
    <row r="69" spans="2:12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</row>
    <row r="70" spans="2:12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</row>
    <row r="71" spans="2:12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</row>
    <row r="72" spans="2:12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</row>
    <row r="73" spans="2:12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</row>
    <row r="74" spans="2:12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</row>
    <row r="75" spans="2:12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</row>
    <row r="76" spans="2:12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</row>
    <row r="77" spans="2:12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</row>
    <row r="78" spans="2:12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</row>
    <row r="79" spans="2:12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</row>
    <row r="80" spans="2:12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</row>
    <row r="81" spans="2:12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</row>
    <row r="82" spans="2:12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</row>
    <row r="83" spans="2:12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</row>
    <row r="84" spans="2:12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</row>
    <row r="85" spans="2:12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</row>
    <row r="86" spans="2:12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</row>
    <row r="87" spans="2:12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</row>
    <row r="88" spans="2:12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</row>
    <row r="89" spans="2:12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</row>
    <row r="90" spans="2:12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</row>
    <row r="91" spans="2:12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</row>
    <row r="92" spans="2:12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</row>
    <row r="93" spans="2:12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</row>
    <row r="94" spans="2:12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</row>
    <row r="95" spans="2:12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</row>
    <row r="96" spans="2:12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</row>
    <row r="97" spans="2:12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</row>
    <row r="98" spans="2:12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</row>
    <row r="99" spans="2:12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</row>
    <row r="100" spans="2:12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</row>
    <row r="101" spans="2:12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</row>
    <row r="102" spans="2:12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</row>
    <row r="103" spans="2:12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</row>
    <row r="104" spans="2:12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</row>
    <row r="105" spans="2:12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</row>
    <row r="106" spans="2:12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</row>
    <row r="107" spans="2:12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</row>
    <row r="108" spans="2:12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</row>
    <row r="109" spans="2:12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</row>
    <row r="110" spans="2:12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</row>
    <row r="111" spans="2:12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</row>
    <row r="112" spans="2:12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</row>
    <row r="113" spans="2:12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</row>
    <row r="114" spans="2:12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</row>
    <row r="115" spans="2:12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</row>
    <row r="116" spans="2:12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</row>
    <row r="117" spans="2:12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</row>
    <row r="118" spans="2:12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</row>
    <row r="119" spans="2:12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</row>
    <row r="120" spans="2:12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</row>
    <row r="121" spans="2:12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</row>
    <row r="122" spans="2:12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</row>
    <row r="123" spans="2:12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</row>
    <row r="124" spans="2:12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</row>
    <row r="125" spans="2:12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</row>
    <row r="126" spans="2:12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</row>
    <row r="127" spans="2:12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</row>
    <row r="128" spans="2:12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</row>
    <row r="129" spans="2:12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</row>
    <row r="130" spans="2:12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</row>
    <row r="131" spans="2:12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</row>
    <row r="132" spans="2:12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</row>
    <row r="133" spans="2:12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</row>
    <row r="134" spans="2:12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</row>
    <row r="135" spans="2:12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</row>
    <row r="136" spans="2:12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</row>
    <row r="137" spans="2:12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</row>
    <row r="138" spans="2:12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</row>
    <row r="139" spans="2:12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</row>
    <row r="140" spans="2:12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</row>
    <row r="141" spans="2:12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</row>
    <row r="142" spans="2:12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</row>
    <row r="143" spans="2:12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</row>
    <row r="144" spans="2:12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</row>
    <row r="145" spans="2:12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</row>
    <row r="146" spans="2:12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</row>
    <row r="147" spans="2:12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</row>
    <row r="148" spans="2:12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</row>
    <row r="149" spans="2:12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</row>
    <row r="150" spans="2:12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</row>
    <row r="151" spans="2:12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</row>
    <row r="152" spans="2:12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</row>
    <row r="153" spans="2:12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</row>
    <row r="154" spans="2:12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</row>
    <row r="155" spans="2:12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</row>
    <row r="156" spans="2:12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</row>
    <row r="157" spans="2:12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</row>
    <row r="158" spans="2:12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</row>
    <row r="159" spans="2:12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</row>
    <row r="160" spans="2:12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</row>
    <row r="161" spans="2:12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</row>
    <row r="162" spans="2:12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</row>
    <row r="163" spans="2:12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</row>
    <row r="164" spans="2:12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</row>
    <row r="165" spans="2:12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</row>
    <row r="166" spans="2:12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</row>
    <row r="167" spans="2:12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</row>
    <row r="168" spans="2:12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</row>
    <row r="169" spans="2:12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</row>
    <row r="170" spans="2:12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</row>
    <row r="171" spans="2:12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</row>
    <row r="172" spans="2:12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</row>
    <row r="173" spans="2:12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</row>
    <row r="174" spans="2:12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</row>
    <row r="175" spans="2:12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</row>
    <row r="176" spans="2:12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</row>
    <row r="177" spans="2:12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</row>
    <row r="178" spans="2:12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</row>
    <row r="179" spans="2:12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</row>
    <row r="180" spans="2:12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</row>
    <row r="181" spans="2:12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</row>
    <row r="182" spans="2:12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</row>
    <row r="183" spans="2:12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</row>
    <row r="184" spans="2:12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</row>
    <row r="185" spans="2:12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</row>
    <row r="186" spans="2:12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</row>
    <row r="187" spans="2:12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</row>
    <row r="188" spans="2:12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</row>
    <row r="189" spans="2:12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</row>
    <row r="190" spans="2:12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</row>
    <row r="191" spans="2:12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</row>
    <row r="192" spans="2:12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</row>
    <row r="193" spans="2:12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</row>
    <row r="194" spans="2:12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</row>
    <row r="195" spans="2:12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</row>
    <row r="196" spans="2:12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</row>
    <row r="197" spans="2:12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</row>
    <row r="198" spans="2:12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</row>
    <row r="199" spans="2:12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</row>
    <row r="200" spans="2:12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</row>
    <row r="201" spans="2:12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</row>
    <row r="202" spans="2:12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</row>
    <row r="203" spans="2:12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</row>
    <row r="204" spans="2:12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</row>
    <row r="205" spans="2:12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</row>
    <row r="206" spans="2:12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</row>
    <row r="207" spans="2:12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</row>
    <row r="208" spans="2:12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</row>
    <row r="209" spans="2:12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</row>
    <row r="210" spans="2:12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</row>
    <row r="211" spans="2:12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</row>
    <row r="212" spans="2:12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</row>
    <row r="213" spans="2:12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</row>
    <row r="214" spans="2:12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</row>
    <row r="215" spans="2:12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</row>
    <row r="216" spans="2:12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</row>
    <row r="217" spans="2:12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</row>
    <row r="218" spans="2:12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</row>
    <row r="219" spans="2:12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</row>
    <row r="220" spans="2:12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</row>
    <row r="221" spans="2:12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</row>
    <row r="222" spans="2:12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</row>
    <row r="223" spans="2:12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</row>
    <row r="224" spans="2:12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</row>
    <row r="225" spans="2:12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</row>
    <row r="226" spans="2:12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</row>
    <row r="227" spans="2:12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</row>
    <row r="228" spans="2:12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</row>
    <row r="229" spans="2:12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</row>
    <row r="230" spans="2:12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</row>
    <row r="231" spans="2:12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</row>
    <row r="232" spans="2:12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abSelected="1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7" t="s">
        <v>13</v>
      </c>
      <c r="K1" s="27"/>
      <c r="L1" s="27"/>
      <c r="M1" s="27"/>
      <c r="N1" s="27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30" t="s">
        <v>512</v>
      </c>
      <c r="C3" s="28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9" t="s">
        <v>513</v>
      </c>
    </row>
    <row r="7" spans="2:14" ht="20.100000000000001" customHeight="1" x14ac:dyDescent="0.25">
      <c r="B7" s="33" t="s">
        <v>514</v>
      </c>
      <c r="C7" s="31" t="s">
        <v>517</v>
      </c>
      <c r="D7" s="31" t="s">
        <v>518</v>
      </c>
      <c r="E7" s="31" t="s">
        <v>519</v>
      </c>
      <c r="F7" s="31" t="s">
        <v>520</v>
      </c>
      <c r="G7" s="31" t="s">
        <v>521</v>
      </c>
      <c r="H7" s="31" t="s">
        <v>522</v>
      </c>
      <c r="I7" s="31" t="s">
        <v>523</v>
      </c>
      <c r="J7" s="31" t="s">
        <v>524</v>
      </c>
      <c r="K7" s="31" t="s">
        <v>525</v>
      </c>
      <c r="L7" s="31" t="s">
        <v>526</v>
      </c>
      <c r="M7" s="31" t="s">
        <v>527</v>
      </c>
      <c r="N7" s="32" t="s">
        <v>528</v>
      </c>
    </row>
    <row r="8" spans="2:14" ht="20.100000000000001" customHeight="1" x14ac:dyDescent="0.25">
      <c r="B8" s="35" t="s">
        <v>530</v>
      </c>
      <c r="C8" s="39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9">
        <f>C11</f>
        <v>966</v>
      </c>
      <c r="E8" s="39">
        <f t="shared" ref="E8:N8" si="0">D11</f>
        <v>5553</v>
      </c>
      <c r="F8" s="39">
        <f t="shared" si="0"/>
        <v>-7</v>
      </c>
      <c r="G8" s="39">
        <f t="shared" si="0"/>
        <v>1894</v>
      </c>
      <c r="H8" s="39">
        <f t="shared" si="0"/>
        <v>22181</v>
      </c>
      <c r="I8" s="39">
        <f t="shared" si="0"/>
        <v>30931</v>
      </c>
      <c r="J8" s="39">
        <f t="shared" si="0"/>
        <v>22856</v>
      </c>
      <c r="K8" s="39">
        <f t="shared" si="0"/>
        <v>38235</v>
      </c>
      <c r="L8" s="39">
        <f t="shared" si="0"/>
        <v>44941</v>
      </c>
      <c r="M8" s="39">
        <f t="shared" si="0"/>
        <v>39552</v>
      </c>
      <c r="N8" s="40">
        <f t="shared" si="0"/>
        <v>58456</v>
      </c>
    </row>
    <row r="9" spans="2:14" ht="20.100000000000001" customHeight="1" x14ac:dyDescent="0.25">
      <c r="B9" s="35" t="s">
        <v>529</v>
      </c>
      <c r="C9" s="39">
        <f>SUMIFS(TbRegistroEntradas[Valor],TbRegistroEntradas[Mês Caixa],C5,TbRegistroEntradas[Ano Caixa],$C$3)</f>
        <v>33220</v>
      </c>
      <c r="D9" s="39">
        <f>SUMIFS(TbRegistroEntradas[Valor],TbRegistroEntradas[Mês Caixa],D5,TbRegistroEntradas[Ano Caixa],$C$3)</f>
        <v>27618</v>
      </c>
      <c r="E9" s="39">
        <f>SUMIFS(TbRegistroEntradas[Valor],TbRegistroEntradas[Mês Caixa],E5,TbRegistroEntradas[Ano Caixa],$C$3)</f>
        <v>21553</v>
      </c>
      <c r="F9" s="39">
        <f>SUMIFS(TbRegistroEntradas[Valor],TbRegistroEntradas[Mês Caixa],F5,TbRegistroEntradas[Ano Caixa],$C$3)</f>
        <v>25910</v>
      </c>
      <c r="G9" s="39">
        <f>SUMIFS(TbRegistroEntradas[Valor],TbRegistroEntradas[Mês Caixa],G5,TbRegistroEntradas[Ano Caixa],$C$3)</f>
        <v>23254</v>
      </c>
      <c r="H9" s="39">
        <f>SUMIFS(TbRegistroEntradas[Valor],TbRegistroEntradas[Mês Caixa],H5,TbRegistroEntradas[Ano Caixa],$C$3)</f>
        <v>29499</v>
      </c>
      <c r="I9" s="39">
        <f>SUMIFS(TbRegistroEntradas[Valor],TbRegistroEntradas[Mês Caixa],I5,TbRegistroEntradas[Ano Caixa],$C$3)</f>
        <v>21232</v>
      </c>
      <c r="J9" s="39">
        <f>SUMIFS(TbRegistroEntradas[Valor],TbRegistroEntradas[Mês Caixa],J5,TbRegistroEntradas[Ano Caixa],$C$3)</f>
        <v>31767</v>
      </c>
      <c r="K9" s="39">
        <f>SUMIFS(TbRegistroEntradas[Valor],TbRegistroEntradas[Mês Caixa],K5,TbRegistroEntradas[Ano Caixa],$C$3)</f>
        <v>24029</v>
      </c>
      <c r="L9" s="39">
        <f>SUMIFS(TbRegistroEntradas[Valor],TbRegistroEntradas[Mês Caixa],L5,TbRegistroEntradas[Ano Caixa],$C$3)</f>
        <v>21580</v>
      </c>
      <c r="M9" s="39">
        <f>SUMIFS(TbRegistroEntradas[Valor],TbRegistroEntradas[Mês Caixa],M5,TbRegistroEntradas[Ano Caixa],$C$3)</f>
        <v>38978</v>
      </c>
      <c r="N9" s="40">
        <f>SUMIFS(TbRegistroEntradas[Valor],TbRegistroEntradas[Mês Caixa],N5,TbRegistroEntradas[Ano Caixa],$C$3)</f>
        <v>15074</v>
      </c>
    </row>
    <row r="10" spans="2:14" ht="20.100000000000001" customHeight="1" x14ac:dyDescent="0.25">
      <c r="B10" s="35" t="s">
        <v>515</v>
      </c>
      <c r="C10" s="39">
        <f>SUMIFS(TbRegistroSaídas[Valor],TbRegistroSaídas[Mês Caixa],C5,TbRegistroSaídas[Ano Caixa],$C$3)</f>
        <v>31213</v>
      </c>
      <c r="D10" s="39">
        <f>SUMIFS(TbRegistroSaídas[Valor],TbRegistroSaídas[Mês Caixa],D5,TbRegistroSaídas[Ano Caixa],$C$3)</f>
        <v>23031</v>
      </c>
      <c r="E10" s="39">
        <f>SUMIFS(TbRegistroSaídas[Valor],TbRegistroSaídas[Mês Caixa],E5,TbRegistroSaídas[Ano Caixa],$C$3)</f>
        <v>27113</v>
      </c>
      <c r="F10" s="39">
        <f>SUMIFS(TbRegistroSaídas[Valor],TbRegistroSaídas[Mês Caixa],F5,TbRegistroSaídas[Ano Caixa],$C$3)</f>
        <v>24009</v>
      </c>
      <c r="G10" s="39">
        <f>SUMIFS(TbRegistroSaídas[Valor],TbRegistroSaídas[Mês Caixa],G5,TbRegistroSaídas[Ano Caixa],$C$3)</f>
        <v>2967</v>
      </c>
      <c r="H10" s="39">
        <f>SUMIFS(TbRegistroSaídas[Valor],TbRegistroSaídas[Mês Caixa],H5,TbRegistroSaídas[Ano Caixa],$C$3)</f>
        <v>20749</v>
      </c>
      <c r="I10" s="39">
        <f>SUMIFS(TbRegistroSaídas[Valor],TbRegistroSaídas[Mês Caixa],I5,TbRegistroSaídas[Ano Caixa],$C$3)</f>
        <v>29307</v>
      </c>
      <c r="J10" s="39">
        <f>SUMIFS(TbRegistroSaídas[Valor],TbRegistroSaídas[Mês Caixa],J5,TbRegistroSaídas[Ano Caixa],$C$3)</f>
        <v>16388</v>
      </c>
      <c r="K10" s="39">
        <f>SUMIFS(TbRegistroSaídas[Valor],TbRegistroSaídas[Mês Caixa],K5,TbRegistroSaídas[Ano Caixa],$C$3)</f>
        <v>17323</v>
      </c>
      <c r="L10" s="39">
        <f>SUMIFS(TbRegistroSaídas[Valor],TbRegistroSaídas[Mês Caixa],L5,TbRegistroSaídas[Ano Caixa],$C$3)</f>
        <v>26969</v>
      </c>
      <c r="M10" s="39">
        <f>SUMIFS(TbRegistroSaídas[Valor],TbRegistroSaídas[Mês Caixa],M5,TbRegistroSaídas[Ano Caixa],$C$3)</f>
        <v>20074</v>
      </c>
      <c r="N10" s="40">
        <f>SUMIFS(TbRegistroSaídas[Valor],TbRegistroSaídas[Mês Caixa],N5,TbRegistroSaídas[Ano Caixa],$C$3)</f>
        <v>18422</v>
      </c>
    </row>
    <row r="11" spans="2:14" ht="20.100000000000001" customHeight="1" x14ac:dyDescent="0.25">
      <c r="B11" s="38" t="s">
        <v>516</v>
      </c>
      <c r="C11" s="41">
        <f>C8+C9-C10</f>
        <v>966</v>
      </c>
      <c r="D11" s="41">
        <f t="shared" ref="D11:N11" si="1">D8+D9-D10</f>
        <v>5553</v>
      </c>
      <c r="E11" s="41">
        <f t="shared" si="1"/>
        <v>-7</v>
      </c>
      <c r="F11" s="41">
        <f t="shared" si="1"/>
        <v>1894</v>
      </c>
      <c r="G11" s="41">
        <f t="shared" si="1"/>
        <v>22181</v>
      </c>
      <c r="H11" s="41">
        <f t="shared" si="1"/>
        <v>30931</v>
      </c>
      <c r="I11" s="41">
        <f t="shared" si="1"/>
        <v>22856</v>
      </c>
      <c r="J11" s="41">
        <f t="shared" si="1"/>
        <v>38235</v>
      </c>
      <c r="K11" s="41">
        <f t="shared" si="1"/>
        <v>44941</v>
      </c>
      <c r="L11" s="41">
        <f t="shared" si="1"/>
        <v>39552</v>
      </c>
      <c r="M11" s="41">
        <f t="shared" si="1"/>
        <v>58456</v>
      </c>
      <c r="N11" s="42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4" t="s">
        <v>531</v>
      </c>
    </row>
    <row r="14" spans="2:14" ht="20.100000000000001" customHeight="1" x14ac:dyDescent="0.25">
      <c r="B14" s="33" t="s">
        <v>514</v>
      </c>
      <c r="C14" s="31" t="s">
        <v>517</v>
      </c>
      <c r="D14" s="31" t="s">
        <v>518</v>
      </c>
      <c r="E14" s="31" t="s">
        <v>519</v>
      </c>
      <c r="F14" s="31" t="s">
        <v>520</v>
      </c>
      <c r="G14" s="31" t="s">
        <v>521</v>
      </c>
      <c r="H14" s="31" t="s">
        <v>522</v>
      </c>
      <c r="I14" s="31" t="s">
        <v>523</v>
      </c>
      <c r="J14" s="31" t="s">
        <v>524</v>
      </c>
      <c r="K14" s="31" t="s">
        <v>525</v>
      </c>
      <c r="L14" s="31" t="s">
        <v>526</v>
      </c>
      <c r="M14" s="31" t="s">
        <v>527</v>
      </c>
      <c r="N14" s="32" t="s">
        <v>528</v>
      </c>
    </row>
    <row r="15" spans="2:14" ht="20.100000000000001" customHeight="1" x14ac:dyDescent="0.25">
      <c r="B15" s="35" t="s">
        <v>530</v>
      </c>
      <c r="C15" s="39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9">
        <f>C18</f>
        <v>2752</v>
      </c>
      <c r="E15" s="39">
        <f t="shared" ref="E15:N15" si="2">D18</f>
        <v>1935</v>
      </c>
      <c r="F15" s="39">
        <f t="shared" si="2"/>
        <v>15266</v>
      </c>
      <c r="G15" s="39">
        <f t="shared" si="2"/>
        <v>30813</v>
      </c>
      <c r="H15" s="39">
        <f t="shared" si="2"/>
        <v>25040</v>
      </c>
      <c r="I15" s="39">
        <f t="shared" si="2"/>
        <v>28824</v>
      </c>
      <c r="J15" s="39">
        <f t="shared" si="2"/>
        <v>28057</v>
      </c>
      <c r="K15" s="39">
        <f t="shared" si="2"/>
        <v>28632</v>
      </c>
      <c r="L15" s="39">
        <f t="shared" si="2"/>
        <v>34708</v>
      </c>
      <c r="M15" s="39">
        <f t="shared" si="2"/>
        <v>35415</v>
      </c>
      <c r="N15" s="40">
        <f t="shared" si="2"/>
        <v>43688</v>
      </c>
    </row>
    <row r="16" spans="2:14" ht="20.100000000000001" customHeight="1" x14ac:dyDescent="0.25">
      <c r="B16" s="35" t="s">
        <v>529</v>
      </c>
      <c r="C16" s="39">
        <f>SUMIFS(TbRegistroEntradas[Valor],TbRegistroEntradas[Mês Competência],C5,TbRegistroEntradas[Ano Competência],$C$3)</f>
        <v>20582</v>
      </c>
      <c r="D16" s="39">
        <f>SUMIFS(TbRegistroEntradas[Valor],TbRegistroEntradas[Mês Competência],D5,TbRegistroEntradas[Ano Competência],$C$3)</f>
        <v>24761</v>
      </c>
      <c r="E16" s="39">
        <f>SUMIFS(TbRegistroEntradas[Valor],TbRegistroEntradas[Mês Competência],E5,TbRegistroEntradas[Ano Competência],$C$3)</f>
        <v>37458</v>
      </c>
      <c r="F16" s="39">
        <f>SUMIFS(TbRegistroEntradas[Valor],TbRegistroEntradas[Mês Competência],F5,TbRegistroEntradas[Ano Competência],$C$3)</f>
        <v>30226</v>
      </c>
      <c r="G16" s="39">
        <f>SUMIFS(TbRegistroEntradas[Valor],TbRegistroEntradas[Mês Competência],G5,TbRegistroEntradas[Ano Competência],$C$3)</f>
        <v>19009</v>
      </c>
      <c r="H16" s="39">
        <f>SUMIFS(TbRegistroEntradas[Valor],TbRegistroEntradas[Mês Competência],H5,TbRegistroEntradas[Ano Competência],$C$3)</f>
        <v>28711</v>
      </c>
      <c r="I16" s="39">
        <f>SUMIFS(TbRegistroEntradas[Valor],TbRegistroEntradas[Mês Competência],I5,TbRegistroEntradas[Ano Competência],$C$3)</f>
        <v>33298</v>
      </c>
      <c r="J16" s="39">
        <f>SUMIFS(TbRegistroEntradas[Valor],TbRegistroEntradas[Mês Competência],J5,TbRegistroEntradas[Ano Competência],$C$3)</f>
        <v>22302</v>
      </c>
      <c r="K16" s="39">
        <f>SUMIFS(TbRegistroEntradas[Valor],TbRegistroEntradas[Mês Competência],K5,TbRegistroEntradas[Ano Competência],$C$3)</f>
        <v>26024</v>
      </c>
      <c r="L16" s="39">
        <f>SUMIFS(TbRegistroEntradas[Valor],TbRegistroEntradas[Mês Competência],L5,TbRegistroEntradas[Ano Competência],$C$3)</f>
        <v>29400</v>
      </c>
      <c r="M16" s="39">
        <f>SUMIFS(TbRegistroEntradas[Valor],TbRegistroEntradas[Mês Competência],M5,TbRegistroEntradas[Ano Competência],$C$3)</f>
        <v>30897</v>
      </c>
      <c r="N16" s="39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5" t="s">
        <v>515</v>
      </c>
      <c r="C17" s="39">
        <f>SUMIFS(TbRegistroSaídas[Valor],TbRegistroSaídas[Mês Competência],C5,TbRegistroSaídas[Ano Competência],$C$3)</f>
        <v>41773</v>
      </c>
      <c r="D17" s="39">
        <f>SUMIFS(TbRegistroSaídas[Valor],TbRegistroSaídas[Mês Competência],D5,TbRegistroSaídas[Ano Competência],$C$3)</f>
        <v>25578</v>
      </c>
      <c r="E17" s="39">
        <f>SUMIFS(TbRegistroSaídas[Valor],TbRegistroSaídas[Mês Competência],E5,TbRegistroSaídas[Ano Competência],$C$3)</f>
        <v>24127</v>
      </c>
      <c r="F17" s="39">
        <f>SUMIFS(TbRegistroSaídas[Valor],TbRegistroSaídas[Mês Competência],F5,TbRegistroSaídas[Ano Competência],$C$3)</f>
        <v>14679</v>
      </c>
      <c r="G17" s="39">
        <f>SUMIFS(TbRegistroSaídas[Valor],TbRegistroSaídas[Mês Competência],G5,TbRegistroSaídas[Ano Competência],$C$3)</f>
        <v>24782</v>
      </c>
      <c r="H17" s="39">
        <f>SUMIFS(TbRegistroSaídas[Valor],TbRegistroSaídas[Mês Competência],H5,TbRegistroSaídas[Ano Competência],$C$3)</f>
        <v>24927</v>
      </c>
      <c r="I17" s="39">
        <f>SUMIFS(TbRegistroSaídas[Valor],TbRegistroSaídas[Mês Competência],I5,TbRegistroSaídas[Ano Competência],$C$3)</f>
        <v>34065</v>
      </c>
      <c r="J17" s="39">
        <f>SUMIFS(TbRegistroSaídas[Valor],TbRegistroSaídas[Mês Competência],J5,TbRegistroSaídas[Ano Competência],$C$3)</f>
        <v>21727</v>
      </c>
      <c r="K17" s="39">
        <f>SUMIFS(TbRegistroSaídas[Valor],TbRegistroSaídas[Mês Competência],K5,TbRegistroSaídas[Ano Competência],$C$3)</f>
        <v>19948</v>
      </c>
      <c r="L17" s="39">
        <f>SUMIFS(TbRegistroSaídas[Valor],TbRegistroSaídas[Mês Competência],L5,TbRegistroSaídas[Ano Competência],$C$3)</f>
        <v>28693</v>
      </c>
      <c r="M17" s="39">
        <f>SUMIFS(TbRegistroSaídas[Valor],TbRegistroSaídas[Mês Competência],M5,TbRegistroSaídas[Ano Competência],$C$3)</f>
        <v>22624</v>
      </c>
      <c r="N17" s="40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8" t="s">
        <v>516</v>
      </c>
      <c r="C18" s="41">
        <f>C15+C16-C17</f>
        <v>2752</v>
      </c>
      <c r="D18" s="41">
        <f t="shared" ref="D18:N18" si="3">D15+D16-D17</f>
        <v>1935</v>
      </c>
      <c r="E18" s="41">
        <f t="shared" si="3"/>
        <v>15266</v>
      </c>
      <c r="F18" s="41">
        <f t="shared" si="3"/>
        <v>30813</v>
      </c>
      <c r="G18" s="41">
        <f t="shared" si="3"/>
        <v>25040</v>
      </c>
      <c r="H18" s="41">
        <f t="shared" si="3"/>
        <v>28824</v>
      </c>
      <c r="I18" s="41">
        <f t="shared" si="3"/>
        <v>28057</v>
      </c>
      <c r="J18" s="41">
        <f t="shared" si="3"/>
        <v>28632</v>
      </c>
      <c r="K18" s="41">
        <f t="shared" si="3"/>
        <v>34708</v>
      </c>
      <c r="L18" s="41">
        <f t="shared" si="3"/>
        <v>35415</v>
      </c>
      <c r="M18" s="41">
        <f t="shared" si="3"/>
        <v>43688</v>
      </c>
      <c r="N18" s="42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4" t="s">
        <v>532</v>
      </c>
    </row>
    <row r="21" spans="2:14" ht="20.100000000000001" customHeight="1" x14ac:dyDescent="0.25">
      <c r="B21" s="33" t="s">
        <v>514</v>
      </c>
      <c r="C21" s="31" t="s">
        <v>517</v>
      </c>
      <c r="D21" s="31" t="s">
        <v>518</v>
      </c>
      <c r="E21" s="31" t="s">
        <v>519</v>
      </c>
      <c r="F21" s="31" t="s">
        <v>520</v>
      </c>
      <c r="G21" s="31" t="s">
        <v>521</v>
      </c>
      <c r="H21" s="31" t="s">
        <v>522</v>
      </c>
      <c r="I21" s="31" t="s">
        <v>523</v>
      </c>
      <c r="J21" s="31" t="s">
        <v>524</v>
      </c>
      <c r="K21" s="31" t="s">
        <v>525</v>
      </c>
      <c r="L21" s="31" t="s">
        <v>526</v>
      </c>
      <c r="M21" s="31" t="s">
        <v>527</v>
      </c>
      <c r="N21" s="32" t="s">
        <v>528</v>
      </c>
    </row>
    <row r="22" spans="2:14" ht="20.100000000000001" customHeight="1" x14ac:dyDescent="0.25">
      <c r="B22" s="35" t="s">
        <v>533</v>
      </c>
      <c r="C22" s="39">
        <f>C16</f>
        <v>20582</v>
      </c>
      <c r="D22" s="39">
        <f t="shared" ref="D22:N22" si="4">D16</f>
        <v>24761</v>
      </c>
      <c r="E22" s="39">
        <f t="shared" si="4"/>
        <v>37458</v>
      </c>
      <c r="F22" s="39">
        <f t="shared" si="4"/>
        <v>30226</v>
      </c>
      <c r="G22" s="39">
        <f t="shared" si="4"/>
        <v>19009</v>
      </c>
      <c r="H22" s="39">
        <f t="shared" si="4"/>
        <v>28711</v>
      </c>
      <c r="I22" s="39">
        <f t="shared" si="4"/>
        <v>33298</v>
      </c>
      <c r="J22" s="39">
        <f t="shared" si="4"/>
        <v>22302</v>
      </c>
      <c r="K22" s="39">
        <f t="shared" si="4"/>
        <v>26024</v>
      </c>
      <c r="L22" s="39">
        <f t="shared" si="4"/>
        <v>29400</v>
      </c>
      <c r="M22" s="39">
        <f t="shared" si="4"/>
        <v>30897</v>
      </c>
      <c r="N22" s="40">
        <f t="shared" si="4"/>
        <v>17906</v>
      </c>
    </row>
    <row r="23" spans="2:14" ht="20.100000000000001" customHeight="1" x14ac:dyDescent="0.25">
      <c r="B23" s="35" t="s">
        <v>534</v>
      </c>
      <c r="C23" s="39">
        <f>C17</f>
        <v>41773</v>
      </c>
      <c r="D23" s="39">
        <f t="shared" ref="D23:N23" si="5">D17</f>
        <v>25578</v>
      </c>
      <c r="E23" s="39">
        <f t="shared" si="5"/>
        <v>24127</v>
      </c>
      <c r="F23" s="39">
        <f t="shared" si="5"/>
        <v>14679</v>
      </c>
      <c r="G23" s="39">
        <f t="shared" si="5"/>
        <v>24782</v>
      </c>
      <c r="H23" s="39">
        <f t="shared" si="5"/>
        <v>24927</v>
      </c>
      <c r="I23" s="39">
        <f t="shared" si="5"/>
        <v>34065</v>
      </c>
      <c r="J23" s="39">
        <f t="shared" si="5"/>
        <v>21727</v>
      </c>
      <c r="K23" s="39">
        <f t="shared" si="5"/>
        <v>19948</v>
      </c>
      <c r="L23" s="39">
        <f t="shared" si="5"/>
        <v>28693</v>
      </c>
      <c r="M23" s="39">
        <f t="shared" si="5"/>
        <v>22624</v>
      </c>
      <c r="N23" s="40">
        <f t="shared" si="5"/>
        <v>19227</v>
      </c>
    </row>
    <row r="24" spans="2:14" ht="20.100000000000001" customHeight="1" x14ac:dyDescent="0.25">
      <c r="B24" s="36" t="s">
        <v>535</v>
      </c>
      <c r="C24" s="43">
        <f>IF(C22-C23&gt;0,C22-C23,0)</f>
        <v>0</v>
      </c>
      <c r="D24" s="43">
        <f t="shared" ref="D24:N24" si="6">IF(D22-D23&gt;0,D22-D23,0)</f>
        <v>0</v>
      </c>
      <c r="E24" s="43">
        <f t="shared" si="6"/>
        <v>13331</v>
      </c>
      <c r="F24" s="43">
        <f t="shared" si="6"/>
        <v>15547</v>
      </c>
      <c r="G24" s="43">
        <f t="shared" si="6"/>
        <v>0</v>
      </c>
      <c r="H24" s="43">
        <f t="shared" si="6"/>
        <v>3784</v>
      </c>
      <c r="I24" s="43">
        <f t="shared" si="6"/>
        <v>0</v>
      </c>
      <c r="J24" s="43">
        <f t="shared" si="6"/>
        <v>575</v>
      </c>
      <c r="K24" s="43">
        <f t="shared" si="6"/>
        <v>6076</v>
      </c>
      <c r="L24" s="43">
        <f t="shared" si="6"/>
        <v>707</v>
      </c>
      <c r="M24" s="43">
        <f t="shared" si="6"/>
        <v>8273</v>
      </c>
      <c r="N24" s="44">
        <f t="shared" si="6"/>
        <v>0</v>
      </c>
    </row>
    <row r="25" spans="2:14" ht="20.100000000000001" customHeight="1" x14ac:dyDescent="0.25">
      <c r="B25" s="37" t="s">
        <v>536</v>
      </c>
      <c r="C25" s="45">
        <f>IF(C22-C23&lt;0,C22-C23,0)</f>
        <v>-21191</v>
      </c>
      <c r="D25" s="45">
        <f t="shared" ref="D25:N25" si="7">IF(D22-D23&lt;0,D22-D23,0)</f>
        <v>-817</v>
      </c>
      <c r="E25" s="45">
        <f t="shared" si="7"/>
        <v>0</v>
      </c>
      <c r="F25" s="45">
        <f t="shared" si="7"/>
        <v>0</v>
      </c>
      <c r="G25" s="45">
        <f t="shared" si="7"/>
        <v>-5773</v>
      </c>
      <c r="H25" s="45">
        <f t="shared" si="7"/>
        <v>0</v>
      </c>
      <c r="I25" s="45">
        <f t="shared" si="7"/>
        <v>-767</v>
      </c>
      <c r="J25" s="45">
        <f t="shared" si="7"/>
        <v>0</v>
      </c>
      <c r="K25" s="45">
        <f t="shared" si="7"/>
        <v>0</v>
      </c>
      <c r="L25" s="45">
        <f t="shared" si="7"/>
        <v>0</v>
      </c>
      <c r="M25" s="45">
        <f t="shared" si="7"/>
        <v>0</v>
      </c>
      <c r="N25" s="46">
        <f t="shared" si="7"/>
        <v>-1321</v>
      </c>
    </row>
    <row r="26" spans="2:14" ht="20.100000000000001" customHeight="1" x14ac:dyDescent="0.25">
      <c r="B26" s="37" t="s">
        <v>537</v>
      </c>
      <c r="C26" s="45">
        <f>C22-C23</f>
        <v>-21191</v>
      </c>
      <c r="D26" s="45">
        <f>C26+(D22-D23)</f>
        <v>-22008</v>
      </c>
      <c r="E26" s="45">
        <f t="shared" ref="E26:N26" si="8">D26+(E22-E23)</f>
        <v>-8677</v>
      </c>
      <c r="F26" s="45">
        <f t="shared" si="8"/>
        <v>6870</v>
      </c>
      <c r="G26" s="45">
        <f t="shared" si="8"/>
        <v>1097</v>
      </c>
      <c r="H26" s="45">
        <f t="shared" si="8"/>
        <v>4881</v>
      </c>
      <c r="I26" s="45">
        <f t="shared" si="8"/>
        <v>4114</v>
      </c>
      <c r="J26" s="45">
        <f t="shared" si="8"/>
        <v>4689</v>
      </c>
      <c r="K26" s="45">
        <f t="shared" si="8"/>
        <v>10765</v>
      </c>
      <c r="L26" s="45">
        <f t="shared" si="8"/>
        <v>11472</v>
      </c>
      <c r="M26" s="45">
        <f t="shared" si="8"/>
        <v>19745</v>
      </c>
      <c r="N26" s="46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2020-04-23T01:40:07Z</dcterms:modified>
</cp:coreProperties>
</file>