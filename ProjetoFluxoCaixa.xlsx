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5" activeTab="11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Mês_Competência">#N/A</definedName>
    <definedName name="SegmentaçãodeDados_Mês_Competência1">#N/A</definedName>
    <definedName name="SegmentaçãodeDados_Mês_Previsto">#N/A</definedName>
  </definedNames>
  <calcPr calcId="145621"/>
  <pivotCaches>
    <pivotCache cacheId="24" r:id="rId17"/>
    <pivotCache cacheId="37" r:id="rId18"/>
  </pivotCaches>
  <extLst>
    <ext xmlns:x14="http://schemas.microsoft.com/office/spreadsheetml/2009/9/main" uri="{BBE1A952-AA13-448e-AADC-164F8A28A991}">
      <x14:slicerCaches>
        <x14:slicerCache r:id="rId19"/>
        <x14:slicerCache r:id="rId20"/>
        <x14:slicerCache r:id="rId21"/>
        <x14:slicerCache r:id="rId22"/>
        <x14:slicerCache r:id="rId23"/>
        <x14:slicerCache r:id="rId24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N4" i="9" l="1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N16" i="10" l="1"/>
  <c r="N22" i="10" s="1"/>
  <c r="M16" i="10"/>
  <c r="M22" i="10" s="1"/>
  <c r="L16" i="10"/>
  <c r="L22" i="10" s="1"/>
  <c r="K16" i="10"/>
  <c r="K22" i="10" s="1"/>
  <c r="J16" i="10"/>
  <c r="J22" i="10" s="1"/>
  <c r="I16" i="10"/>
  <c r="I22" i="10" s="1"/>
  <c r="H16" i="10"/>
  <c r="H22" i="10" s="1"/>
  <c r="G16" i="10"/>
  <c r="G22" i="10" s="1"/>
  <c r="F16" i="10"/>
  <c r="F22" i="10" s="1"/>
  <c r="E16" i="10"/>
  <c r="E22" i="10" s="1"/>
  <c r="D16" i="10"/>
  <c r="D22" i="10" s="1"/>
  <c r="C16" i="10"/>
  <c r="C22" i="10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C8" i="10" l="1"/>
  <c r="N17" i="10"/>
  <c r="N23" i="10" s="1"/>
  <c r="N24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5" i="10" l="1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<sst xmlns="http://schemas.openxmlformats.org/spreadsheetml/2006/main" count="1646" uniqueCount="549">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</sst>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07/relationships/slicerCache" Target="slicerCaches/slicerCache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5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4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506276273147" createdVersion="4" refreshedVersion="4" minRefreshableVersion="3" recordCount="231">
  <cacheSource type="worksheet">
    <worksheetSource name="TbRegistroEntradas"/>
  </cacheSource>
  <cacheFields count="11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/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512582175928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 count="4">
        <n v="2017"/>
        <n v="0"/>
        <n v="2018"/>
        <n v="2019"/>
      </sharedItems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n v="9"/>
    <n v="2017"/>
    <x v="0"/>
    <x v="0"/>
  </r>
  <r>
    <d v="2017-09-07T00:00:00"/>
    <d v="2017-08-13T00:00:00"/>
    <d v="2017-09-07T00:00:00"/>
    <x v="0"/>
    <x v="1"/>
    <s v="NF9147"/>
    <n v="164"/>
    <n v="9"/>
    <n v="2017"/>
    <x v="0"/>
    <x v="0"/>
  </r>
  <r>
    <d v="2017-09-29T00:00:00"/>
    <d v="2017-08-17T00:00:00"/>
    <d v="2017-09-23T00:00:00"/>
    <x v="0"/>
    <x v="1"/>
    <s v="NF8005"/>
    <n v="2937"/>
    <n v="9"/>
    <n v="2017"/>
    <x v="0"/>
    <x v="0"/>
  </r>
  <r>
    <d v="2017-10-12T00:00:00"/>
    <d v="2017-08-22T00:00:00"/>
    <d v="2017-10-12T00:00:00"/>
    <x v="0"/>
    <x v="2"/>
    <s v="NF5493"/>
    <n v="807"/>
    <n v="10"/>
    <n v="2017"/>
    <x v="0"/>
    <x v="0"/>
  </r>
  <r>
    <d v="2017-10-06T00:00:00"/>
    <d v="2017-08-25T00:00:00"/>
    <d v="2017-10-06T00:00:00"/>
    <x v="0"/>
    <x v="0"/>
    <s v="NF7946"/>
    <n v="2612"/>
    <n v="10"/>
    <n v="2017"/>
    <x v="0"/>
    <x v="0"/>
  </r>
  <r>
    <d v="2017-11-15T00:00:00"/>
    <d v="2017-08-27T00:00:00"/>
    <d v="2017-10-22T00:00:00"/>
    <x v="0"/>
    <x v="1"/>
    <s v="NF8598"/>
    <n v="2483"/>
    <n v="11"/>
    <n v="2017"/>
    <x v="0"/>
    <x v="0"/>
  </r>
  <r>
    <d v="2017-12-18T00:00:00"/>
    <d v="2017-09-01T00:00:00"/>
    <d v="2017-10-01T00:00:00"/>
    <x v="0"/>
    <x v="0"/>
    <s v="NF1535"/>
    <n v="4387"/>
    <n v="12"/>
    <n v="2017"/>
    <x v="1"/>
    <x v="0"/>
  </r>
  <r>
    <d v="2017-09-26T00:00:00"/>
    <d v="2017-09-02T00:00:00"/>
    <d v="2017-09-26T00:00:00"/>
    <x v="0"/>
    <x v="1"/>
    <s v="NF4333"/>
    <n v="4268"/>
    <n v="9"/>
    <n v="2017"/>
    <x v="1"/>
    <x v="0"/>
  </r>
  <r>
    <d v="2017-10-07T00:00:00"/>
    <d v="2017-09-06T00:00:00"/>
    <d v="2017-10-07T00:00:00"/>
    <x v="0"/>
    <x v="1"/>
    <s v="NF8091"/>
    <n v="3761"/>
    <n v="10"/>
    <n v="2017"/>
    <x v="1"/>
    <x v="0"/>
  </r>
  <r>
    <s v=""/>
    <d v="2017-09-10T00:00:00"/>
    <d v="2017-10-05T00:00:00"/>
    <x v="0"/>
    <x v="1"/>
    <s v="NF2421"/>
    <n v="4983"/>
    <n v="0"/>
    <n v="0"/>
    <x v="1"/>
    <x v="0"/>
  </r>
  <r>
    <d v="2017-09-19T00:00:00"/>
    <d v="2017-09-12T00:00:00"/>
    <d v="2017-09-19T00:00:00"/>
    <x v="0"/>
    <x v="3"/>
    <s v="NF9787"/>
    <n v="2502"/>
    <n v="9"/>
    <n v="2017"/>
    <x v="1"/>
    <x v="0"/>
  </r>
  <r>
    <d v="2017-09-24T00:00:00"/>
    <d v="2017-09-16T00:00:00"/>
    <d v="2017-09-24T00:00:00"/>
    <x v="0"/>
    <x v="1"/>
    <s v="NF8674"/>
    <n v="2337"/>
    <n v="9"/>
    <n v="2017"/>
    <x v="1"/>
    <x v="0"/>
  </r>
  <r>
    <d v="2017-09-23T00:00:00"/>
    <d v="2017-09-23T00:00:00"/>
    <d v="2017-09-23T00:00:00"/>
    <x v="0"/>
    <x v="4"/>
    <s v="NF5880"/>
    <n v="3125"/>
    <n v="9"/>
    <n v="2017"/>
    <x v="1"/>
    <x v="0"/>
  </r>
  <r>
    <d v="2017-11-17T00:00:00"/>
    <d v="2017-09-26T00:00:00"/>
    <d v="2017-11-17T00:00:00"/>
    <x v="0"/>
    <x v="1"/>
    <s v="NF2763"/>
    <n v="1201"/>
    <n v="11"/>
    <n v="2017"/>
    <x v="1"/>
    <x v="0"/>
  </r>
  <r>
    <d v="2017-10-10T00:00:00"/>
    <d v="2017-09-27T00:00:00"/>
    <d v="2017-10-10T00:00:00"/>
    <x v="0"/>
    <x v="0"/>
    <s v="NF3303"/>
    <n v="4380"/>
    <n v="10"/>
    <n v="2017"/>
    <x v="1"/>
    <x v="0"/>
  </r>
  <r>
    <d v="2017-10-11T00:00:00"/>
    <d v="2017-09-30T00:00:00"/>
    <d v="2017-10-11T00:00:00"/>
    <x v="0"/>
    <x v="4"/>
    <s v="NF3966"/>
    <n v="919"/>
    <n v="10"/>
    <n v="2017"/>
    <x v="1"/>
    <x v="0"/>
  </r>
  <r>
    <d v="2017-12-07T00:00:00"/>
    <d v="2017-10-04T00:00:00"/>
    <d v="2017-10-17T00:00:00"/>
    <x v="0"/>
    <x v="2"/>
    <s v="NF6107"/>
    <n v="4590"/>
    <n v="12"/>
    <n v="2017"/>
    <x v="2"/>
    <x v="0"/>
  </r>
  <r>
    <d v="2017-11-13T00:00:00"/>
    <d v="2017-10-07T00:00:00"/>
    <d v="2017-11-13T00:00:00"/>
    <x v="0"/>
    <x v="3"/>
    <s v="NF4832"/>
    <n v="1958"/>
    <n v="11"/>
    <n v="2017"/>
    <x v="2"/>
    <x v="0"/>
  </r>
  <r>
    <d v="2017-11-04T00:00:00"/>
    <d v="2017-10-09T00:00:00"/>
    <d v="2017-11-04T00:00:00"/>
    <x v="0"/>
    <x v="0"/>
    <s v="NF5012"/>
    <n v="1171"/>
    <n v="11"/>
    <n v="2017"/>
    <x v="2"/>
    <x v="0"/>
  </r>
  <r>
    <d v="2017-11-21T00:00:00"/>
    <d v="2017-10-11T00:00:00"/>
    <d v="2017-11-21T00:00:00"/>
    <x v="0"/>
    <x v="1"/>
    <s v="NF7669"/>
    <n v="2587"/>
    <n v="11"/>
    <n v="2017"/>
    <x v="2"/>
    <x v="0"/>
  </r>
  <r>
    <s v=""/>
    <d v="2017-10-15T00:00:00"/>
    <d v="2017-11-06T00:00:00"/>
    <x v="0"/>
    <x v="1"/>
    <s v="NF7663"/>
    <n v="3425"/>
    <n v="0"/>
    <n v="0"/>
    <x v="2"/>
    <x v="0"/>
  </r>
  <r>
    <d v="2018-01-13T00:00:00"/>
    <d v="2017-10-18T00:00:00"/>
    <d v="2017-10-18T00:00:00"/>
    <x v="0"/>
    <x v="2"/>
    <s v="NF4063"/>
    <n v="4454"/>
    <n v="1"/>
    <n v="2018"/>
    <x v="2"/>
    <x v="0"/>
  </r>
  <r>
    <d v="2017-10-22T00:00:00"/>
    <d v="2017-10-22T00:00:00"/>
    <d v="2017-10-22T00:00:00"/>
    <x v="0"/>
    <x v="0"/>
    <s v="NF4290"/>
    <n v="2134"/>
    <n v="10"/>
    <n v="2017"/>
    <x v="2"/>
    <x v="0"/>
  </r>
  <r>
    <d v="2017-10-24T00:00:00"/>
    <d v="2017-10-24T00:00:00"/>
    <d v="2017-10-24T00:00:00"/>
    <x v="0"/>
    <x v="3"/>
    <s v="NF7319"/>
    <n v="257"/>
    <n v="10"/>
    <n v="2017"/>
    <x v="2"/>
    <x v="0"/>
  </r>
  <r>
    <d v="2018-01-22T00:00:00"/>
    <d v="2017-10-24T00:00:00"/>
    <d v="2017-11-29T00:00:00"/>
    <x v="0"/>
    <x v="4"/>
    <s v="NF7020"/>
    <n v="2019"/>
    <n v="1"/>
    <n v="2018"/>
    <x v="2"/>
    <x v="0"/>
  </r>
  <r>
    <d v="2017-10-26T00:00:00"/>
    <d v="2017-10-26T00:00:00"/>
    <d v="2017-10-26T00:00:00"/>
    <x v="0"/>
    <x v="1"/>
    <s v="NF7221"/>
    <n v="3696"/>
    <n v="10"/>
    <n v="2017"/>
    <x v="2"/>
    <x v="0"/>
  </r>
  <r>
    <d v="2017-11-13T00:00:00"/>
    <d v="2017-10-30T00:00:00"/>
    <d v="2017-11-13T00:00:00"/>
    <x v="0"/>
    <x v="4"/>
    <s v="NF5004"/>
    <n v="4446"/>
    <n v="11"/>
    <n v="2017"/>
    <x v="2"/>
    <x v="0"/>
  </r>
  <r>
    <s v=""/>
    <d v="2017-11-01T00:00:00"/>
    <d v="2017-11-18T00:00:00"/>
    <x v="0"/>
    <x v="4"/>
    <s v="NF8690"/>
    <n v="1445"/>
    <n v="0"/>
    <n v="0"/>
    <x v="3"/>
    <x v="0"/>
  </r>
  <r>
    <d v="2018-01-17T00:00:00"/>
    <d v="2017-11-04T00:00:00"/>
    <d v="2017-11-29T00:00:00"/>
    <x v="0"/>
    <x v="0"/>
    <s v="NF3424"/>
    <n v="3559"/>
    <n v="1"/>
    <n v="2018"/>
    <x v="3"/>
    <x v="0"/>
  </r>
  <r>
    <d v="2017-11-08T00:00:00"/>
    <d v="2017-11-08T00:00:00"/>
    <d v="2017-11-08T00:00:00"/>
    <x v="0"/>
    <x v="1"/>
    <s v="NF5808"/>
    <n v="547"/>
    <n v="11"/>
    <n v="2017"/>
    <x v="3"/>
    <x v="0"/>
  </r>
  <r>
    <d v="2017-12-08T00:00:00"/>
    <d v="2017-11-12T00:00:00"/>
    <d v="2017-11-12T00:00:00"/>
    <x v="0"/>
    <x v="1"/>
    <s v="NF2852"/>
    <n v="1221"/>
    <n v="12"/>
    <n v="2017"/>
    <x v="3"/>
    <x v="0"/>
  </r>
  <r>
    <d v="2018-01-01T00:00:00"/>
    <d v="2017-11-14T00:00:00"/>
    <d v="2018-01-01T00:00:00"/>
    <x v="0"/>
    <x v="4"/>
    <s v="NF2347"/>
    <n v="4108"/>
    <n v="1"/>
    <n v="2018"/>
    <x v="3"/>
    <x v="0"/>
  </r>
  <r>
    <d v="2017-11-16T00:00:00"/>
    <d v="2017-11-16T00:00:00"/>
    <d v="2017-11-16T00:00:00"/>
    <x v="0"/>
    <x v="1"/>
    <s v="NF7848"/>
    <n v="3714"/>
    <n v="11"/>
    <n v="2017"/>
    <x v="3"/>
    <x v="0"/>
  </r>
  <r>
    <s v=""/>
    <d v="2017-11-18T00:00:00"/>
    <d v="2018-01-01T00:00:00"/>
    <x v="0"/>
    <x v="3"/>
    <s v="NF4449"/>
    <n v="4843"/>
    <n v="0"/>
    <n v="0"/>
    <x v="3"/>
    <x v="0"/>
  </r>
  <r>
    <d v="2017-12-21T00:00:00"/>
    <d v="2017-11-19T00:00:00"/>
    <d v="2017-12-21T00:00:00"/>
    <x v="0"/>
    <x v="2"/>
    <s v="NF7540"/>
    <n v="4831"/>
    <n v="12"/>
    <n v="2017"/>
    <x v="3"/>
    <x v="0"/>
  </r>
  <r>
    <d v="2017-11-20T00:00:00"/>
    <d v="2017-11-20T00:00:00"/>
    <d v="2017-11-20T00:00:00"/>
    <x v="0"/>
    <x v="1"/>
    <s v="NF7741"/>
    <n v="2072"/>
    <n v="11"/>
    <n v="2017"/>
    <x v="3"/>
    <x v="0"/>
  </r>
  <r>
    <d v="2018-01-22T00:00:00"/>
    <d v="2017-11-24T00:00:00"/>
    <d v="2018-01-22T00:00:00"/>
    <x v="0"/>
    <x v="0"/>
    <s v="NF6190"/>
    <n v="3992"/>
    <n v="1"/>
    <n v="2018"/>
    <x v="3"/>
    <x v="0"/>
  </r>
  <r>
    <d v="2018-01-14T00:00:00"/>
    <d v="2017-11-29T00:00:00"/>
    <d v="2017-11-29T00:00:00"/>
    <x v="0"/>
    <x v="3"/>
    <s v="NF4129"/>
    <n v="1284"/>
    <n v="1"/>
    <n v="2018"/>
    <x v="3"/>
    <x v="0"/>
  </r>
  <r>
    <d v="2017-12-04T00:00:00"/>
    <d v="2017-12-04T00:00:00"/>
    <d v="2017-12-04T00:00:00"/>
    <x v="0"/>
    <x v="0"/>
    <s v="NF6811"/>
    <n v="4073"/>
    <n v="12"/>
    <n v="2017"/>
    <x v="4"/>
    <x v="0"/>
  </r>
  <r>
    <d v="2017-12-04T00:00:00"/>
    <d v="2017-12-04T00:00:00"/>
    <d v="2017-12-04T00:00:00"/>
    <x v="0"/>
    <x v="3"/>
    <s v="NF1550"/>
    <n v="3008"/>
    <n v="12"/>
    <n v="2017"/>
    <x v="4"/>
    <x v="0"/>
  </r>
  <r>
    <d v="2018-01-03T00:00:00"/>
    <d v="2017-12-11T00:00:00"/>
    <d v="2017-12-11T00:00:00"/>
    <x v="0"/>
    <x v="3"/>
    <s v="NF7213"/>
    <n v="1267"/>
    <n v="1"/>
    <n v="2018"/>
    <x v="4"/>
    <x v="0"/>
  </r>
  <r>
    <d v="2018-01-03T00:00:00"/>
    <d v="2017-12-13T00:00:00"/>
    <d v="2018-01-03T00:00:00"/>
    <x v="0"/>
    <x v="3"/>
    <s v="NF8396"/>
    <n v="284"/>
    <n v="1"/>
    <n v="2018"/>
    <x v="4"/>
    <x v="0"/>
  </r>
  <r>
    <d v="2017-12-17T00:00:00"/>
    <d v="2017-12-14T00:00:00"/>
    <d v="2017-12-17T00:00:00"/>
    <x v="0"/>
    <x v="1"/>
    <s v="NF2432"/>
    <n v="2046"/>
    <n v="12"/>
    <n v="2017"/>
    <x v="4"/>
    <x v="0"/>
  </r>
  <r>
    <d v="2018-01-22T00:00:00"/>
    <d v="2017-12-16T00:00:00"/>
    <d v="2018-01-22T00:00:00"/>
    <x v="0"/>
    <x v="0"/>
    <s v="NF4722"/>
    <n v="3880"/>
    <n v="1"/>
    <n v="2018"/>
    <x v="4"/>
    <x v="0"/>
  </r>
  <r>
    <d v="2018-01-23T00:00:00"/>
    <d v="2017-12-17T00:00:00"/>
    <d v="2018-01-23T00:00:00"/>
    <x v="0"/>
    <x v="0"/>
    <s v="NF8944"/>
    <n v="3149"/>
    <n v="1"/>
    <n v="2018"/>
    <x v="4"/>
    <x v="0"/>
  </r>
  <r>
    <d v="2018-01-25T00:00:00"/>
    <d v="2017-12-19T00:00:00"/>
    <d v="2018-01-25T00:00:00"/>
    <x v="0"/>
    <x v="1"/>
    <s v="NF2816"/>
    <n v="668"/>
    <n v="1"/>
    <n v="2018"/>
    <x v="4"/>
    <x v="0"/>
  </r>
  <r>
    <d v="2017-12-20T00:00:00"/>
    <d v="2017-12-20T00:00:00"/>
    <d v="2017-12-20T00:00:00"/>
    <x v="0"/>
    <x v="2"/>
    <s v="NF6358"/>
    <n v="3721"/>
    <n v="12"/>
    <n v="2017"/>
    <x v="4"/>
    <x v="0"/>
  </r>
  <r>
    <d v="2018-02-02T00:00:00"/>
    <d v="2017-12-22T00:00:00"/>
    <d v="2018-02-02T00:00:00"/>
    <x v="0"/>
    <x v="0"/>
    <s v="NF8459"/>
    <n v="3114"/>
    <n v="2"/>
    <n v="2018"/>
    <x v="4"/>
    <x v="0"/>
  </r>
  <r>
    <d v="2018-03-23T00:00:00"/>
    <d v="2017-12-26T00:00:00"/>
    <d v="2017-12-26T00:00:00"/>
    <x v="0"/>
    <x v="1"/>
    <s v="NF5737"/>
    <n v="1436"/>
    <n v="3"/>
    <n v="2018"/>
    <x v="4"/>
    <x v="0"/>
  </r>
  <r>
    <d v="2018-01-01T00:00:00"/>
    <d v="2017-12-30T00:00:00"/>
    <d v="2018-01-01T00:00:00"/>
    <x v="0"/>
    <x v="1"/>
    <s v="NF8895"/>
    <n v="3192"/>
    <n v="1"/>
    <n v="2018"/>
    <x v="4"/>
    <x v="0"/>
  </r>
  <r>
    <d v="2018-02-13T00:00:00"/>
    <d v="2017-12-31T00:00:00"/>
    <d v="2018-02-13T00:00:00"/>
    <x v="0"/>
    <x v="2"/>
    <s v="NF2196"/>
    <n v="2687"/>
    <n v="2"/>
    <n v="2018"/>
    <x v="4"/>
    <x v="0"/>
  </r>
  <r>
    <s v=""/>
    <d v="2018-01-03T00:00:00"/>
    <d v="2018-02-28T00:00:00"/>
    <x v="0"/>
    <x v="1"/>
    <s v="NF1631"/>
    <n v="1561"/>
    <n v="0"/>
    <n v="0"/>
    <x v="5"/>
    <x v="1"/>
  </r>
  <r>
    <d v="2018-02-24T00:00:00"/>
    <d v="2018-01-09T00:00:00"/>
    <d v="2018-01-13T00:00:00"/>
    <x v="0"/>
    <x v="1"/>
    <s v="NF9340"/>
    <n v="1573"/>
    <n v="2"/>
    <n v="2018"/>
    <x v="5"/>
    <x v="1"/>
  </r>
  <r>
    <d v="2018-01-17T00:00:00"/>
    <d v="2018-01-17T00:00:00"/>
    <d v="2018-01-17T00:00:00"/>
    <x v="0"/>
    <x v="1"/>
    <s v="NF6851"/>
    <n v="1364"/>
    <n v="1"/>
    <n v="2018"/>
    <x v="5"/>
    <x v="1"/>
  </r>
  <r>
    <d v="2018-03-07T00:00:00"/>
    <d v="2018-01-21T00:00:00"/>
    <d v="2018-03-07T00:00:00"/>
    <x v="0"/>
    <x v="2"/>
    <s v="NF3336"/>
    <n v="783"/>
    <n v="3"/>
    <n v="2018"/>
    <x v="5"/>
    <x v="1"/>
  </r>
  <r>
    <d v="2018-02-14T00:00:00"/>
    <d v="2018-01-22T00:00:00"/>
    <d v="2018-02-14T00:00:00"/>
    <x v="0"/>
    <x v="2"/>
    <s v="NF7526"/>
    <n v="3928"/>
    <n v="2"/>
    <n v="2018"/>
    <x v="5"/>
    <x v="1"/>
  </r>
  <r>
    <d v="2018-02-11T00:00:00"/>
    <d v="2018-01-24T00:00:00"/>
    <d v="2018-02-11T00:00:00"/>
    <x v="0"/>
    <x v="0"/>
    <s v="NF3023"/>
    <n v="3843"/>
    <n v="2"/>
    <n v="2018"/>
    <x v="5"/>
    <x v="1"/>
  </r>
  <r>
    <d v="2018-04-16T00:00:00"/>
    <d v="2018-01-25T00:00:00"/>
    <d v="2018-01-29T00:00:00"/>
    <x v="0"/>
    <x v="3"/>
    <s v="NF7934"/>
    <n v="1864"/>
    <n v="4"/>
    <n v="2018"/>
    <x v="5"/>
    <x v="1"/>
  </r>
  <r>
    <d v="2018-02-06T00:00:00"/>
    <d v="2018-01-28T00:00:00"/>
    <d v="2018-01-28T00:00:00"/>
    <x v="0"/>
    <x v="1"/>
    <s v="NF7720"/>
    <n v="1184"/>
    <n v="2"/>
    <n v="2018"/>
    <x v="5"/>
    <x v="1"/>
  </r>
  <r>
    <d v="2018-03-02T00:00:00"/>
    <d v="2018-01-29T00:00:00"/>
    <d v="2018-03-02T00:00:00"/>
    <x v="0"/>
    <x v="1"/>
    <s v="NF2719"/>
    <n v="4055"/>
    <n v="3"/>
    <n v="2018"/>
    <x v="5"/>
    <x v="1"/>
  </r>
  <r>
    <d v="2018-03-19T00:00:00"/>
    <d v="2018-01-30T00:00:00"/>
    <d v="2018-03-19T00:00:00"/>
    <x v="0"/>
    <x v="1"/>
    <s v="NF3036"/>
    <n v="427"/>
    <n v="3"/>
    <n v="2018"/>
    <x v="5"/>
    <x v="1"/>
  </r>
  <r>
    <d v="2018-02-07T00:00:00"/>
    <d v="2018-02-02T00:00:00"/>
    <d v="2018-02-07T00:00:00"/>
    <x v="0"/>
    <x v="4"/>
    <s v="NF4604"/>
    <n v="460"/>
    <n v="2"/>
    <n v="2018"/>
    <x v="6"/>
    <x v="1"/>
  </r>
  <r>
    <s v=""/>
    <d v="2018-02-05T00:00:00"/>
    <d v="2018-03-31T00:00:00"/>
    <x v="0"/>
    <x v="2"/>
    <s v="NF2493"/>
    <n v="964"/>
    <n v="0"/>
    <n v="0"/>
    <x v="6"/>
    <x v="1"/>
  </r>
  <r>
    <d v="2018-02-14T00:00:00"/>
    <d v="2018-02-09T00:00:00"/>
    <d v="2018-02-14T00:00:00"/>
    <x v="0"/>
    <x v="1"/>
    <s v="NF5788"/>
    <n v="3412"/>
    <n v="2"/>
    <n v="2018"/>
    <x v="6"/>
    <x v="1"/>
  </r>
  <r>
    <d v="2018-02-15T00:00:00"/>
    <d v="2018-02-11T00:00:00"/>
    <d v="2018-02-15T00:00:00"/>
    <x v="0"/>
    <x v="0"/>
    <s v="NF9580"/>
    <n v="3095"/>
    <n v="2"/>
    <n v="2018"/>
    <x v="6"/>
    <x v="1"/>
  </r>
  <r>
    <d v="2018-04-03T00:00:00"/>
    <d v="2018-02-17T00:00:00"/>
    <d v="2018-04-03T00:00:00"/>
    <x v="0"/>
    <x v="4"/>
    <s v="NF4061"/>
    <n v="1532"/>
    <n v="4"/>
    <n v="2018"/>
    <x v="6"/>
    <x v="1"/>
  </r>
  <r>
    <d v="2018-04-03T00:00:00"/>
    <d v="2018-02-20T00:00:00"/>
    <d v="2018-04-03T00:00:00"/>
    <x v="0"/>
    <x v="4"/>
    <s v="NF6503"/>
    <n v="3726"/>
    <n v="4"/>
    <n v="2018"/>
    <x v="6"/>
    <x v="1"/>
  </r>
  <r>
    <d v="2018-02-23T00:00:00"/>
    <d v="2018-02-23T00:00:00"/>
    <d v="2018-02-23T00:00:00"/>
    <x v="0"/>
    <x v="1"/>
    <s v="NF6701"/>
    <n v="4322"/>
    <n v="2"/>
    <n v="2018"/>
    <x v="6"/>
    <x v="1"/>
  </r>
  <r>
    <s v=""/>
    <d v="2018-02-25T00:00:00"/>
    <d v="2018-04-15T00:00:00"/>
    <x v="0"/>
    <x v="0"/>
    <s v="NF8891"/>
    <n v="3998"/>
    <n v="0"/>
    <n v="0"/>
    <x v="6"/>
    <x v="1"/>
  </r>
  <r>
    <d v="2018-05-26T00:00:00"/>
    <d v="2018-02-27T00:00:00"/>
    <d v="2018-03-29T00:00:00"/>
    <x v="0"/>
    <x v="0"/>
    <s v="NF2640"/>
    <n v="3252"/>
    <n v="5"/>
    <n v="2018"/>
    <x v="6"/>
    <x v="1"/>
  </r>
  <r>
    <d v="2018-03-10T00:00:00"/>
    <d v="2018-03-01T00:00:00"/>
    <d v="2018-03-10T00:00:00"/>
    <x v="0"/>
    <x v="4"/>
    <s v="NF8852"/>
    <n v="3701"/>
    <n v="3"/>
    <n v="2018"/>
    <x v="7"/>
    <x v="1"/>
  </r>
  <r>
    <s v=""/>
    <d v="2018-03-03T00:00:00"/>
    <d v="2018-04-12T00:00:00"/>
    <x v="0"/>
    <x v="2"/>
    <s v="NF7869"/>
    <n v="1977"/>
    <n v="0"/>
    <n v="0"/>
    <x v="7"/>
    <x v="1"/>
  </r>
  <r>
    <d v="2018-07-06T00:00:00"/>
    <d v="2018-03-04T00:00:00"/>
    <d v="2018-04-21T00:00:00"/>
    <x v="0"/>
    <x v="4"/>
    <s v="NF4994"/>
    <n v="1217"/>
    <n v="7"/>
    <n v="2018"/>
    <x v="7"/>
    <x v="1"/>
  </r>
  <r>
    <d v="2018-04-13T00:00:00"/>
    <d v="2018-03-07T00:00:00"/>
    <d v="2018-04-13T00:00:00"/>
    <x v="0"/>
    <x v="3"/>
    <s v="NF5720"/>
    <n v="1660"/>
    <n v="4"/>
    <n v="2018"/>
    <x v="7"/>
    <x v="1"/>
  </r>
  <r>
    <d v="2018-03-10T00:00:00"/>
    <d v="2018-03-10T00:00:00"/>
    <d v="2018-03-10T00:00:00"/>
    <x v="0"/>
    <x v="3"/>
    <s v="NF6393"/>
    <n v="837"/>
    <n v="3"/>
    <n v="2018"/>
    <x v="7"/>
    <x v="1"/>
  </r>
  <r>
    <d v="2018-06-23T00:00:00"/>
    <d v="2018-03-12T00:00:00"/>
    <d v="2018-04-10T00:00:00"/>
    <x v="0"/>
    <x v="1"/>
    <s v="NF9057"/>
    <n v="1838"/>
    <n v="6"/>
    <n v="2018"/>
    <x v="7"/>
    <x v="1"/>
  </r>
  <r>
    <d v="2018-03-17T00:00:00"/>
    <d v="2018-03-17T00:00:00"/>
    <d v="2018-03-17T00:00:00"/>
    <x v="0"/>
    <x v="2"/>
    <s v="NF7365"/>
    <n v="4471"/>
    <n v="3"/>
    <n v="2018"/>
    <x v="7"/>
    <x v="1"/>
  </r>
  <r>
    <d v="2018-03-18T00:00:00"/>
    <d v="2018-03-18T00:00:00"/>
    <d v="2018-03-18T00:00:00"/>
    <x v="0"/>
    <x v="1"/>
    <s v="NF4559"/>
    <n v="3540"/>
    <n v="3"/>
    <n v="2018"/>
    <x v="7"/>
    <x v="1"/>
  </r>
  <r>
    <d v="2018-05-05T00:00:00"/>
    <d v="2018-03-21T00:00:00"/>
    <d v="2018-03-21T00:00:00"/>
    <x v="0"/>
    <x v="1"/>
    <s v="NF7119"/>
    <n v="4606"/>
    <n v="5"/>
    <n v="2018"/>
    <x v="7"/>
    <x v="1"/>
  </r>
  <r>
    <d v="2018-04-09T00:00:00"/>
    <d v="2018-03-23T00:00:00"/>
    <d v="2018-04-09T00:00:00"/>
    <x v="0"/>
    <x v="0"/>
    <s v="NF2814"/>
    <n v="2388"/>
    <n v="4"/>
    <n v="2018"/>
    <x v="7"/>
    <x v="1"/>
  </r>
  <r>
    <d v="2018-03-28T00:00:00"/>
    <d v="2018-03-25T00:00:00"/>
    <d v="2018-03-28T00:00:00"/>
    <x v="0"/>
    <x v="3"/>
    <s v="NF5963"/>
    <n v="2303"/>
    <n v="3"/>
    <n v="2018"/>
    <x v="7"/>
    <x v="1"/>
  </r>
  <r>
    <d v="2018-06-06T00:00:00"/>
    <d v="2018-03-28T00:00:00"/>
    <d v="2018-04-15T00:00:00"/>
    <x v="0"/>
    <x v="2"/>
    <s v="NF3293"/>
    <n v="1662"/>
    <n v="6"/>
    <n v="2018"/>
    <x v="7"/>
    <x v="1"/>
  </r>
  <r>
    <d v="2018-04-24T00:00:00"/>
    <d v="2018-03-30T00:00:00"/>
    <d v="2018-03-30T00:00:00"/>
    <x v="0"/>
    <x v="0"/>
    <s v="NF8254"/>
    <n v="3241"/>
    <n v="4"/>
    <n v="2018"/>
    <x v="7"/>
    <x v="1"/>
  </r>
  <r>
    <d v="2018-07-25T00:00:00"/>
    <d v="2018-03-31T00:00:00"/>
    <d v="2018-05-08T00:00:00"/>
    <x v="0"/>
    <x v="2"/>
    <s v="NF4303"/>
    <n v="4017"/>
    <n v="7"/>
    <n v="2018"/>
    <x v="7"/>
    <x v="1"/>
  </r>
  <r>
    <d v="2018-04-03T00:00:00"/>
    <d v="2018-04-03T00:00:00"/>
    <d v="2018-04-03T00:00:00"/>
    <x v="0"/>
    <x v="1"/>
    <s v="NF2605"/>
    <n v="3586"/>
    <n v="4"/>
    <n v="2018"/>
    <x v="8"/>
    <x v="1"/>
  </r>
  <r>
    <d v="2018-04-06T00:00:00"/>
    <d v="2018-04-06T00:00:00"/>
    <d v="2018-04-06T00:00:00"/>
    <x v="0"/>
    <x v="0"/>
    <s v="NF8043"/>
    <n v="4467"/>
    <n v="4"/>
    <n v="2018"/>
    <x v="8"/>
    <x v="1"/>
  </r>
  <r>
    <d v="2018-05-31T00:00:00"/>
    <d v="2018-04-09T00:00:00"/>
    <d v="2018-05-31T00:00:00"/>
    <x v="0"/>
    <x v="1"/>
    <s v="NF6697"/>
    <n v="4262"/>
    <n v="5"/>
    <n v="2018"/>
    <x v="8"/>
    <x v="1"/>
  </r>
  <r>
    <s v=""/>
    <d v="2018-04-11T00:00:00"/>
    <d v="2018-06-09T00:00:00"/>
    <x v="0"/>
    <x v="1"/>
    <s v="NF5208"/>
    <n v="2593"/>
    <n v="0"/>
    <n v="0"/>
    <x v="8"/>
    <x v="1"/>
  </r>
  <r>
    <d v="2018-05-04T00:00:00"/>
    <d v="2018-04-14T00:00:00"/>
    <d v="2018-05-04T00:00:00"/>
    <x v="0"/>
    <x v="1"/>
    <s v="NF2907"/>
    <n v="1885"/>
    <n v="5"/>
    <n v="2018"/>
    <x v="8"/>
    <x v="1"/>
  </r>
  <r>
    <d v="2018-07-14T00:00:00"/>
    <d v="2018-04-19T00:00:00"/>
    <d v="2018-04-19T00:00:00"/>
    <x v="0"/>
    <x v="1"/>
    <s v="NF9381"/>
    <n v="2224"/>
    <n v="7"/>
    <n v="2018"/>
    <x v="8"/>
    <x v="1"/>
  </r>
  <r>
    <d v="2018-05-14T00:00:00"/>
    <d v="2018-04-23T00:00:00"/>
    <d v="2018-05-14T00:00:00"/>
    <x v="0"/>
    <x v="1"/>
    <s v="NF3247"/>
    <n v="3223"/>
    <n v="5"/>
    <n v="2018"/>
    <x v="8"/>
    <x v="1"/>
  </r>
  <r>
    <d v="2018-04-26T00:00:00"/>
    <d v="2018-04-26T00:00:00"/>
    <d v="2018-04-26T00:00:00"/>
    <x v="0"/>
    <x v="4"/>
    <s v="NF4377"/>
    <n v="3446"/>
    <n v="4"/>
    <n v="2018"/>
    <x v="8"/>
    <x v="1"/>
  </r>
  <r>
    <d v="2018-05-06T00:00:00"/>
    <d v="2018-04-30T00:00:00"/>
    <d v="2018-04-30T00:00:00"/>
    <x v="0"/>
    <x v="1"/>
    <s v="NF2988"/>
    <n v="4540"/>
    <n v="5"/>
    <n v="2018"/>
    <x v="8"/>
    <x v="1"/>
  </r>
  <r>
    <d v="2018-07-02T00:00:00"/>
    <d v="2018-05-08T00:00:00"/>
    <d v="2018-07-02T00:00:00"/>
    <x v="0"/>
    <x v="2"/>
    <s v="NF4912"/>
    <n v="3862"/>
    <n v="7"/>
    <n v="2018"/>
    <x v="9"/>
    <x v="1"/>
  </r>
  <r>
    <d v="2018-07-30T00:00:00"/>
    <d v="2018-05-11T00:00:00"/>
    <d v="2018-06-28T00:00:00"/>
    <x v="0"/>
    <x v="4"/>
    <s v="NF7104"/>
    <n v="611"/>
    <n v="7"/>
    <n v="2018"/>
    <x v="9"/>
    <x v="1"/>
  </r>
  <r>
    <d v="2018-05-13T00:00:00"/>
    <d v="2018-05-13T00:00:00"/>
    <d v="2018-05-13T00:00:00"/>
    <x v="0"/>
    <x v="3"/>
    <s v="NF6700"/>
    <n v="1486"/>
    <n v="5"/>
    <n v="2018"/>
    <x v="9"/>
    <x v="1"/>
  </r>
  <r>
    <d v="2018-06-01T00:00:00"/>
    <d v="2018-05-21T00:00:00"/>
    <d v="2018-06-01T00:00:00"/>
    <x v="0"/>
    <x v="1"/>
    <s v="NF7947"/>
    <n v="4850"/>
    <n v="6"/>
    <n v="2018"/>
    <x v="9"/>
    <x v="1"/>
  </r>
  <r>
    <d v="2018-06-24T00:00:00"/>
    <d v="2018-05-24T00:00:00"/>
    <d v="2018-06-24T00:00:00"/>
    <x v="0"/>
    <x v="3"/>
    <s v="NF7741"/>
    <n v="3878"/>
    <n v="6"/>
    <n v="2018"/>
    <x v="9"/>
    <x v="1"/>
  </r>
  <r>
    <d v="2018-06-24T00:00:00"/>
    <d v="2018-05-29T00:00:00"/>
    <d v="2018-06-24T00:00:00"/>
    <x v="0"/>
    <x v="3"/>
    <s v="NF3255"/>
    <n v="976"/>
    <n v="6"/>
    <n v="2018"/>
    <x v="9"/>
    <x v="1"/>
  </r>
  <r>
    <d v="2018-06-14T00:00:00"/>
    <d v="2018-05-30T00:00:00"/>
    <d v="2018-06-14T00:00:00"/>
    <x v="0"/>
    <x v="2"/>
    <s v="NF7106"/>
    <n v="3346"/>
    <n v="6"/>
    <n v="2018"/>
    <x v="9"/>
    <x v="1"/>
  </r>
  <r>
    <d v="2018-08-28T00:00:00"/>
    <d v="2018-06-03T00:00:00"/>
    <d v="2018-08-01T00:00:00"/>
    <x v="0"/>
    <x v="4"/>
    <s v="NF1835"/>
    <n v="443"/>
    <n v="8"/>
    <n v="2018"/>
    <x v="10"/>
    <x v="1"/>
  </r>
  <r>
    <d v="2018-06-04T00:00:00"/>
    <d v="2018-06-04T00:00:00"/>
    <d v="2018-06-04T00:00:00"/>
    <x v="0"/>
    <x v="4"/>
    <s v="NF7322"/>
    <n v="2781"/>
    <n v="6"/>
    <n v="2018"/>
    <x v="10"/>
    <x v="1"/>
  </r>
  <r>
    <d v="2018-06-16T00:00:00"/>
    <d v="2018-06-05T00:00:00"/>
    <d v="2018-06-16T00:00:00"/>
    <x v="0"/>
    <x v="3"/>
    <s v="NF3899"/>
    <n v="1875"/>
    <n v="6"/>
    <n v="2018"/>
    <x v="10"/>
    <x v="1"/>
  </r>
  <r>
    <d v="2018-06-08T00:00:00"/>
    <d v="2018-06-08T00:00:00"/>
    <d v="2018-06-08T00:00:00"/>
    <x v="0"/>
    <x v="1"/>
    <s v="NF5496"/>
    <n v="3134"/>
    <n v="6"/>
    <n v="2018"/>
    <x v="10"/>
    <x v="1"/>
  </r>
  <r>
    <d v="2018-06-25T00:00:00"/>
    <d v="2018-06-10T00:00:00"/>
    <d v="2018-06-25T00:00:00"/>
    <x v="0"/>
    <x v="0"/>
    <s v="NF4824"/>
    <n v="2114"/>
    <n v="6"/>
    <n v="2018"/>
    <x v="10"/>
    <x v="1"/>
  </r>
  <r>
    <d v="2018-08-08T00:00:00"/>
    <d v="2018-06-13T00:00:00"/>
    <d v="2018-08-08T00:00:00"/>
    <x v="0"/>
    <x v="3"/>
    <s v="NF2022"/>
    <n v="4961"/>
    <n v="8"/>
    <n v="2018"/>
    <x v="10"/>
    <x v="1"/>
  </r>
  <r>
    <d v="2018-07-22T00:00:00"/>
    <d v="2018-06-14T00:00:00"/>
    <d v="2018-07-22T00:00:00"/>
    <x v="0"/>
    <x v="1"/>
    <s v="NF8075"/>
    <n v="909"/>
    <n v="7"/>
    <n v="2018"/>
    <x v="10"/>
    <x v="1"/>
  </r>
  <r>
    <d v="2018-07-12T00:00:00"/>
    <d v="2018-06-15T00:00:00"/>
    <d v="2018-07-12T00:00:00"/>
    <x v="0"/>
    <x v="1"/>
    <s v="NF1137"/>
    <n v="2197"/>
    <n v="7"/>
    <n v="2018"/>
    <x v="10"/>
    <x v="1"/>
  </r>
  <r>
    <d v="2018-06-17T00:00:00"/>
    <d v="2018-06-17T00:00:00"/>
    <d v="2018-06-17T00:00:00"/>
    <x v="0"/>
    <x v="2"/>
    <s v="NF3353"/>
    <n v="3045"/>
    <n v="6"/>
    <n v="2018"/>
    <x v="10"/>
    <x v="1"/>
  </r>
  <r>
    <d v="2018-08-14T00:00:00"/>
    <d v="2018-06-21T00:00:00"/>
    <d v="2018-07-28T00:00:00"/>
    <x v="0"/>
    <x v="2"/>
    <s v="NF5074"/>
    <n v="460"/>
    <n v="8"/>
    <n v="2018"/>
    <x v="10"/>
    <x v="1"/>
  </r>
  <r>
    <d v="2018-08-01T00:00:00"/>
    <d v="2018-06-24T00:00:00"/>
    <d v="2018-08-01T00:00:00"/>
    <x v="0"/>
    <x v="2"/>
    <s v="NF1725"/>
    <n v="770"/>
    <n v="8"/>
    <n v="2018"/>
    <x v="10"/>
    <x v="1"/>
  </r>
  <r>
    <d v="2018-08-05T00:00:00"/>
    <d v="2018-06-25T00:00:00"/>
    <d v="2018-08-05T00:00:00"/>
    <x v="0"/>
    <x v="1"/>
    <s v="NF5560"/>
    <n v="3646"/>
    <n v="8"/>
    <n v="2018"/>
    <x v="10"/>
    <x v="1"/>
  </r>
  <r>
    <d v="2018-08-16T00:00:00"/>
    <d v="2018-06-29T00:00:00"/>
    <d v="2018-08-16T00:00:00"/>
    <x v="0"/>
    <x v="1"/>
    <s v="NF2674"/>
    <n v="2376"/>
    <n v="8"/>
    <n v="2018"/>
    <x v="10"/>
    <x v="1"/>
  </r>
  <r>
    <d v="2018-10-25T00:00:00"/>
    <d v="2018-07-03T00:00:00"/>
    <d v="2018-07-29T00:00:00"/>
    <x v="0"/>
    <x v="1"/>
    <s v="NF2175"/>
    <n v="3940"/>
    <n v="10"/>
    <n v="2018"/>
    <x v="11"/>
    <x v="1"/>
  </r>
  <r>
    <d v="2018-08-31T00:00:00"/>
    <d v="2018-07-04T00:00:00"/>
    <d v="2018-08-31T00:00:00"/>
    <x v="0"/>
    <x v="1"/>
    <s v="NF3338"/>
    <n v="1732"/>
    <n v="8"/>
    <n v="2018"/>
    <x v="11"/>
    <x v="1"/>
  </r>
  <r>
    <d v="2018-08-04T00:00:00"/>
    <d v="2018-07-05T00:00:00"/>
    <d v="2018-08-04T00:00:00"/>
    <x v="0"/>
    <x v="4"/>
    <s v="NF7689"/>
    <n v="1306"/>
    <n v="8"/>
    <n v="2018"/>
    <x v="11"/>
    <x v="1"/>
  </r>
  <r>
    <d v="2018-08-24T00:00:00"/>
    <d v="2018-07-07T00:00:00"/>
    <d v="2018-08-24T00:00:00"/>
    <x v="0"/>
    <x v="0"/>
    <s v="NF5938"/>
    <n v="3954"/>
    <n v="8"/>
    <n v="2018"/>
    <x v="11"/>
    <x v="1"/>
  </r>
  <r>
    <d v="2018-08-11T00:00:00"/>
    <d v="2018-07-11T00:00:00"/>
    <d v="2018-08-11T00:00:00"/>
    <x v="0"/>
    <x v="2"/>
    <s v="NF9391"/>
    <n v="4090"/>
    <n v="8"/>
    <n v="2018"/>
    <x v="11"/>
    <x v="1"/>
  </r>
  <r>
    <d v="2018-07-30T00:00:00"/>
    <d v="2018-07-12T00:00:00"/>
    <d v="2018-07-30T00:00:00"/>
    <x v="0"/>
    <x v="3"/>
    <s v="NF6298"/>
    <n v="2713"/>
    <n v="7"/>
    <n v="2018"/>
    <x v="11"/>
    <x v="1"/>
  </r>
  <r>
    <d v="2018-07-21T00:00:00"/>
    <d v="2018-07-16T00:00:00"/>
    <d v="2018-07-21T00:00:00"/>
    <x v="0"/>
    <x v="1"/>
    <s v="NF7941"/>
    <n v="3482"/>
    <n v="7"/>
    <n v="2018"/>
    <x v="11"/>
    <x v="1"/>
  </r>
  <r>
    <s v=""/>
    <d v="2018-07-18T00:00:00"/>
    <d v="2018-09-03T00:00:00"/>
    <x v="0"/>
    <x v="1"/>
    <s v="NF3604"/>
    <n v="2071"/>
    <n v="0"/>
    <n v="0"/>
    <x v="11"/>
    <x v="1"/>
  </r>
  <r>
    <s v=""/>
    <d v="2018-07-23T00:00:00"/>
    <d v="2018-07-23T00:00:00"/>
    <x v="0"/>
    <x v="2"/>
    <s v="NF4605"/>
    <n v="4258"/>
    <n v="0"/>
    <n v="0"/>
    <x v="11"/>
    <x v="1"/>
  </r>
  <r>
    <d v="2018-09-07T00:00:00"/>
    <d v="2018-07-25T00:00:00"/>
    <d v="2018-09-07T00:00:00"/>
    <x v="0"/>
    <x v="0"/>
    <s v="NF1759"/>
    <n v="4383"/>
    <n v="9"/>
    <n v="2018"/>
    <x v="11"/>
    <x v="1"/>
  </r>
  <r>
    <s v=""/>
    <d v="2018-07-29T00:00:00"/>
    <d v="2018-07-29T00:00:00"/>
    <x v="0"/>
    <x v="1"/>
    <s v="NF2800"/>
    <n v="1369"/>
    <n v="0"/>
    <n v="0"/>
    <x v="11"/>
    <x v="1"/>
  </r>
  <r>
    <d v="2018-11-05T00:00:00"/>
    <d v="2018-08-03T00:00:00"/>
    <d v="2018-09-14T00:00:00"/>
    <x v="0"/>
    <x v="1"/>
    <s v="NF7248"/>
    <n v="331"/>
    <n v="11"/>
    <n v="2018"/>
    <x v="0"/>
    <x v="1"/>
  </r>
  <r>
    <d v="2018-09-25T00:00:00"/>
    <d v="2018-08-06T00:00:00"/>
    <d v="2018-08-06T00:00:00"/>
    <x v="0"/>
    <x v="1"/>
    <s v="NF5280"/>
    <n v="3031"/>
    <n v="9"/>
    <n v="2018"/>
    <x v="0"/>
    <x v="1"/>
  </r>
  <r>
    <d v="2018-08-29T00:00:00"/>
    <d v="2018-08-09T00:00:00"/>
    <d v="2018-08-29T00:00:00"/>
    <x v="0"/>
    <x v="0"/>
    <s v="NF2968"/>
    <n v="1200"/>
    <n v="8"/>
    <n v="2018"/>
    <x v="0"/>
    <x v="1"/>
  </r>
  <r>
    <d v="2018-08-11T00:00:00"/>
    <d v="2018-08-11T00:00:00"/>
    <d v="2018-08-11T00:00:00"/>
    <x v="0"/>
    <x v="0"/>
    <s v="NF4862"/>
    <n v="405"/>
    <n v="8"/>
    <n v="2018"/>
    <x v="0"/>
    <x v="1"/>
  </r>
  <r>
    <d v="2018-09-17T00:00:00"/>
    <d v="2018-08-14T00:00:00"/>
    <d v="2018-09-17T00:00:00"/>
    <x v="0"/>
    <x v="3"/>
    <s v="NF2988"/>
    <n v="3080"/>
    <n v="9"/>
    <n v="2018"/>
    <x v="0"/>
    <x v="1"/>
  </r>
  <r>
    <d v="2018-08-17T00:00:00"/>
    <d v="2018-08-17T00:00:00"/>
    <d v="2018-08-17T00:00:00"/>
    <x v="0"/>
    <x v="1"/>
    <s v="NF6224"/>
    <n v="2137"/>
    <n v="8"/>
    <n v="2018"/>
    <x v="0"/>
    <x v="1"/>
  </r>
  <r>
    <d v="2018-08-24T00:00:00"/>
    <d v="2018-08-24T00:00:00"/>
    <d v="2018-08-24T00:00:00"/>
    <x v="0"/>
    <x v="2"/>
    <s v="NF6974"/>
    <n v="4287"/>
    <n v="8"/>
    <n v="2018"/>
    <x v="0"/>
    <x v="1"/>
  </r>
  <r>
    <d v="2019-01-10T00:00:00"/>
    <d v="2018-08-26T00:00:00"/>
    <d v="2018-10-22T00:00:00"/>
    <x v="0"/>
    <x v="2"/>
    <s v="NF3171"/>
    <n v="4857"/>
    <n v="1"/>
    <n v="2019"/>
    <x v="0"/>
    <x v="1"/>
  </r>
  <r>
    <d v="2018-10-20T00:00:00"/>
    <d v="2018-08-30T00:00:00"/>
    <d v="2018-10-20T00:00:00"/>
    <x v="0"/>
    <x v="1"/>
    <s v="NF9089"/>
    <n v="507"/>
    <n v="10"/>
    <n v="2018"/>
    <x v="0"/>
    <x v="1"/>
  </r>
  <r>
    <d v="2018-11-01T00:00:00"/>
    <d v="2018-08-31T00:00:00"/>
    <d v="2018-09-11T00:00:00"/>
    <x v="0"/>
    <x v="0"/>
    <s v="NF9607"/>
    <n v="2467"/>
    <n v="11"/>
    <n v="2018"/>
    <x v="0"/>
    <x v="1"/>
  </r>
  <r>
    <d v="2018-09-27T00:00:00"/>
    <d v="2018-09-01T00:00:00"/>
    <d v="2018-09-27T00:00:00"/>
    <x v="0"/>
    <x v="1"/>
    <s v="NF6643"/>
    <n v="4253"/>
    <n v="9"/>
    <n v="2018"/>
    <x v="1"/>
    <x v="1"/>
  </r>
  <r>
    <d v="2018-09-07T00:00:00"/>
    <d v="2018-09-07T00:00:00"/>
    <d v="2018-09-07T00:00:00"/>
    <x v="0"/>
    <x v="2"/>
    <s v="NF3939"/>
    <n v="2391"/>
    <n v="9"/>
    <n v="2018"/>
    <x v="1"/>
    <x v="1"/>
  </r>
  <r>
    <d v="2018-09-22T00:00:00"/>
    <d v="2018-09-09T00:00:00"/>
    <d v="2018-09-22T00:00:00"/>
    <x v="0"/>
    <x v="1"/>
    <s v="NF3599"/>
    <n v="3669"/>
    <n v="9"/>
    <n v="2018"/>
    <x v="1"/>
    <x v="1"/>
  </r>
  <r>
    <d v="2018-10-10T00:00:00"/>
    <d v="2018-09-12T00:00:00"/>
    <d v="2018-10-10T00:00:00"/>
    <x v="0"/>
    <x v="1"/>
    <s v="NF9914"/>
    <n v="1207"/>
    <n v="10"/>
    <n v="2018"/>
    <x v="1"/>
    <x v="1"/>
  </r>
  <r>
    <d v="2018-11-08T00:00:00"/>
    <d v="2018-09-18T00:00:00"/>
    <d v="2018-11-08T00:00:00"/>
    <x v="0"/>
    <x v="0"/>
    <s v="NF5492"/>
    <n v="2539"/>
    <n v="11"/>
    <n v="2018"/>
    <x v="1"/>
    <x v="1"/>
  </r>
  <r>
    <d v="2018-10-01T00:00:00"/>
    <d v="2018-09-20T00:00:00"/>
    <d v="2018-10-01T00:00:00"/>
    <x v="0"/>
    <x v="4"/>
    <s v="NF7516"/>
    <n v="2895"/>
    <n v="10"/>
    <n v="2018"/>
    <x v="1"/>
    <x v="1"/>
  </r>
  <r>
    <d v="2018-11-18T00:00:00"/>
    <d v="2018-09-21T00:00:00"/>
    <d v="2018-09-21T00:00:00"/>
    <x v="0"/>
    <x v="1"/>
    <s v="NF8652"/>
    <n v="2106"/>
    <n v="11"/>
    <n v="2018"/>
    <x v="1"/>
    <x v="1"/>
  </r>
  <r>
    <d v="2018-11-01T00:00:00"/>
    <d v="2018-09-23T00:00:00"/>
    <d v="2018-11-01T00:00:00"/>
    <x v="0"/>
    <x v="4"/>
    <s v="NF4809"/>
    <n v="3742"/>
    <n v="11"/>
    <n v="2018"/>
    <x v="1"/>
    <x v="1"/>
  </r>
  <r>
    <d v="2018-09-26T00:00:00"/>
    <d v="2018-09-26T00:00:00"/>
    <d v="2018-09-26T00:00:00"/>
    <x v="0"/>
    <x v="0"/>
    <s v="NF5491"/>
    <n v="3222"/>
    <n v="9"/>
    <n v="2018"/>
    <x v="1"/>
    <x v="1"/>
  </r>
  <r>
    <d v="2018-10-19T00:00:00"/>
    <d v="2018-10-01T00:00:00"/>
    <d v="2018-10-19T00:00:00"/>
    <x v="0"/>
    <x v="1"/>
    <s v="NF7862"/>
    <n v="673"/>
    <n v="10"/>
    <n v="2018"/>
    <x v="2"/>
    <x v="1"/>
  </r>
  <r>
    <d v="2018-10-26T00:00:00"/>
    <d v="2018-10-05T00:00:00"/>
    <d v="2018-10-26T00:00:00"/>
    <x v="0"/>
    <x v="3"/>
    <s v="NF3137"/>
    <n v="4922"/>
    <n v="10"/>
    <n v="2018"/>
    <x v="2"/>
    <x v="1"/>
  </r>
  <r>
    <d v="2018-11-28T00:00:00"/>
    <d v="2018-10-09T00:00:00"/>
    <d v="2018-11-28T00:00:00"/>
    <x v="0"/>
    <x v="2"/>
    <s v="NF2705"/>
    <n v="1688"/>
    <n v="11"/>
    <n v="2018"/>
    <x v="2"/>
    <x v="1"/>
  </r>
  <r>
    <d v="2018-10-09T00:00:00"/>
    <d v="2018-10-09T00:00:00"/>
    <d v="2018-10-09T00:00:00"/>
    <x v="0"/>
    <x v="2"/>
    <s v="NF9537"/>
    <n v="979"/>
    <n v="10"/>
    <n v="2018"/>
    <x v="2"/>
    <x v="1"/>
  </r>
  <r>
    <d v="2018-10-27T00:00:00"/>
    <d v="2018-10-14T00:00:00"/>
    <d v="2018-10-27T00:00:00"/>
    <x v="0"/>
    <x v="1"/>
    <s v="NF1700"/>
    <n v="3744"/>
    <n v="10"/>
    <n v="2018"/>
    <x v="2"/>
    <x v="1"/>
  </r>
  <r>
    <s v=""/>
    <d v="2018-10-16T00:00:00"/>
    <d v="2018-12-04T00:00:00"/>
    <x v="0"/>
    <x v="2"/>
    <s v="NF9052"/>
    <n v="4061"/>
    <n v="0"/>
    <n v="0"/>
    <x v="2"/>
    <x v="1"/>
  </r>
  <r>
    <d v="2018-12-01T00:00:00"/>
    <d v="2018-10-21T00:00:00"/>
    <d v="2018-12-01T00:00:00"/>
    <x v="0"/>
    <x v="0"/>
    <s v="NF9827"/>
    <n v="4404"/>
    <n v="12"/>
    <n v="2018"/>
    <x v="2"/>
    <x v="1"/>
  </r>
  <r>
    <d v="2018-11-20T00:00:00"/>
    <d v="2018-10-25T00:00:00"/>
    <d v="2018-11-15T00:00:00"/>
    <x v="0"/>
    <x v="1"/>
    <s v="NF4056"/>
    <n v="2429"/>
    <n v="11"/>
    <n v="2018"/>
    <x v="2"/>
    <x v="1"/>
  </r>
  <r>
    <d v="2018-10-25T00:00:00"/>
    <d v="2018-10-25T00:00:00"/>
    <d v="2018-10-25T00:00:00"/>
    <x v="0"/>
    <x v="0"/>
    <s v="NF4381"/>
    <n v="2713"/>
    <n v="10"/>
    <n v="2018"/>
    <x v="2"/>
    <x v="1"/>
  </r>
  <r>
    <s v=""/>
    <d v="2018-10-30T00:00:00"/>
    <d v="2018-10-30T00:00:00"/>
    <x v="0"/>
    <x v="1"/>
    <s v="NF5374"/>
    <n v="3787"/>
    <n v="0"/>
    <n v="0"/>
    <x v="2"/>
    <x v="1"/>
  </r>
  <r>
    <d v="2018-12-08T00:00:00"/>
    <d v="2018-11-04T00:00:00"/>
    <d v="2018-12-08T00:00:00"/>
    <x v="0"/>
    <x v="4"/>
    <s v="NF4782"/>
    <n v="1820"/>
    <n v="12"/>
    <n v="2018"/>
    <x v="3"/>
    <x v="1"/>
  </r>
  <r>
    <d v="2018-11-27T00:00:00"/>
    <d v="2018-11-08T00:00:00"/>
    <d v="2018-11-27T00:00:00"/>
    <x v="0"/>
    <x v="1"/>
    <s v="NF9770"/>
    <n v="4135"/>
    <n v="11"/>
    <n v="2018"/>
    <x v="3"/>
    <x v="1"/>
  </r>
  <r>
    <d v="2018-11-17T00:00:00"/>
    <d v="2018-11-11T00:00:00"/>
    <d v="2018-11-17T00:00:00"/>
    <x v="0"/>
    <x v="1"/>
    <s v="NF3186"/>
    <n v="3902"/>
    <n v="11"/>
    <n v="2018"/>
    <x v="3"/>
    <x v="1"/>
  </r>
  <r>
    <d v="2018-11-14T00:00:00"/>
    <d v="2018-11-14T00:00:00"/>
    <d v="2018-11-14T00:00:00"/>
    <x v="0"/>
    <x v="1"/>
    <s v="NF7423"/>
    <n v="4319"/>
    <n v="11"/>
    <n v="2018"/>
    <x v="3"/>
    <x v="1"/>
  </r>
  <r>
    <d v="2019-03-13T00:00:00"/>
    <d v="2018-11-17T00:00:00"/>
    <d v="2018-12-30T00:00:00"/>
    <x v="0"/>
    <x v="0"/>
    <s v="NF3114"/>
    <n v="3068"/>
    <n v="3"/>
    <n v="2019"/>
    <x v="3"/>
    <x v="1"/>
  </r>
  <r>
    <d v="2018-11-21T00:00:00"/>
    <d v="2018-11-21T00:00:00"/>
    <d v="2018-11-21T00:00:00"/>
    <x v="0"/>
    <x v="1"/>
    <s v="NF1359"/>
    <n v="1880"/>
    <n v="11"/>
    <n v="2018"/>
    <x v="3"/>
    <x v="1"/>
  </r>
  <r>
    <d v="2018-12-31T00:00:00"/>
    <d v="2018-11-23T00:00:00"/>
    <d v="2018-12-31T00:00:00"/>
    <x v="0"/>
    <x v="1"/>
    <s v="NF5107"/>
    <n v="1414"/>
    <n v="12"/>
    <n v="2018"/>
    <x v="3"/>
    <x v="1"/>
  </r>
  <r>
    <d v="2018-12-23T00:00:00"/>
    <d v="2018-11-26T00:00:00"/>
    <d v="2018-12-13T00:00:00"/>
    <x v="0"/>
    <x v="3"/>
    <s v="NF4367"/>
    <n v="919"/>
    <n v="12"/>
    <n v="2018"/>
    <x v="3"/>
    <x v="1"/>
  </r>
  <r>
    <d v="2018-11-27T00:00:00"/>
    <d v="2018-11-27T00:00:00"/>
    <d v="2018-11-27T00:00:00"/>
    <x v="0"/>
    <x v="1"/>
    <s v="NF8386"/>
    <n v="4801"/>
    <n v="11"/>
    <n v="2018"/>
    <x v="3"/>
    <x v="1"/>
  </r>
  <r>
    <d v="2018-11-30T00:00:00"/>
    <d v="2018-11-30T00:00:00"/>
    <d v="2018-11-30T00:00:00"/>
    <x v="0"/>
    <x v="2"/>
    <s v="NF5922"/>
    <n v="4639"/>
    <n v="11"/>
    <n v="2018"/>
    <x v="3"/>
    <x v="1"/>
  </r>
  <r>
    <s v=""/>
    <d v="2018-12-06T00:00:00"/>
    <d v="2019-01-22T00:00:00"/>
    <x v="0"/>
    <x v="1"/>
    <s v="NF9970"/>
    <n v="1209"/>
    <n v="0"/>
    <n v="0"/>
    <x v="4"/>
    <x v="1"/>
  </r>
  <r>
    <d v="2019-04-05T00:00:00"/>
    <d v="2018-12-10T00:00:00"/>
    <d v="2019-01-12T00:00:00"/>
    <x v="0"/>
    <x v="2"/>
    <s v="NF1938"/>
    <n v="483"/>
    <n v="4"/>
    <n v="2019"/>
    <x v="4"/>
    <x v="1"/>
  </r>
  <r>
    <d v="2019-02-07T00:00:00"/>
    <d v="2018-12-17T00:00:00"/>
    <d v="2019-01-04T00:00:00"/>
    <x v="0"/>
    <x v="1"/>
    <s v="NF7772"/>
    <n v="373"/>
    <n v="2"/>
    <n v="2019"/>
    <x v="4"/>
    <x v="1"/>
  </r>
  <r>
    <d v="2018-12-25T00:00:00"/>
    <d v="2018-12-20T00:00:00"/>
    <d v="2018-12-25T00:00:00"/>
    <x v="0"/>
    <x v="0"/>
    <s v="NF9932"/>
    <n v="2088"/>
    <n v="12"/>
    <n v="2018"/>
    <x v="4"/>
    <x v="1"/>
  </r>
  <r>
    <d v="2019-02-01T00:00:00"/>
    <d v="2018-12-21T00:00:00"/>
    <d v="2019-02-01T00:00:00"/>
    <x v="0"/>
    <x v="2"/>
    <s v="NF2970"/>
    <n v="1168"/>
    <n v="2"/>
    <n v="2019"/>
    <x v="4"/>
    <x v="1"/>
  </r>
  <r>
    <d v="2018-12-23T00:00:00"/>
    <d v="2018-12-23T00:00:00"/>
    <d v="2018-12-23T00:00:00"/>
    <x v="0"/>
    <x v="2"/>
    <s v="NF4423"/>
    <n v="4429"/>
    <n v="12"/>
    <n v="2018"/>
    <x v="4"/>
    <x v="1"/>
  </r>
  <r>
    <d v="2019-02-23T00:00:00"/>
    <d v="2018-12-28T00:00:00"/>
    <d v="2019-02-23T00:00:00"/>
    <x v="0"/>
    <x v="1"/>
    <s v="NF9682"/>
    <n v="4955"/>
    <n v="2"/>
    <n v="2019"/>
    <x v="4"/>
    <x v="1"/>
  </r>
  <r>
    <d v="2019-01-18T00:00:00"/>
    <d v="2018-12-31T00:00:00"/>
    <d v="2019-01-18T00:00:00"/>
    <x v="0"/>
    <x v="1"/>
    <s v="NF7840"/>
    <n v="3201"/>
    <n v="1"/>
    <n v="2019"/>
    <x v="4"/>
    <x v="1"/>
  </r>
  <r>
    <d v="2019-02-15T00:00:00"/>
    <d v="2019-01-04T00:00:00"/>
    <d v="2019-02-15T00:00:00"/>
    <x v="0"/>
    <x v="4"/>
    <s v="NF4946"/>
    <n v="3007"/>
    <n v="2"/>
    <n v="2019"/>
    <x v="5"/>
    <x v="2"/>
  </r>
  <r>
    <d v="2019-01-08T00:00:00"/>
    <d v="2019-01-08T00:00:00"/>
    <d v="2019-01-08T00:00:00"/>
    <x v="0"/>
    <x v="2"/>
    <s v="NF6806"/>
    <n v="900"/>
    <n v="1"/>
    <n v="2019"/>
    <x v="5"/>
    <x v="2"/>
  </r>
  <r>
    <d v="2019-01-13T00:00:00"/>
    <d v="2019-01-13T00:00:00"/>
    <d v="2019-01-13T00:00:00"/>
    <x v="0"/>
    <x v="1"/>
    <s v="NF3882"/>
    <n v="2970"/>
    <n v="1"/>
    <n v="2019"/>
    <x v="5"/>
    <x v="2"/>
  </r>
  <r>
    <d v="2019-03-14T00:00:00"/>
    <d v="2019-01-17T00:00:00"/>
    <d v="2019-03-14T00:00:00"/>
    <x v="0"/>
    <x v="3"/>
    <s v="NF1850"/>
    <n v="4993"/>
    <n v="3"/>
    <n v="2019"/>
    <x v="5"/>
    <x v="2"/>
  </r>
  <r>
    <d v="2019-01-20T00:00:00"/>
    <d v="2019-01-20T00:00:00"/>
    <d v="2019-01-20T00:00:00"/>
    <x v="0"/>
    <x v="2"/>
    <s v="NF7979"/>
    <n v="1664"/>
    <n v="1"/>
    <n v="2019"/>
    <x v="5"/>
    <x v="2"/>
  </r>
  <r>
    <s v=""/>
    <d v="2019-01-21T00:00:00"/>
    <d v="2019-02-26T00:00:00"/>
    <x v="0"/>
    <x v="1"/>
    <s v="NF1547"/>
    <n v="1815"/>
    <n v="0"/>
    <n v="0"/>
    <x v="5"/>
    <x v="2"/>
  </r>
  <r>
    <d v="2019-02-09T00:00:00"/>
    <d v="2019-01-23T00:00:00"/>
    <d v="2019-02-09T00:00:00"/>
    <x v="0"/>
    <x v="4"/>
    <s v="NF2309"/>
    <n v="3752"/>
    <n v="2"/>
    <n v="2019"/>
    <x v="5"/>
    <x v="2"/>
  </r>
  <r>
    <s v=""/>
    <d v="2019-01-27T00:00:00"/>
    <d v="2019-02-17T00:00:00"/>
    <x v="0"/>
    <x v="1"/>
    <s v="NF5791"/>
    <n v="177"/>
    <n v="0"/>
    <n v="0"/>
    <x v="5"/>
    <x v="2"/>
  </r>
  <r>
    <d v="2019-01-29T00:00:00"/>
    <d v="2019-01-29T00:00:00"/>
    <d v="2019-01-29T00:00:00"/>
    <x v="0"/>
    <x v="1"/>
    <s v="NF2982"/>
    <n v="3619"/>
    <n v="1"/>
    <n v="2019"/>
    <x v="5"/>
    <x v="2"/>
  </r>
  <r>
    <d v="2019-03-11T00:00:00"/>
    <d v="2019-02-02T00:00:00"/>
    <d v="2019-03-10T00:00:00"/>
    <x v="0"/>
    <x v="4"/>
    <s v="NF1796"/>
    <n v="4030"/>
    <n v="3"/>
    <n v="2019"/>
    <x v="6"/>
    <x v="2"/>
  </r>
  <r>
    <d v="2019-02-16T00:00:00"/>
    <d v="2019-02-05T00:00:00"/>
    <d v="2019-02-16T00:00:00"/>
    <x v="0"/>
    <x v="4"/>
    <s v="NF2396"/>
    <n v="4157"/>
    <n v="2"/>
    <n v="2019"/>
    <x v="6"/>
    <x v="2"/>
  </r>
  <r>
    <d v="2019-03-08T00:00:00"/>
    <d v="2019-02-06T00:00:00"/>
    <d v="2019-03-08T00:00:00"/>
    <x v="0"/>
    <x v="0"/>
    <s v="NF8281"/>
    <n v="1417"/>
    <n v="3"/>
    <n v="2019"/>
    <x v="6"/>
    <x v="2"/>
  </r>
  <r>
    <d v="2019-03-16T00:00:00"/>
    <d v="2019-02-09T00:00:00"/>
    <d v="2019-03-16T00:00:00"/>
    <x v="0"/>
    <x v="2"/>
    <s v="NF3155"/>
    <n v="1117"/>
    <n v="3"/>
    <n v="2019"/>
    <x v="6"/>
    <x v="2"/>
  </r>
  <r>
    <d v="2019-03-17T00:00:00"/>
    <d v="2019-02-10T00:00:00"/>
    <d v="2019-03-17T00:00:00"/>
    <x v="0"/>
    <x v="3"/>
    <s v="NF4849"/>
    <n v="4461"/>
    <n v="3"/>
    <n v="2019"/>
    <x v="6"/>
    <x v="2"/>
  </r>
  <r>
    <d v="2019-03-25T00:00:00"/>
    <d v="2019-02-12T00:00:00"/>
    <d v="2019-02-12T00:00:00"/>
    <x v="0"/>
    <x v="1"/>
    <s v="NF4647"/>
    <n v="3732"/>
    <n v="3"/>
    <n v="2019"/>
    <x v="6"/>
    <x v="2"/>
  </r>
  <r>
    <d v="2019-02-13T00:00:00"/>
    <d v="2019-02-13T00:00:00"/>
    <d v="2019-02-13T00:00:00"/>
    <x v="0"/>
    <x v="2"/>
    <s v="NF9056"/>
    <n v="2024"/>
    <n v="2"/>
    <n v="2019"/>
    <x v="6"/>
    <x v="2"/>
  </r>
  <r>
    <d v="2019-02-16T00:00:00"/>
    <d v="2019-02-16T00:00:00"/>
    <d v="2019-02-16T00:00:00"/>
    <x v="0"/>
    <x v="1"/>
    <s v="NF4097"/>
    <n v="928"/>
    <n v="2"/>
    <n v="2019"/>
    <x v="6"/>
    <x v="2"/>
  </r>
  <r>
    <d v="2019-03-09T00:00:00"/>
    <d v="2019-02-17T00:00:00"/>
    <d v="2019-02-17T00:00:00"/>
    <x v="0"/>
    <x v="1"/>
    <s v="NF9792"/>
    <n v="3557"/>
    <n v="3"/>
    <n v="2019"/>
    <x v="6"/>
    <x v="2"/>
  </r>
  <r>
    <d v="2019-03-16T00:00:00"/>
    <d v="2019-02-18T00:00:00"/>
    <d v="2019-03-16T00:00:00"/>
    <x v="0"/>
    <x v="2"/>
    <s v="NF1943"/>
    <n v="741"/>
    <n v="3"/>
    <n v="2019"/>
    <x v="6"/>
    <x v="2"/>
  </r>
  <r>
    <d v="2019-03-24T00:00:00"/>
    <d v="2019-02-21T00:00:00"/>
    <d v="2019-03-24T00:00:00"/>
    <x v="0"/>
    <x v="2"/>
    <s v="NF5598"/>
    <n v="850"/>
    <n v="3"/>
    <n v="2019"/>
    <x v="6"/>
    <x v="2"/>
  </r>
  <r>
    <d v="2019-02-26T00:00:00"/>
    <d v="2019-02-26T00:00:00"/>
    <d v="2019-02-26T00:00:00"/>
    <x v="0"/>
    <x v="1"/>
    <s v="NF8881"/>
    <n v="4741"/>
    <n v="2"/>
    <n v="2019"/>
    <x v="6"/>
    <x v="2"/>
  </r>
  <r>
    <d v="2019-03-01T00:00:00"/>
    <d v="2019-03-01T00:00:00"/>
    <d v="2019-03-01T00:00:00"/>
    <x v="0"/>
    <x v="0"/>
    <s v="NF3500"/>
    <n v="471"/>
    <n v="3"/>
    <n v="2019"/>
    <x v="7"/>
    <x v="2"/>
  </r>
  <r>
    <d v="2019-03-03T00:00:00"/>
    <d v="2019-03-03T00:00:00"/>
    <d v="2019-03-03T00:00:00"/>
    <x v="0"/>
    <x v="0"/>
    <s v="NF3489"/>
    <n v="517"/>
    <n v="3"/>
    <n v="2019"/>
    <x v="7"/>
    <x v="2"/>
  </r>
  <r>
    <d v="2019-04-08T00:00:00"/>
    <d v="2019-03-10T00:00:00"/>
    <d v="2019-04-08T00:00:00"/>
    <x v="0"/>
    <x v="0"/>
    <s v="NF8682"/>
    <n v="3034"/>
    <n v="4"/>
    <n v="2019"/>
    <x v="7"/>
    <x v="2"/>
  </r>
  <r>
    <d v="2019-04-23T00:00:00"/>
    <d v="2019-03-13T00:00:00"/>
    <d v="2019-04-23T00:00:00"/>
    <x v="0"/>
    <x v="1"/>
    <s v="NF8525"/>
    <n v="3172"/>
    <n v="4"/>
    <n v="2019"/>
    <x v="7"/>
    <x v="2"/>
  </r>
  <r>
    <d v="2019-03-19T00:00:00"/>
    <d v="2019-03-19T00:00:00"/>
    <d v="2019-03-19T00:00:00"/>
    <x v="0"/>
    <x v="4"/>
    <s v="NF2006"/>
    <n v="2069"/>
    <n v="3"/>
    <n v="2019"/>
    <x v="7"/>
    <x v="2"/>
  </r>
  <r>
    <d v="2019-03-21T00:00:00"/>
    <d v="2019-03-21T00:00:00"/>
    <d v="2019-03-21T00:00:00"/>
    <x v="0"/>
    <x v="4"/>
    <s v="NF7648"/>
    <n v="3849"/>
    <n v="3"/>
    <n v="2019"/>
    <x v="7"/>
    <x v="2"/>
  </r>
  <r>
    <s v=""/>
    <d v="2019-03-27T00:00:00"/>
    <d v="2019-05-01T00:00:00"/>
    <x v="0"/>
    <x v="2"/>
    <s v="NF6770"/>
    <n v="4141"/>
    <n v="0"/>
    <n v="0"/>
    <x v="7"/>
    <x v="2"/>
  </r>
  <r>
    <d v="2019-06-27T00:00:00"/>
    <d v="2019-03-28T00:00:00"/>
    <d v="2019-05-01T00:00:00"/>
    <x v="0"/>
    <x v="2"/>
    <s v="NF2352"/>
    <n v="1348"/>
    <n v="6"/>
    <n v="2019"/>
    <x v="7"/>
    <x v="2"/>
  </r>
  <r>
    <d v="2019-04-03T00:00:00"/>
    <d v="2019-04-03T00:00:00"/>
    <d v="2019-04-03T00:00:00"/>
    <x v="0"/>
    <x v="1"/>
    <s v="NF4686"/>
    <n v="1738"/>
    <n v="4"/>
    <n v="2019"/>
    <x v="8"/>
    <x v="2"/>
  </r>
  <r>
    <d v="2019-04-06T00:00:00"/>
    <d v="2019-04-06T00:00:00"/>
    <d v="2019-04-06T00:00:00"/>
    <x v="0"/>
    <x v="1"/>
    <s v="NF9108"/>
    <n v="732"/>
    <n v="4"/>
    <n v="2019"/>
    <x v="8"/>
    <x v="2"/>
  </r>
  <r>
    <d v="2019-06-09T00:00:00"/>
    <d v="2019-04-07T00:00:00"/>
    <d v="2019-05-01T00:00:00"/>
    <x v="0"/>
    <x v="2"/>
    <s v="NF1934"/>
    <n v="373"/>
    <n v="6"/>
    <n v="2019"/>
    <x v="8"/>
    <x v="2"/>
  </r>
  <r>
    <d v="2019-05-24T00:00:00"/>
    <d v="2019-04-09T00:00:00"/>
    <d v="2019-05-24T00:00:00"/>
    <x v="0"/>
    <x v="0"/>
    <s v="NF5748"/>
    <n v="609"/>
    <n v="5"/>
    <n v="2019"/>
    <x v="8"/>
    <x v="2"/>
  </r>
  <r>
    <d v="2019-05-30T00:00:00"/>
    <d v="2019-04-12T00:00:00"/>
    <d v="2019-05-30T00:00:00"/>
    <x v="0"/>
    <x v="1"/>
    <s v="NF3443"/>
    <n v="2883"/>
    <n v="5"/>
    <n v="2019"/>
    <x v="8"/>
    <x v="2"/>
  </r>
  <r>
    <d v="2019-04-14T00:00:00"/>
    <d v="2019-04-14T00:00:00"/>
    <d v="2019-04-14T00:00:00"/>
    <x v="0"/>
    <x v="0"/>
    <s v="NF4433"/>
    <n v="4651"/>
    <n v="4"/>
    <n v="2019"/>
    <x v="8"/>
    <x v="2"/>
  </r>
  <r>
    <s v=""/>
    <d v="2019-04-18T00:00:00"/>
    <d v="2019-04-24T00:00:00"/>
    <x v="0"/>
    <x v="0"/>
    <s v="NF7700"/>
    <n v="4797"/>
    <n v="0"/>
    <n v="0"/>
    <x v="8"/>
    <x v="2"/>
  </r>
  <r>
    <d v="2019-05-13T00:00:00"/>
    <d v="2019-04-20T00:00:00"/>
    <d v="2019-05-13T00:00:00"/>
    <x v="0"/>
    <x v="4"/>
    <s v="NF8475"/>
    <n v="1620"/>
    <n v="5"/>
    <n v="2019"/>
    <x v="8"/>
    <x v="2"/>
  </r>
  <r>
    <d v="2019-08-06T00:00:00"/>
    <d v="2019-04-27T00:00:00"/>
    <d v="2019-06-09T00:00:00"/>
    <x v="0"/>
    <x v="2"/>
    <s v="NF3694"/>
    <n v="245"/>
    <n v="8"/>
    <n v="2019"/>
    <x v="8"/>
    <x v="2"/>
  </r>
  <r>
    <d v="2019-05-10T00:00:00"/>
    <d v="2019-04-29T00:00:00"/>
    <d v="2019-05-10T00:00:00"/>
    <x v="0"/>
    <x v="1"/>
    <s v="NF5571"/>
    <n v="2091"/>
    <n v="5"/>
    <n v="2019"/>
    <x v="8"/>
    <x v="2"/>
  </r>
  <r>
    <d v="2019-05-09T00:00:00"/>
    <d v="2019-04-30T00:00:00"/>
    <d v="2019-05-09T00:00:00"/>
    <x v="0"/>
    <x v="1"/>
    <s v="NF7836"/>
    <n v="3200"/>
    <n v="5"/>
    <n v="2019"/>
    <x v="8"/>
    <x v="2"/>
  </r>
  <r>
    <d v="2019-05-02T00:00:00"/>
    <d v="2019-05-02T00:00:00"/>
    <d v="2019-05-02T00:00:00"/>
    <x v="0"/>
    <x v="2"/>
    <s v="NF7705"/>
    <n v="583"/>
    <n v="5"/>
    <n v="2019"/>
    <x v="9"/>
    <x v="2"/>
  </r>
  <r>
    <d v="2019-06-10T00:00:00"/>
    <d v="2019-05-05T00:00:00"/>
    <d v="2019-06-10T00:00:00"/>
    <x v="0"/>
    <x v="1"/>
    <s v="NF1629"/>
    <n v="4505"/>
    <n v="6"/>
    <n v="2019"/>
    <x v="9"/>
    <x v="2"/>
  </r>
  <r>
    <d v="2019-05-07T00:00:00"/>
    <d v="2019-05-07T00:00:00"/>
    <d v="2019-05-07T00:00:00"/>
    <x v="0"/>
    <x v="1"/>
    <s v="NF4027"/>
    <n v="343"/>
    <n v="5"/>
    <n v="2019"/>
    <x v="9"/>
    <x v="2"/>
  </r>
  <r>
    <d v="2019-05-18T00:00:00"/>
    <d v="2019-05-08T00:00:00"/>
    <d v="2019-05-18T00:00:00"/>
    <x v="0"/>
    <x v="0"/>
    <s v="NF7582"/>
    <n v="4510"/>
    <n v="5"/>
    <n v="2019"/>
    <x v="9"/>
    <x v="2"/>
  </r>
  <r>
    <d v="2019-05-12T00:00:00"/>
    <d v="2019-05-12T00:00:00"/>
    <d v="2019-05-12T00:00:00"/>
    <x v="0"/>
    <x v="1"/>
    <s v="NF7868"/>
    <n v="667"/>
    <n v="5"/>
    <n v="2019"/>
    <x v="9"/>
    <x v="2"/>
  </r>
  <r>
    <d v="2019-06-15T00:00:00"/>
    <d v="2019-05-15T00:00:00"/>
    <d v="2019-06-15T00:00:00"/>
    <x v="0"/>
    <x v="1"/>
    <s v="NF6154"/>
    <n v="1006"/>
    <n v="6"/>
    <n v="2019"/>
    <x v="9"/>
    <x v="2"/>
  </r>
  <r>
    <d v="2019-06-19T00:00:00"/>
    <d v="2019-05-19T00:00:00"/>
    <d v="2019-06-19T00:00:00"/>
    <x v="0"/>
    <x v="2"/>
    <s v="NF5531"/>
    <n v="1071"/>
    <n v="6"/>
    <n v="2019"/>
    <x v="9"/>
    <x v="2"/>
  </r>
  <r>
    <d v="2019-06-14T00:00:00"/>
    <d v="2019-05-24T00:00:00"/>
    <d v="2019-06-14T00:00:00"/>
    <x v="0"/>
    <x v="4"/>
    <s v="NF9744"/>
    <n v="2194"/>
    <n v="6"/>
    <n v="2019"/>
    <x v="9"/>
    <x v="2"/>
  </r>
  <r>
    <s v=""/>
    <d v="2019-05-26T00:00:00"/>
    <d v="2019-05-26T00:00:00"/>
    <x v="0"/>
    <x v="1"/>
    <s v="NF1516"/>
    <n v="2531"/>
    <n v="0"/>
    <n v="0"/>
    <x v="9"/>
    <x v="2"/>
  </r>
  <r>
    <d v="2019-07-09T00:00:00"/>
    <d v="2019-05-29T00:00:00"/>
    <d v="2019-07-09T00:00:00"/>
    <x v="0"/>
    <x v="0"/>
    <s v="NF2007"/>
    <n v="657"/>
    <n v="7"/>
    <n v="2019"/>
    <x v="9"/>
    <x v="2"/>
  </r>
  <r>
    <s v=""/>
    <d v="2019-05-30T00:00:00"/>
    <d v="2019-07-02T00:00:00"/>
    <x v="0"/>
    <x v="3"/>
    <s v="NF9904"/>
    <n v="4535"/>
    <n v="0"/>
    <n v="0"/>
    <x v="9"/>
    <x v="2"/>
  </r>
  <r>
    <d v="2019-06-25T00:00:00"/>
    <d v="2019-06-04T00:00:00"/>
    <d v="2019-06-25T00:00:00"/>
    <x v="0"/>
    <x v="1"/>
    <s v="NF8631"/>
    <n v="1848"/>
    <n v="6"/>
    <n v="2019"/>
    <x v="10"/>
    <x v="2"/>
  </r>
  <r>
    <d v="2019-07-03T00:00:00"/>
    <d v="2019-06-09T00:00:00"/>
    <d v="2019-06-16T00:00:00"/>
    <x v="0"/>
    <x v="1"/>
    <s v="NF5098"/>
    <n v="191"/>
    <n v="7"/>
    <n v="2019"/>
    <x v="10"/>
    <x v="2"/>
  </r>
  <r>
    <d v="2019-10-05T00:00:00"/>
    <d v="2019-06-13T00:00:00"/>
    <d v="2019-07-22T00:00:00"/>
    <x v="0"/>
    <x v="3"/>
    <s v="NF8169"/>
    <n v="508"/>
    <n v="10"/>
    <n v="2019"/>
    <x v="10"/>
    <x v="2"/>
  </r>
  <r>
    <s v=""/>
    <d v="2019-06-15T00:00:00"/>
    <d v="2019-06-15T00:00:00"/>
    <x v="0"/>
    <x v="4"/>
    <s v="NF4469"/>
    <n v="1482"/>
    <n v="0"/>
    <n v="0"/>
    <x v="10"/>
    <x v="2"/>
  </r>
  <r>
    <d v="2019-07-01T00:00:00"/>
    <d v="2019-06-16T00:00:00"/>
    <d v="2019-07-01T00:00:00"/>
    <x v="0"/>
    <x v="2"/>
    <s v="NF6729"/>
    <n v="555"/>
    <n v="7"/>
    <n v="2019"/>
    <x v="10"/>
    <x v="2"/>
  </r>
  <r>
    <d v="2019-08-10T00:00:00"/>
    <d v="2019-06-20T00:00:00"/>
    <d v="2019-08-10T00:00:00"/>
    <x v="0"/>
    <x v="3"/>
    <s v="NF3586"/>
    <n v="1906"/>
    <n v="8"/>
    <n v="2019"/>
    <x v="10"/>
    <x v="2"/>
  </r>
  <r>
    <d v="2019-08-25T00:00:00"/>
    <d v="2019-06-25T00:00:00"/>
    <d v="2019-06-29T00:00:00"/>
    <x v="0"/>
    <x v="3"/>
    <s v="NF9837"/>
    <n v="450"/>
    <n v="8"/>
    <n v="2019"/>
    <x v="10"/>
    <x v="2"/>
  </r>
  <r>
    <d v="2019-09-02T00:00:00"/>
    <d v="2019-06-28T00:00:00"/>
    <d v="2019-07-16T00:00:00"/>
    <x v="0"/>
    <x v="1"/>
    <s v="NF6344"/>
    <n v="1479"/>
    <n v="9"/>
    <n v="2019"/>
    <x v="10"/>
    <x v="2"/>
  </r>
  <r>
    <d v="2019-07-01T00:00:00"/>
    <d v="2019-06-29T00:00:00"/>
    <d v="2019-07-01T00:00:00"/>
    <x v="0"/>
    <x v="1"/>
    <s v="NF3701"/>
    <n v="3446"/>
    <n v="7"/>
    <n v="2019"/>
    <x v="1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x v="0"/>
    <x v="0"/>
    <x v="0"/>
    <x v="0"/>
    <x v="0"/>
  </r>
  <r>
    <d v="2017-09-17T00:00:00"/>
    <d v="2017-08-13T00:00:00"/>
    <d v="2017-09-17T00:00:00"/>
    <x v="0"/>
    <x v="1"/>
    <s v="NF5356"/>
    <n v="651"/>
    <x v="1"/>
    <x v="0"/>
    <x v="0"/>
    <x v="0"/>
    <x v="1"/>
    <x v="0"/>
  </r>
  <r>
    <d v="2017-09-05T00:00:00"/>
    <d v="2017-08-18T00:00:00"/>
    <d v="2017-09-05T00:00:00"/>
    <x v="0"/>
    <x v="0"/>
    <s v="NF1847"/>
    <n v="131"/>
    <x v="1"/>
    <x v="0"/>
    <x v="0"/>
    <x v="0"/>
    <x v="1"/>
    <x v="0"/>
  </r>
  <r>
    <d v="2017-09-26T00:00:00"/>
    <d v="2017-08-23T00:00:00"/>
    <d v="2017-09-26T00:00:00"/>
    <x v="0"/>
    <x v="0"/>
    <s v="NF7011"/>
    <n v="803"/>
    <x v="1"/>
    <x v="0"/>
    <x v="0"/>
    <x v="0"/>
    <x v="1"/>
    <x v="0"/>
  </r>
  <r>
    <d v="2017-09-24T00:00:00"/>
    <d v="2017-08-24T00:00:00"/>
    <d v="2017-09-24T00:00:00"/>
    <x v="0"/>
    <x v="1"/>
    <s v="NF7746"/>
    <n v="4460"/>
    <x v="1"/>
    <x v="0"/>
    <x v="0"/>
    <x v="0"/>
    <x v="1"/>
    <x v="0"/>
  </r>
  <r>
    <d v="2017-09-02T00:00:00"/>
    <d v="2017-08-25T00:00:00"/>
    <d v="2017-09-02T00:00:00"/>
    <x v="0"/>
    <x v="2"/>
    <s v="NF1507"/>
    <n v="299"/>
    <x v="1"/>
    <x v="0"/>
    <x v="0"/>
    <x v="0"/>
    <x v="1"/>
    <x v="0"/>
  </r>
  <r>
    <d v="2017-10-06T00:00:00"/>
    <d v="2017-08-29T00:00:00"/>
    <d v="2017-10-06T00:00:00"/>
    <x v="0"/>
    <x v="1"/>
    <s v="NF5445"/>
    <n v="618"/>
    <x v="0"/>
    <x v="0"/>
    <x v="0"/>
    <x v="0"/>
    <x v="0"/>
    <x v="0"/>
  </r>
  <r>
    <d v="2017-09-12T00:00:00"/>
    <d v="2017-09-01T00:00:00"/>
    <d v="2017-09-02T00:00:00"/>
    <x v="0"/>
    <x v="1"/>
    <s v="NF7526"/>
    <n v="2505"/>
    <x v="1"/>
    <x v="0"/>
    <x v="1"/>
    <x v="0"/>
    <x v="1"/>
    <x v="0"/>
  </r>
  <r>
    <d v="2017-09-09T00:00:00"/>
    <d v="2017-09-04T00:00:00"/>
    <d v="2017-09-09T00:00:00"/>
    <x v="0"/>
    <x v="0"/>
    <s v="NF7559"/>
    <n v="817"/>
    <x v="1"/>
    <x v="0"/>
    <x v="1"/>
    <x v="0"/>
    <x v="1"/>
    <x v="0"/>
  </r>
  <r>
    <s v=""/>
    <d v="2017-09-06T00:00:00"/>
    <d v="2017-09-06T00:00:00"/>
    <x v="0"/>
    <x v="2"/>
    <s v="NF9357"/>
    <n v="1565"/>
    <x v="2"/>
    <x v="1"/>
    <x v="1"/>
    <x v="0"/>
    <x v="1"/>
    <x v="0"/>
  </r>
  <r>
    <s v=""/>
    <d v="2017-09-12T00:00:00"/>
    <d v="2017-10-12T00:00:00"/>
    <x v="0"/>
    <x v="3"/>
    <s v="NF3898"/>
    <n v="1357"/>
    <x v="2"/>
    <x v="1"/>
    <x v="1"/>
    <x v="0"/>
    <x v="0"/>
    <x v="0"/>
  </r>
  <r>
    <d v="2017-09-13T00:00:00"/>
    <d v="2017-09-13T00:00:00"/>
    <d v="2017-09-13T00:00:00"/>
    <x v="0"/>
    <x v="3"/>
    <s v="NF7275"/>
    <n v="4739"/>
    <x v="1"/>
    <x v="0"/>
    <x v="1"/>
    <x v="0"/>
    <x v="1"/>
    <x v="0"/>
  </r>
  <r>
    <d v="2017-09-14T00:00:00"/>
    <d v="2017-09-14T00:00:00"/>
    <d v="2017-09-14T00:00:00"/>
    <x v="0"/>
    <x v="0"/>
    <s v="NF9591"/>
    <n v="4675"/>
    <x v="1"/>
    <x v="0"/>
    <x v="1"/>
    <x v="0"/>
    <x v="1"/>
    <x v="0"/>
  </r>
  <r>
    <d v="2017-09-26T00:00:00"/>
    <d v="2017-09-19T00:00:00"/>
    <d v="2017-09-26T00:00:00"/>
    <x v="0"/>
    <x v="1"/>
    <s v="NF3104"/>
    <n v="1797"/>
    <x v="1"/>
    <x v="0"/>
    <x v="1"/>
    <x v="0"/>
    <x v="1"/>
    <x v="0"/>
  </r>
  <r>
    <d v="2017-11-04T00:00:00"/>
    <d v="2017-09-24T00:00:00"/>
    <d v="2017-11-04T00:00:00"/>
    <x v="0"/>
    <x v="3"/>
    <s v="NF3440"/>
    <n v="888"/>
    <x v="3"/>
    <x v="0"/>
    <x v="1"/>
    <x v="0"/>
    <x v="2"/>
    <x v="0"/>
  </r>
  <r>
    <s v=""/>
    <d v="2017-09-25T00:00:00"/>
    <d v="2017-10-07T00:00:00"/>
    <x v="0"/>
    <x v="1"/>
    <s v="NF9195"/>
    <n v="2784"/>
    <x v="2"/>
    <x v="1"/>
    <x v="1"/>
    <x v="0"/>
    <x v="0"/>
    <x v="0"/>
  </r>
  <r>
    <d v="2017-10-02T00:00:00"/>
    <d v="2017-09-25T00:00:00"/>
    <d v="2017-10-02T00:00:00"/>
    <x v="0"/>
    <x v="2"/>
    <s v="NF1821"/>
    <n v="707"/>
    <x v="0"/>
    <x v="0"/>
    <x v="1"/>
    <x v="0"/>
    <x v="0"/>
    <x v="0"/>
  </r>
  <r>
    <d v="2017-11-03T00:00:00"/>
    <d v="2017-09-28T00:00:00"/>
    <d v="2017-11-03T00:00:00"/>
    <x v="0"/>
    <x v="2"/>
    <s v="NF5625"/>
    <n v="229"/>
    <x v="3"/>
    <x v="0"/>
    <x v="1"/>
    <x v="0"/>
    <x v="2"/>
    <x v="0"/>
  </r>
  <r>
    <d v="2017-10-01T00:00:00"/>
    <d v="2017-10-01T00:00:00"/>
    <d v="2017-10-01T00:00:00"/>
    <x v="0"/>
    <x v="1"/>
    <s v="NF7471"/>
    <n v="2894"/>
    <x v="0"/>
    <x v="0"/>
    <x v="2"/>
    <x v="0"/>
    <x v="0"/>
    <x v="0"/>
  </r>
  <r>
    <d v="2017-10-22T00:00:00"/>
    <d v="2017-10-04T00:00:00"/>
    <d v="2017-10-22T00:00:00"/>
    <x v="0"/>
    <x v="3"/>
    <s v="NF9225"/>
    <n v="4516"/>
    <x v="0"/>
    <x v="0"/>
    <x v="2"/>
    <x v="0"/>
    <x v="0"/>
    <x v="0"/>
  </r>
  <r>
    <d v="2017-10-23T00:00:00"/>
    <d v="2017-10-06T00:00:00"/>
    <d v="2017-10-23T00:00:00"/>
    <x v="0"/>
    <x v="3"/>
    <s v="NF3883"/>
    <n v="885"/>
    <x v="0"/>
    <x v="0"/>
    <x v="2"/>
    <x v="0"/>
    <x v="0"/>
    <x v="0"/>
  </r>
  <r>
    <d v="2017-11-07T00:00:00"/>
    <d v="2017-10-09T00:00:00"/>
    <d v="2017-11-07T00:00:00"/>
    <x v="0"/>
    <x v="4"/>
    <s v="NF9408"/>
    <n v="1509"/>
    <x v="3"/>
    <x v="0"/>
    <x v="2"/>
    <x v="0"/>
    <x v="2"/>
    <x v="0"/>
  </r>
  <r>
    <d v="2017-10-14T00:00:00"/>
    <d v="2017-10-14T00:00:00"/>
    <d v="2017-10-14T00:00:00"/>
    <x v="0"/>
    <x v="1"/>
    <s v="NF1517"/>
    <n v="145"/>
    <x v="0"/>
    <x v="0"/>
    <x v="2"/>
    <x v="0"/>
    <x v="0"/>
    <x v="0"/>
  </r>
  <r>
    <d v="2017-10-23T00:00:00"/>
    <d v="2017-10-16T00:00:00"/>
    <d v="2017-10-23T00:00:00"/>
    <x v="0"/>
    <x v="1"/>
    <s v="NF8626"/>
    <n v="1311"/>
    <x v="0"/>
    <x v="0"/>
    <x v="2"/>
    <x v="0"/>
    <x v="0"/>
    <x v="0"/>
  </r>
  <r>
    <d v="2017-10-18T00:00:00"/>
    <d v="2017-10-18T00:00:00"/>
    <d v="2017-10-18T00:00:00"/>
    <x v="0"/>
    <x v="1"/>
    <s v="NF4936"/>
    <n v="4182"/>
    <x v="0"/>
    <x v="0"/>
    <x v="2"/>
    <x v="0"/>
    <x v="0"/>
    <x v="0"/>
  </r>
  <r>
    <d v="2017-11-26T00:00:00"/>
    <d v="2017-10-24T00:00:00"/>
    <d v="2017-10-29T00:00:00"/>
    <x v="0"/>
    <x v="2"/>
    <s v="NF7062"/>
    <n v="339"/>
    <x v="3"/>
    <x v="0"/>
    <x v="2"/>
    <x v="0"/>
    <x v="0"/>
    <x v="0"/>
  </r>
  <r>
    <d v="2017-12-02T00:00:00"/>
    <d v="2017-10-29T00:00:00"/>
    <d v="2017-11-29T00:00:00"/>
    <x v="0"/>
    <x v="4"/>
    <s v="NF3172"/>
    <n v="1788"/>
    <x v="4"/>
    <x v="0"/>
    <x v="2"/>
    <x v="0"/>
    <x v="2"/>
    <x v="0"/>
  </r>
  <r>
    <d v="2017-12-20T00:00:00"/>
    <d v="2017-11-03T00:00:00"/>
    <d v="2017-12-20T00:00:00"/>
    <x v="0"/>
    <x v="3"/>
    <s v="NF5821"/>
    <n v="1171"/>
    <x v="4"/>
    <x v="0"/>
    <x v="3"/>
    <x v="0"/>
    <x v="3"/>
    <x v="0"/>
  </r>
  <r>
    <d v="2017-11-05T00:00:00"/>
    <d v="2017-11-05T00:00:00"/>
    <d v="2017-11-05T00:00:00"/>
    <x v="0"/>
    <x v="1"/>
    <s v="NF8137"/>
    <n v="4059"/>
    <x v="3"/>
    <x v="0"/>
    <x v="3"/>
    <x v="0"/>
    <x v="2"/>
    <x v="0"/>
  </r>
  <r>
    <d v="2017-11-08T00:00:00"/>
    <d v="2017-11-08T00:00:00"/>
    <d v="2017-11-08T00:00:00"/>
    <x v="0"/>
    <x v="0"/>
    <s v="NF8083"/>
    <n v="4919"/>
    <x v="3"/>
    <x v="0"/>
    <x v="3"/>
    <x v="0"/>
    <x v="2"/>
    <x v="0"/>
  </r>
  <r>
    <d v="2017-12-18T00:00:00"/>
    <d v="2017-11-12T00:00:00"/>
    <d v="2017-12-18T00:00:00"/>
    <x v="0"/>
    <x v="1"/>
    <s v="NF9597"/>
    <n v="3224"/>
    <x v="4"/>
    <x v="0"/>
    <x v="3"/>
    <x v="0"/>
    <x v="3"/>
    <x v="0"/>
  </r>
  <r>
    <d v="2017-12-26T00:00:00"/>
    <d v="2017-11-15T00:00:00"/>
    <d v="2017-12-26T00:00:00"/>
    <x v="0"/>
    <x v="3"/>
    <s v="NF2065"/>
    <n v="3725"/>
    <x v="4"/>
    <x v="0"/>
    <x v="3"/>
    <x v="0"/>
    <x v="3"/>
    <x v="0"/>
  </r>
  <r>
    <d v="2017-11-17T00:00:00"/>
    <d v="2017-11-17T00:00:00"/>
    <d v="2017-11-17T00:00:00"/>
    <x v="0"/>
    <x v="3"/>
    <s v="NF3192"/>
    <n v="312"/>
    <x v="3"/>
    <x v="0"/>
    <x v="3"/>
    <x v="0"/>
    <x v="2"/>
    <x v="0"/>
  </r>
  <r>
    <d v="2018-01-12T00:00:00"/>
    <d v="2017-11-18T00:00:00"/>
    <d v="2018-01-12T00:00:00"/>
    <x v="0"/>
    <x v="1"/>
    <s v="NF1977"/>
    <n v="4773"/>
    <x v="5"/>
    <x v="2"/>
    <x v="3"/>
    <x v="0"/>
    <x v="4"/>
    <x v="1"/>
  </r>
  <r>
    <d v="2018-01-01T00:00:00"/>
    <d v="2017-11-19T00:00:00"/>
    <d v="2017-11-19T00:00:00"/>
    <x v="0"/>
    <x v="0"/>
    <s v="NF3208"/>
    <n v="228"/>
    <x v="5"/>
    <x v="2"/>
    <x v="3"/>
    <x v="0"/>
    <x v="2"/>
    <x v="0"/>
  </r>
  <r>
    <d v="2017-11-22T00:00:00"/>
    <d v="2017-11-22T00:00:00"/>
    <d v="2017-11-22T00:00:00"/>
    <x v="0"/>
    <x v="1"/>
    <s v="NF9545"/>
    <n v="450"/>
    <x v="3"/>
    <x v="0"/>
    <x v="3"/>
    <x v="0"/>
    <x v="2"/>
    <x v="0"/>
  </r>
  <r>
    <d v="2018-01-03T00:00:00"/>
    <d v="2017-11-23T00:00:00"/>
    <d v="2018-01-03T00:00:00"/>
    <x v="0"/>
    <x v="1"/>
    <s v="NF3100"/>
    <n v="1155"/>
    <x v="5"/>
    <x v="2"/>
    <x v="3"/>
    <x v="0"/>
    <x v="4"/>
    <x v="1"/>
  </r>
  <r>
    <d v="2017-12-01T00:00:00"/>
    <d v="2017-11-30T00:00:00"/>
    <d v="2017-12-01T00:00:00"/>
    <x v="0"/>
    <x v="1"/>
    <s v="NF7746"/>
    <n v="1967"/>
    <x v="4"/>
    <x v="0"/>
    <x v="3"/>
    <x v="0"/>
    <x v="3"/>
    <x v="0"/>
  </r>
  <r>
    <d v="2017-12-27T00:00:00"/>
    <d v="2017-12-01T00:00:00"/>
    <d v="2017-12-27T00:00:00"/>
    <x v="0"/>
    <x v="4"/>
    <s v="NF1179"/>
    <n v="2741"/>
    <x v="4"/>
    <x v="0"/>
    <x v="4"/>
    <x v="0"/>
    <x v="3"/>
    <x v="0"/>
  </r>
  <r>
    <d v="2018-01-25T00:00:00"/>
    <d v="2017-12-02T00:00:00"/>
    <d v="2018-01-25T00:00:00"/>
    <x v="0"/>
    <x v="2"/>
    <s v="NF3829"/>
    <n v="1130"/>
    <x v="5"/>
    <x v="2"/>
    <x v="4"/>
    <x v="0"/>
    <x v="4"/>
    <x v="1"/>
  </r>
  <r>
    <d v="2017-12-06T00:00:00"/>
    <d v="2017-12-06T00:00:00"/>
    <d v="2017-12-06T00:00:00"/>
    <x v="0"/>
    <x v="3"/>
    <s v="NF6865"/>
    <n v="4835"/>
    <x v="4"/>
    <x v="0"/>
    <x v="4"/>
    <x v="0"/>
    <x v="3"/>
    <x v="0"/>
  </r>
  <r>
    <d v="2017-12-08T00:00:00"/>
    <d v="2017-12-08T00:00:00"/>
    <d v="2017-12-08T00:00:00"/>
    <x v="0"/>
    <x v="4"/>
    <s v="NF4400"/>
    <n v="1411"/>
    <x v="4"/>
    <x v="0"/>
    <x v="4"/>
    <x v="0"/>
    <x v="3"/>
    <x v="0"/>
  </r>
  <r>
    <d v="2017-12-30T00:00:00"/>
    <d v="2017-12-10T00:00:00"/>
    <d v="2017-12-30T00:00:00"/>
    <x v="0"/>
    <x v="1"/>
    <s v="NF9617"/>
    <n v="457"/>
    <x v="4"/>
    <x v="0"/>
    <x v="4"/>
    <x v="0"/>
    <x v="3"/>
    <x v="0"/>
  </r>
  <r>
    <s v=""/>
    <d v="2017-12-15T00:00:00"/>
    <d v="2018-02-11T00:00:00"/>
    <x v="0"/>
    <x v="2"/>
    <s v="NF5659"/>
    <n v="2623"/>
    <x v="2"/>
    <x v="1"/>
    <x v="4"/>
    <x v="0"/>
    <x v="5"/>
    <x v="1"/>
  </r>
  <r>
    <d v="2017-12-29T00:00:00"/>
    <d v="2017-12-17T00:00:00"/>
    <d v="2017-12-29T00:00:00"/>
    <x v="0"/>
    <x v="4"/>
    <s v="NF6102"/>
    <n v="3440"/>
    <x v="4"/>
    <x v="0"/>
    <x v="4"/>
    <x v="0"/>
    <x v="3"/>
    <x v="0"/>
  </r>
  <r>
    <d v="2018-01-11T00:00:00"/>
    <d v="2017-12-20T00:00:00"/>
    <d v="2018-01-11T00:00:00"/>
    <x v="0"/>
    <x v="1"/>
    <s v="NF8162"/>
    <n v="3993"/>
    <x v="5"/>
    <x v="2"/>
    <x v="4"/>
    <x v="0"/>
    <x v="4"/>
    <x v="1"/>
  </r>
  <r>
    <d v="2018-02-20T00:00:00"/>
    <d v="2017-12-21T00:00:00"/>
    <d v="2018-02-17T00:00:00"/>
    <x v="0"/>
    <x v="1"/>
    <s v="NF4573"/>
    <n v="3273"/>
    <x v="6"/>
    <x v="2"/>
    <x v="4"/>
    <x v="0"/>
    <x v="5"/>
    <x v="1"/>
  </r>
  <r>
    <d v="2017-12-25T00:00:00"/>
    <d v="2017-12-25T00:00:00"/>
    <d v="2017-12-25T00:00:00"/>
    <x v="0"/>
    <x v="4"/>
    <s v="NF8503"/>
    <n v="4494"/>
    <x v="4"/>
    <x v="0"/>
    <x v="4"/>
    <x v="0"/>
    <x v="3"/>
    <x v="0"/>
  </r>
  <r>
    <d v="2018-01-24T00:00:00"/>
    <d v="2017-12-27T00:00:00"/>
    <d v="2018-01-24T00:00:00"/>
    <x v="0"/>
    <x v="0"/>
    <s v="NF3380"/>
    <n v="2511"/>
    <x v="5"/>
    <x v="2"/>
    <x v="4"/>
    <x v="0"/>
    <x v="4"/>
    <x v="1"/>
  </r>
  <r>
    <d v="2017-12-29T00:00:00"/>
    <d v="2017-12-29T00:00:00"/>
    <d v="2017-12-29T00:00:00"/>
    <x v="0"/>
    <x v="2"/>
    <s v="NF6566"/>
    <n v="2015"/>
    <x v="4"/>
    <x v="0"/>
    <x v="4"/>
    <x v="0"/>
    <x v="3"/>
    <x v="0"/>
  </r>
  <r>
    <s v=""/>
    <d v="2017-12-31T00:00:00"/>
    <d v="2018-02-20T00:00:00"/>
    <x v="0"/>
    <x v="3"/>
    <s v="NF5838"/>
    <n v="3413"/>
    <x v="2"/>
    <x v="1"/>
    <x v="4"/>
    <x v="0"/>
    <x v="5"/>
    <x v="1"/>
  </r>
  <r>
    <d v="2018-01-08T00:00:00"/>
    <d v="2018-01-03T00:00:00"/>
    <d v="2018-01-08T00:00:00"/>
    <x v="0"/>
    <x v="0"/>
    <s v="NF1174"/>
    <n v="4087"/>
    <x v="5"/>
    <x v="2"/>
    <x v="5"/>
    <x v="1"/>
    <x v="4"/>
    <x v="1"/>
  </r>
  <r>
    <d v="2018-01-17T00:00:00"/>
    <d v="2018-01-06T00:00:00"/>
    <d v="2018-01-17T00:00:00"/>
    <x v="0"/>
    <x v="1"/>
    <s v="NF2942"/>
    <n v="2441"/>
    <x v="5"/>
    <x v="2"/>
    <x v="5"/>
    <x v="1"/>
    <x v="4"/>
    <x v="1"/>
  </r>
  <r>
    <s v=""/>
    <d v="2018-01-09T00:00:00"/>
    <d v="2018-01-09T00:00:00"/>
    <x v="0"/>
    <x v="2"/>
    <s v="NF8563"/>
    <n v="3598"/>
    <x v="2"/>
    <x v="1"/>
    <x v="5"/>
    <x v="1"/>
    <x v="4"/>
    <x v="1"/>
  </r>
  <r>
    <d v="2018-01-10T00:00:00"/>
    <d v="2018-01-10T00:00:00"/>
    <d v="2018-01-10T00:00:00"/>
    <x v="0"/>
    <x v="1"/>
    <s v="NF8237"/>
    <n v="4895"/>
    <x v="5"/>
    <x v="2"/>
    <x v="5"/>
    <x v="1"/>
    <x v="4"/>
    <x v="1"/>
  </r>
  <r>
    <s v=""/>
    <d v="2018-01-12T00:00:00"/>
    <d v="2018-01-12T00:00:00"/>
    <x v="0"/>
    <x v="1"/>
    <s v="NF4859"/>
    <n v="971"/>
    <x v="2"/>
    <x v="1"/>
    <x v="5"/>
    <x v="1"/>
    <x v="4"/>
    <x v="1"/>
  </r>
  <r>
    <d v="2018-02-06T00:00:00"/>
    <d v="2018-01-13T00:00:00"/>
    <d v="2018-02-06T00:00:00"/>
    <x v="0"/>
    <x v="0"/>
    <s v="NF1529"/>
    <n v="556"/>
    <x v="6"/>
    <x v="2"/>
    <x v="5"/>
    <x v="1"/>
    <x v="5"/>
    <x v="1"/>
  </r>
  <r>
    <d v="2018-02-13T00:00:00"/>
    <d v="2018-01-14T00:00:00"/>
    <d v="2018-02-13T00:00:00"/>
    <x v="0"/>
    <x v="0"/>
    <s v="NF6931"/>
    <n v="1977"/>
    <x v="6"/>
    <x v="2"/>
    <x v="5"/>
    <x v="1"/>
    <x v="5"/>
    <x v="1"/>
  </r>
  <r>
    <d v="2018-01-16T00:00:00"/>
    <d v="2018-01-16T00:00:00"/>
    <d v="2018-01-16T00:00:00"/>
    <x v="0"/>
    <x v="1"/>
    <s v="NF7559"/>
    <n v="2951"/>
    <x v="5"/>
    <x v="2"/>
    <x v="5"/>
    <x v="1"/>
    <x v="4"/>
    <x v="1"/>
  </r>
  <r>
    <d v="2018-02-02T00:00:00"/>
    <d v="2018-01-20T00:00:00"/>
    <d v="2018-01-20T00:00:00"/>
    <x v="0"/>
    <x v="1"/>
    <s v="NF9620"/>
    <n v="2535"/>
    <x v="6"/>
    <x v="2"/>
    <x v="5"/>
    <x v="1"/>
    <x v="4"/>
    <x v="1"/>
  </r>
  <r>
    <d v="2018-02-10T00:00:00"/>
    <d v="2018-01-21T00:00:00"/>
    <d v="2018-02-10T00:00:00"/>
    <x v="0"/>
    <x v="4"/>
    <s v="NF4547"/>
    <n v="3057"/>
    <x v="6"/>
    <x v="2"/>
    <x v="5"/>
    <x v="1"/>
    <x v="5"/>
    <x v="1"/>
  </r>
  <r>
    <d v="2018-02-09T00:00:00"/>
    <d v="2018-01-23T00:00:00"/>
    <d v="2018-02-09T00:00:00"/>
    <x v="0"/>
    <x v="0"/>
    <s v="NF6004"/>
    <n v="3152"/>
    <x v="6"/>
    <x v="2"/>
    <x v="5"/>
    <x v="1"/>
    <x v="5"/>
    <x v="1"/>
  </r>
  <r>
    <s v=""/>
    <d v="2018-01-25T00:00:00"/>
    <d v="2018-01-25T00:00:00"/>
    <x v="0"/>
    <x v="3"/>
    <s v="NF3415"/>
    <n v="2247"/>
    <x v="2"/>
    <x v="1"/>
    <x v="5"/>
    <x v="1"/>
    <x v="4"/>
    <x v="1"/>
  </r>
  <r>
    <d v="2018-03-19T00:00:00"/>
    <d v="2018-01-27T00:00:00"/>
    <d v="2018-01-27T00:00:00"/>
    <x v="0"/>
    <x v="2"/>
    <s v="NF1603"/>
    <n v="2456"/>
    <x v="7"/>
    <x v="2"/>
    <x v="5"/>
    <x v="1"/>
    <x v="4"/>
    <x v="1"/>
  </r>
  <r>
    <d v="2018-04-25T00:00:00"/>
    <d v="2018-01-29T00:00:00"/>
    <d v="2018-01-29T00:00:00"/>
    <x v="0"/>
    <x v="1"/>
    <s v="NF8784"/>
    <n v="3801"/>
    <x v="8"/>
    <x v="2"/>
    <x v="5"/>
    <x v="1"/>
    <x v="4"/>
    <x v="1"/>
  </r>
  <r>
    <d v="2018-01-31T00:00:00"/>
    <d v="2018-01-31T00:00:00"/>
    <d v="2018-01-31T00:00:00"/>
    <x v="0"/>
    <x v="0"/>
    <s v="NF1826"/>
    <n v="3049"/>
    <x v="5"/>
    <x v="2"/>
    <x v="5"/>
    <x v="1"/>
    <x v="4"/>
    <x v="1"/>
  </r>
  <r>
    <s v=""/>
    <d v="2018-02-04T00:00:00"/>
    <d v="2018-02-04T00:00:00"/>
    <x v="0"/>
    <x v="4"/>
    <s v="NF7390"/>
    <n v="3255"/>
    <x v="2"/>
    <x v="1"/>
    <x v="6"/>
    <x v="1"/>
    <x v="5"/>
    <x v="1"/>
  </r>
  <r>
    <d v="2018-02-05T00:00:00"/>
    <d v="2018-02-05T00:00:00"/>
    <d v="2018-02-05T00:00:00"/>
    <x v="0"/>
    <x v="1"/>
    <s v="NF7009"/>
    <n v="2074"/>
    <x v="6"/>
    <x v="2"/>
    <x v="6"/>
    <x v="1"/>
    <x v="5"/>
    <x v="1"/>
  </r>
  <r>
    <d v="2018-02-06T00:00:00"/>
    <d v="2018-02-06T00:00:00"/>
    <d v="2018-02-06T00:00:00"/>
    <x v="0"/>
    <x v="1"/>
    <s v="NF7629"/>
    <n v="3606"/>
    <x v="6"/>
    <x v="2"/>
    <x v="6"/>
    <x v="1"/>
    <x v="5"/>
    <x v="1"/>
  </r>
  <r>
    <d v="2018-03-18T00:00:00"/>
    <d v="2018-02-07T00:00:00"/>
    <d v="2018-03-18T00:00:00"/>
    <x v="0"/>
    <x v="2"/>
    <s v="NF2748"/>
    <n v="4867"/>
    <x v="7"/>
    <x v="2"/>
    <x v="6"/>
    <x v="1"/>
    <x v="6"/>
    <x v="1"/>
  </r>
  <r>
    <d v="2018-03-16T00:00:00"/>
    <d v="2018-02-09T00:00:00"/>
    <d v="2018-03-16T00:00:00"/>
    <x v="0"/>
    <x v="3"/>
    <s v="NF5961"/>
    <n v="702"/>
    <x v="7"/>
    <x v="2"/>
    <x v="6"/>
    <x v="1"/>
    <x v="6"/>
    <x v="1"/>
  </r>
  <r>
    <d v="2018-02-19T00:00:00"/>
    <d v="2018-02-14T00:00:00"/>
    <d v="2018-02-19T00:00:00"/>
    <x v="0"/>
    <x v="3"/>
    <s v="NF7680"/>
    <n v="2801"/>
    <x v="6"/>
    <x v="2"/>
    <x v="6"/>
    <x v="1"/>
    <x v="5"/>
    <x v="1"/>
  </r>
  <r>
    <d v="2018-04-29T00:00:00"/>
    <d v="2018-02-15T00:00:00"/>
    <d v="2018-03-10T00:00:00"/>
    <x v="0"/>
    <x v="1"/>
    <s v="NF9629"/>
    <n v="4438"/>
    <x v="8"/>
    <x v="2"/>
    <x v="6"/>
    <x v="1"/>
    <x v="6"/>
    <x v="1"/>
  </r>
  <r>
    <d v="2018-04-08T00:00:00"/>
    <d v="2018-02-20T00:00:00"/>
    <d v="2018-04-08T00:00:00"/>
    <x v="0"/>
    <x v="2"/>
    <s v="NF5978"/>
    <n v="3835"/>
    <x v="8"/>
    <x v="2"/>
    <x v="6"/>
    <x v="1"/>
    <x v="7"/>
    <x v="1"/>
  </r>
  <r>
    <d v="2018-03-01T00:00:00"/>
    <d v="2018-03-01T00:00:00"/>
    <d v="2018-03-01T00:00:00"/>
    <x v="0"/>
    <x v="1"/>
    <s v="NF5651"/>
    <n v="3893"/>
    <x v="7"/>
    <x v="2"/>
    <x v="7"/>
    <x v="1"/>
    <x v="6"/>
    <x v="1"/>
  </r>
  <r>
    <d v="2018-03-04T00:00:00"/>
    <d v="2018-03-04T00:00:00"/>
    <d v="2018-03-04T00:00:00"/>
    <x v="0"/>
    <x v="1"/>
    <s v="NF7772"/>
    <n v="1970"/>
    <x v="7"/>
    <x v="2"/>
    <x v="7"/>
    <x v="1"/>
    <x v="6"/>
    <x v="1"/>
  </r>
  <r>
    <d v="2018-04-29T00:00:00"/>
    <d v="2018-03-05T00:00:00"/>
    <d v="2018-04-29T00:00:00"/>
    <x v="0"/>
    <x v="3"/>
    <s v="NF5401"/>
    <n v="729"/>
    <x v="8"/>
    <x v="2"/>
    <x v="7"/>
    <x v="1"/>
    <x v="7"/>
    <x v="1"/>
  </r>
  <r>
    <d v="2018-03-29T00:00:00"/>
    <d v="2018-03-07T00:00:00"/>
    <d v="2018-03-29T00:00:00"/>
    <x v="0"/>
    <x v="2"/>
    <s v="NF9115"/>
    <n v="474"/>
    <x v="7"/>
    <x v="2"/>
    <x v="7"/>
    <x v="1"/>
    <x v="6"/>
    <x v="1"/>
  </r>
  <r>
    <d v="2018-03-09T00:00:00"/>
    <d v="2018-03-09T00:00:00"/>
    <d v="2018-03-09T00:00:00"/>
    <x v="0"/>
    <x v="3"/>
    <s v="NF4115"/>
    <n v="3164"/>
    <x v="7"/>
    <x v="2"/>
    <x v="7"/>
    <x v="1"/>
    <x v="6"/>
    <x v="1"/>
  </r>
  <r>
    <d v="2018-03-14T00:00:00"/>
    <d v="2018-03-14T00:00:00"/>
    <d v="2018-03-14T00:00:00"/>
    <x v="0"/>
    <x v="1"/>
    <s v="NF5683"/>
    <n v="3113"/>
    <x v="7"/>
    <x v="2"/>
    <x v="7"/>
    <x v="1"/>
    <x v="6"/>
    <x v="1"/>
  </r>
  <r>
    <d v="2018-04-11T00:00:00"/>
    <d v="2018-03-17T00:00:00"/>
    <d v="2018-04-11T00:00:00"/>
    <x v="0"/>
    <x v="4"/>
    <s v="NF7027"/>
    <n v="789"/>
    <x v="8"/>
    <x v="2"/>
    <x v="7"/>
    <x v="1"/>
    <x v="7"/>
    <x v="1"/>
  </r>
  <r>
    <d v="2018-06-21T00:00:00"/>
    <d v="2018-03-21T00:00:00"/>
    <d v="2018-04-01T00:00:00"/>
    <x v="0"/>
    <x v="4"/>
    <s v="NF7168"/>
    <n v="3521"/>
    <x v="9"/>
    <x v="2"/>
    <x v="7"/>
    <x v="1"/>
    <x v="7"/>
    <x v="1"/>
  </r>
  <r>
    <d v="2018-03-28T00:00:00"/>
    <d v="2018-03-24T00:00:00"/>
    <d v="2018-03-28T00:00:00"/>
    <x v="0"/>
    <x v="1"/>
    <s v="NF4972"/>
    <n v="4947"/>
    <x v="7"/>
    <x v="2"/>
    <x v="7"/>
    <x v="1"/>
    <x v="6"/>
    <x v="1"/>
  </r>
  <r>
    <d v="2018-03-25T00:00:00"/>
    <d v="2018-03-25T00:00:00"/>
    <d v="2018-03-25T00:00:00"/>
    <x v="0"/>
    <x v="4"/>
    <s v="NF7283"/>
    <n v="1527"/>
    <x v="7"/>
    <x v="2"/>
    <x v="7"/>
    <x v="1"/>
    <x v="6"/>
    <x v="1"/>
  </r>
  <r>
    <d v="2018-05-14T00:00:00"/>
    <d v="2018-04-01T00:00:00"/>
    <d v="2018-05-14T00:00:00"/>
    <x v="0"/>
    <x v="4"/>
    <s v="NF6320"/>
    <n v="764"/>
    <x v="10"/>
    <x v="2"/>
    <x v="8"/>
    <x v="1"/>
    <x v="8"/>
    <x v="1"/>
  </r>
  <r>
    <d v="2018-04-12T00:00:00"/>
    <d v="2018-04-03T00:00:00"/>
    <d v="2018-04-12T00:00:00"/>
    <x v="0"/>
    <x v="2"/>
    <s v="NF7850"/>
    <n v="2463"/>
    <x v="8"/>
    <x v="2"/>
    <x v="8"/>
    <x v="1"/>
    <x v="7"/>
    <x v="1"/>
  </r>
  <r>
    <d v="2018-04-05T00:00:00"/>
    <d v="2018-04-05T00:00:00"/>
    <d v="2018-04-05T00:00:00"/>
    <x v="0"/>
    <x v="3"/>
    <s v="NF2420"/>
    <n v="2111"/>
    <x v="8"/>
    <x v="2"/>
    <x v="8"/>
    <x v="1"/>
    <x v="7"/>
    <x v="1"/>
  </r>
  <r>
    <d v="2018-04-06T00:00:00"/>
    <d v="2018-04-06T00:00:00"/>
    <d v="2018-04-06T00:00:00"/>
    <x v="0"/>
    <x v="1"/>
    <s v="NF6764"/>
    <n v="1144"/>
    <x v="8"/>
    <x v="2"/>
    <x v="8"/>
    <x v="1"/>
    <x v="7"/>
    <x v="1"/>
  </r>
  <r>
    <d v="2018-05-20T00:00:00"/>
    <d v="2018-04-10T00:00:00"/>
    <d v="2018-05-20T00:00:00"/>
    <x v="0"/>
    <x v="3"/>
    <s v="NF6382"/>
    <n v="597"/>
    <x v="10"/>
    <x v="2"/>
    <x v="8"/>
    <x v="1"/>
    <x v="8"/>
    <x v="1"/>
  </r>
  <r>
    <d v="2018-04-16T00:00:00"/>
    <d v="2018-04-16T00:00:00"/>
    <d v="2018-04-16T00:00:00"/>
    <x v="0"/>
    <x v="1"/>
    <s v="NF8079"/>
    <n v="3445"/>
    <x v="8"/>
    <x v="2"/>
    <x v="8"/>
    <x v="1"/>
    <x v="7"/>
    <x v="1"/>
  </r>
  <r>
    <s v=""/>
    <d v="2018-04-22T00:00:00"/>
    <d v="2018-05-02T00:00:00"/>
    <x v="0"/>
    <x v="4"/>
    <s v="NF2434"/>
    <n v="1996"/>
    <x v="2"/>
    <x v="1"/>
    <x v="8"/>
    <x v="1"/>
    <x v="8"/>
    <x v="1"/>
  </r>
  <r>
    <d v="2018-04-28T00:00:00"/>
    <d v="2018-04-28T00:00:00"/>
    <d v="2018-04-28T00:00:00"/>
    <x v="0"/>
    <x v="3"/>
    <s v="NF3230"/>
    <n v="1254"/>
    <x v="8"/>
    <x v="2"/>
    <x v="8"/>
    <x v="1"/>
    <x v="7"/>
    <x v="1"/>
  </r>
  <r>
    <d v="2018-05-03T00:00:00"/>
    <d v="2018-04-29T00:00:00"/>
    <d v="2018-05-03T00:00:00"/>
    <x v="0"/>
    <x v="3"/>
    <s v="NF8847"/>
    <n v="905"/>
    <x v="10"/>
    <x v="2"/>
    <x v="8"/>
    <x v="1"/>
    <x v="8"/>
    <x v="1"/>
  </r>
  <r>
    <s v=""/>
    <d v="2018-05-02T00:00:00"/>
    <d v="2018-05-31T00:00:00"/>
    <x v="0"/>
    <x v="2"/>
    <s v="NF8053"/>
    <n v="2975"/>
    <x v="2"/>
    <x v="1"/>
    <x v="9"/>
    <x v="1"/>
    <x v="8"/>
    <x v="1"/>
  </r>
  <r>
    <s v=""/>
    <d v="2018-05-03T00:00:00"/>
    <d v="2018-05-08T00:00:00"/>
    <x v="0"/>
    <x v="1"/>
    <s v="NF2454"/>
    <n v="4807"/>
    <x v="2"/>
    <x v="1"/>
    <x v="9"/>
    <x v="1"/>
    <x v="8"/>
    <x v="1"/>
  </r>
  <r>
    <d v="2018-06-13T00:00:00"/>
    <d v="2018-05-10T00:00:00"/>
    <d v="2018-06-13T00:00:00"/>
    <x v="0"/>
    <x v="4"/>
    <s v="NF8252"/>
    <n v="1882"/>
    <x v="9"/>
    <x v="2"/>
    <x v="9"/>
    <x v="1"/>
    <x v="9"/>
    <x v="1"/>
  </r>
  <r>
    <d v="2018-06-27T00:00:00"/>
    <d v="2018-05-15T00:00:00"/>
    <d v="2018-06-27T00:00:00"/>
    <x v="0"/>
    <x v="0"/>
    <s v="NF6573"/>
    <n v="3932"/>
    <x v="9"/>
    <x v="2"/>
    <x v="9"/>
    <x v="1"/>
    <x v="9"/>
    <x v="1"/>
  </r>
  <r>
    <d v="2018-05-18T00:00:00"/>
    <d v="2018-05-18T00:00:00"/>
    <d v="2018-05-18T00:00:00"/>
    <x v="0"/>
    <x v="1"/>
    <s v="NF8780"/>
    <n v="701"/>
    <x v="10"/>
    <x v="2"/>
    <x v="9"/>
    <x v="1"/>
    <x v="8"/>
    <x v="1"/>
  </r>
  <r>
    <s v=""/>
    <d v="2018-05-19T00:00:00"/>
    <d v="2018-06-27T00:00:00"/>
    <x v="0"/>
    <x v="1"/>
    <s v="NF6166"/>
    <n v="2651"/>
    <x v="2"/>
    <x v="1"/>
    <x v="9"/>
    <x v="1"/>
    <x v="9"/>
    <x v="1"/>
  </r>
  <r>
    <d v="2018-07-01T00:00:00"/>
    <d v="2018-05-26T00:00:00"/>
    <d v="2018-07-01T00:00:00"/>
    <x v="0"/>
    <x v="1"/>
    <s v="NF8437"/>
    <n v="3792"/>
    <x v="11"/>
    <x v="2"/>
    <x v="9"/>
    <x v="1"/>
    <x v="10"/>
    <x v="1"/>
  </r>
  <r>
    <d v="2018-07-25T00:00:00"/>
    <d v="2018-05-28T00:00:00"/>
    <d v="2018-07-25T00:00:00"/>
    <x v="0"/>
    <x v="0"/>
    <s v="NF6635"/>
    <n v="611"/>
    <x v="11"/>
    <x v="2"/>
    <x v="9"/>
    <x v="1"/>
    <x v="10"/>
    <x v="1"/>
  </r>
  <r>
    <d v="2018-07-11T00:00:00"/>
    <d v="2018-05-31T00:00:00"/>
    <d v="2018-07-11T00:00:00"/>
    <x v="0"/>
    <x v="2"/>
    <s v="NF8734"/>
    <n v="3431"/>
    <x v="11"/>
    <x v="2"/>
    <x v="9"/>
    <x v="1"/>
    <x v="10"/>
    <x v="1"/>
  </r>
  <r>
    <s v=""/>
    <d v="2018-06-02T00:00:00"/>
    <d v="2018-06-02T00:00:00"/>
    <x v="0"/>
    <x v="1"/>
    <s v="NF4208"/>
    <n v="3670"/>
    <x v="2"/>
    <x v="1"/>
    <x v="10"/>
    <x v="1"/>
    <x v="9"/>
    <x v="1"/>
  </r>
  <r>
    <d v="2018-06-08T00:00:00"/>
    <d v="2018-06-04T00:00:00"/>
    <d v="2018-06-08T00:00:00"/>
    <x v="0"/>
    <x v="1"/>
    <s v="NF4923"/>
    <n v="4320"/>
    <x v="9"/>
    <x v="2"/>
    <x v="10"/>
    <x v="1"/>
    <x v="9"/>
    <x v="1"/>
  </r>
  <r>
    <d v="2018-06-05T00:00:00"/>
    <d v="2018-06-05T00:00:00"/>
    <d v="2018-06-05T00:00:00"/>
    <x v="0"/>
    <x v="2"/>
    <s v="NF6782"/>
    <n v="1809"/>
    <x v="9"/>
    <x v="2"/>
    <x v="10"/>
    <x v="1"/>
    <x v="9"/>
    <x v="1"/>
  </r>
  <r>
    <d v="2018-07-25T00:00:00"/>
    <d v="2018-06-07T00:00:00"/>
    <d v="2018-07-25T00:00:00"/>
    <x v="0"/>
    <x v="1"/>
    <s v="NF6280"/>
    <n v="667"/>
    <x v="11"/>
    <x v="2"/>
    <x v="10"/>
    <x v="1"/>
    <x v="10"/>
    <x v="1"/>
  </r>
  <r>
    <d v="2018-06-11T00:00:00"/>
    <d v="2018-06-11T00:00:00"/>
    <d v="2018-06-11T00:00:00"/>
    <x v="0"/>
    <x v="4"/>
    <s v="NF7827"/>
    <n v="1613"/>
    <x v="9"/>
    <x v="2"/>
    <x v="10"/>
    <x v="1"/>
    <x v="9"/>
    <x v="1"/>
  </r>
  <r>
    <d v="2018-07-28T00:00:00"/>
    <d v="2018-06-17T00:00:00"/>
    <d v="2018-07-28T00:00:00"/>
    <x v="0"/>
    <x v="0"/>
    <s v="NF5357"/>
    <n v="3756"/>
    <x v="11"/>
    <x v="2"/>
    <x v="10"/>
    <x v="1"/>
    <x v="10"/>
    <x v="1"/>
  </r>
  <r>
    <d v="2018-06-20T00:00:00"/>
    <d v="2018-06-20T00:00:00"/>
    <d v="2018-06-20T00:00:00"/>
    <x v="0"/>
    <x v="2"/>
    <s v="NF8188"/>
    <n v="3672"/>
    <x v="9"/>
    <x v="2"/>
    <x v="10"/>
    <x v="1"/>
    <x v="9"/>
    <x v="1"/>
  </r>
  <r>
    <s v=""/>
    <d v="2018-06-26T00:00:00"/>
    <d v="2018-07-07T00:00:00"/>
    <x v="0"/>
    <x v="1"/>
    <s v="NF4640"/>
    <n v="658"/>
    <x v="2"/>
    <x v="1"/>
    <x v="10"/>
    <x v="1"/>
    <x v="10"/>
    <x v="1"/>
  </r>
  <r>
    <d v="2018-08-24T00:00:00"/>
    <d v="2018-06-29T00:00:00"/>
    <d v="2018-08-24T00:00:00"/>
    <x v="0"/>
    <x v="2"/>
    <s v="NF2293"/>
    <n v="4762"/>
    <x v="12"/>
    <x v="2"/>
    <x v="10"/>
    <x v="1"/>
    <x v="11"/>
    <x v="1"/>
  </r>
  <r>
    <d v="2018-07-09T00:00:00"/>
    <d v="2018-07-02T00:00:00"/>
    <d v="2018-07-09T00:00:00"/>
    <x v="0"/>
    <x v="0"/>
    <s v="NF2933"/>
    <n v="2186"/>
    <x v="11"/>
    <x v="2"/>
    <x v="11"/>
    <x v="1"/>
    <x v="10"/>
    <x v="1"/>
  </r>
  <r>
    <s v=""/>
    <d v="2018-07-03T00:00:00"/>
    <d v="2018-07-24T00:00:00"/>
    <x v="0"/>
    <x v="2"/>
    <s v="NF4384"/>
    <n v="3411"/>
    <x v="2"/>
    <x v="1"/>
    <x v="11"/>
    <x v="1"/>
    <x v="10"/>
    <x v="1"/>
  </r>
  <r>
    <d v="2018-07-24T00:00:00"/>
    <d v="2018-07-08T00:00:00"/>
    <d v="2018-07-24T00:00:00"/>
    <x v="0"/>
    <x v="2"/>
    <s v="NF8316"/>
    <n v="2524"/>
    <x v="11"/>
    <x v="2"/>
    <x v="11"/>
    <x v="1"/>
    <x v="10"/>
    <x v="1"/>
  </r>
  <r>
    <d v="2018-08-01T00:00:00"/>
    <d v="2018-07-10T00:00:00"/>
    <d v="2018-08-01T00:00:00"/>
    <x v="0"/>
    <x v="0"/>
    <s v="NF1506"/>
    <n v="1709"/>
    <x v="12"/>
    <x v="2"/>
    <x v="11"/>
    <x v="1"/>
    <x v="11"/>
    <x v="1"/>
  </r>
  <r>
    <d v="2018-07-15T00:00:00"/>
    <d v="2018-07-15T00:00:00"/>
    <d v="2018-07-15T00:00:00"/>
    <x v="0"/>
    <x v="1"/>
    <s v="NF4913"/>
    <n v="3181"/>
    <x v="11"/>
    <x v="2"/>
    <x v="11"/>
    <x v="1"/>
    <x v="10"/>
    <x v="1"/>
  </r>
  <r>
    <d v="2018-09-07T00:00:00"/>
    <d v="2018-07-16T00:00:00"/>
    <d v="2018-07-16T00:00:00"/>
    <x v="0"/>
    <x v="3"/>
    <s v="NF8526"/>
    <n v="1108"/>
    <x v="1"/>
    <x v="2"/>
    <x v="11"/>
    <x v="1"/>
    <x v="10"/>
    <x v="1"/>
  </r>
  <r>
    <s v=""/>
    <d v="2018-07-17T00:00:00"/>
    <d v="2018-07-17T00:00:00"/>
    <x v="0"/>
    <x v="1"/>
    <s v="NF9873"/>
    <n v="2777"/>
    <x v="2"/>
    <x v="1"/>
    <x v="11"/>
    <x v="1"/>
    <x v="10"/>
    <x v="1"/>
  </r>
  <r>
    <d v="2018-09-14T00:00:00"/>
    <d v="2018-07-19T00:00:00"/>
    <d v="2018-09-14T00:00:00"/>
    <x v="0"/>
    <x v="0"/>
    <s v="NF9870"/>
    <n v="3793"/>
    <x v="1"/>
    <x v="2"/>
    <x v="11"/>
    <x v="1"/>
    <x v="1"/>
    <x v="1"/>
  </r>
  <r>
    <d v="2018-08-12T00:00:00"/>
    <d v="2018-07-21T00:00:00"/>
    <d v="2018-08-12T00:00:00"/>
    <x v="0"/>
    <x v="2"/>
    <s v="NF5563"/>
    <n v="4217"/>
    <x v="12"/>
    <x v="2"/>
    <x v="11"/>
    <x v="1"/>
    <x v="11"/>
    <x v="1"/>
  </r>
  <r>
    <d v="2018-07-28T00:00:00"/>
    <d v="2018-07-28T00:00:00"/>
    <d v="2018-07-28T00:00:00"/>
    <x v="0"/>
    <x v="1"/>
    <s v="NF5510"/>
    <n v="4850"/>
    <x v="11"/>
    <x v="2"/>
    <x v="11"/>
    <x v="1"/>
    <x v="10"/>
    <x v="1"/>
  </r>
  <r>
    <d v="2018-07-30T00:00:00"/>
    <d v="2018-07-30T00:00:00"/>
    <d v="2018-07-30T00:00:00"/>
    <x v="0"/>
    <x v="2"/>
    <s v="NF1440"/>
    <n v="4309"/>
    <x v="11"/>
    <x v="2"/>
    <x v="11"/>
    <x v="1"/>
    <x v="10"/>
    <x v="1"/>
  </r>
  <r>
    <d v="2018-08-02T00:00:00"/>
    <d v="2018-08-01T00:00:00"/>
    <d v="2018-08-02T00:00:00"/>
    <x v="0"/>
    <x v="3"/>
    <s v="NF2709"/>
    <n v="4462"/>
    <x v="12"/>
    <x v="2"/>
    <x v="0"/>
    <x v="1"/>
    <x v="11"/>
    <x v="1"/>
  </r>
  <r>
    <d v="2018-10-02T00:00:00"/>
    <d v="2018-08-07T00:00:00"/>
    <d v="2018-10-02T00:00:00"/>
    <x v="0"/>
    <x v="4"/>
    <s v="NF9886"/>
    <n v="4947"/>
    <x v="0"/>
    <x v="2"/>
    <x v="0"/>
    <x v="1"/>
    <x v="0"/>
    <x v="1"/>
  </r>
  <r>
    <d v="2018-09-25T00:00:00"/>
    <d v="2018-08-10T00:00:00"/>
    <d v="2018-09-25T00:00:00"/>
    <x v="0"/>
    <x v="0"/>
    <s v="NF6993"/>
    <n v="902"/>
    <x v="1"/>
    <x v="2"/>
    <x v="0"/>
    <x v="1"/>
    <x v="1"/>
    <x v="1"/>
  </r>
  <r>
    <d v="2018-09-23T00:00:00"/>
    <d v="2018-08-12T00:00:00"/>
    <d v="2018-09-23T00:00:00"/>
    <x v="0"/>
    <x v="4"/>
    <s v="NF9126"/>
    <n v="432"/>
    <x v="1"/>
    <x v="2"/>
    <x v="0"/>
    <x v="1"/>
    <x v="1"/>
    <x v="1"/>
  </r>
  <r>
    <d v="2018-09-13T00:00:00"/>
    <d v="2018-08-15T00:00:00"/>
    <d v="2018-09-13T00:00:00"/>
    <x v="0"/>
    <x v="2"/>
    <s v="NF3531"/>
    <n v="4084"/>
    <x v="1"/>
    <x v="2"/>
    <x v="0"/>
    <x v="1"/>
    <x v="1"/>
    <x v="1"/>
  </r>
  <r>
    <d v="2018-09-16T00:00:00"/>
    <d v="2018-08-22T00:00:00"/>
    <d v="2018-09-16T00:00:00"/>
    <x v="0"/>
    <x v="1"/>
    <s v="NF6599"/>
    <n v="1054"/>
    <x v="1"/>
    <x v="2"/>
    <x v="0"/>
    <x v="1"/>
    <x v="1"/>
    <x v="1"/>
  </r>
  <r>
    <d v="2018-09-09T00:00:00"/>
    <d v="2018-08-23T00:00:00"/>
    <d v="2018-09-09T00:00:00"/>
    <x v="0"/>
    <x v="4"/>
    <s v="NF9323"/>
    <n v="4608"/>
    <x v="1"/>
    <x v="2"/>
    <x v="0"/>
    <x v="1"/>
    <x v="1"/>
    <x v="1"/>
  </r>
  <r>
    <d v="2018-08-28T00:00:00"/>
    <d v="2018-08-28T00:00:00"/>
    <d v="2018-08-28T00:00:00"/>
    <x v="0"/>
    <x v="0"/>
    <s v="NF3529"/>
    <n v="1238"/>
    <x v="12"/>
    <x v="2"/>
    <x v="0"/>
    <x v="1"/>
    <x v="11"/>
    <x v="1"/>
  </r>
  <r>
    <d v="2018-09-27T00:00:00"/>
    <d v="2018-09-03T00:00:00"/>
    <d v="2018-09-27T00:00:00"/>
    <x v="0"/>
    <x v="1"/>
    <s v="NF5824"/>
    <n v="1342"/>
    <x v="1"/>
    <x v="2"/>
    <x v="1"/>
    <x v="1"/>
    <x v="1"/>
    <x v="1"/>
  </r>
  <r>
    <d v="2018-10-29T00:00:00"/>
    <d v="2018-09-07T00:00:00"/>
    <d v="2018-10-29T00:00:00"/>
    <x v="0"/>
    <x v="4"/>
    <s v="NF3860"/>
    <n v="2936"/>
    <x v="0"/>
    <x v="2"/>
    <x v="1"/>
    <x v="1"/>
    <x v="0"/>
    <x v="1"/>
  </r>
  <r>
    <d v="2018-10-08T00:00:00"/>
    <d v="2018-09-08T00:00:00"/>
    <d v="2018-10-08T00:00:00"/>
    <x v="0"/>
    <x v="1"/>
    <s v="NF7260"/>
    <n v="875"/>
    <x v="0"/>
    <x v="2"/>
    <x v="1"/>
    <x v="1"/>
    <x v="0"/>
    <x v="1"/>
  </r>
  <r>
    <s v=""/>
    <d v="2018-09-10T00:00:00"/>
    <d v="2018-09-10T00:00:00"/>
    <x v="0"/>
    <x v="3"/>
    <s v="NF2238"/>
    <n v="159"/>
    <x v="2"/>
    <x v="1"/>
    <x v="1"/>
    <x v="1"/>
    <x v="1"/>
    <x v="1"/>
  </r>
  <r>
    <s v=""/>
    <d v="2018-09-15T00:00:00"/>
    <d v="2018-09-15T00:00:00"/>
    <x v="0"/>
    <x v="1"/>
    <s v="NF7342"/>
    <n v="2933"/>
    <x v="2"/>
    <x v="1"/>
    <x v="1"/>
    <x v="1"/>
    <x v="1"/>
    <x v="1"/>
  </r>
  <r>
    <d v="2018-11-01T00:00:00"/>
    <d v="2018-09-15T00:00:00"/>
    <d v="2018-11-01T00:00:00"/>
    <x v="0"/>
    <x v="1"/>
    <s v="NF8517"/>
    <n v="4944"/>
    <x v="3"/>
    <x v="2"/>
    <x v="1"/>
    <x v="1"/>
    <x v="2"/>
    <x v="1"/>
  </r>
  <r>
    <d v="2018-10-04T00:00:00"/>
    <d v="2018-09-19T00:00:00"/>
    <d v="2018-10-04T00:00:00"/>
    <x v="0"/>
    <x v="0"/>
    <s v="NF9366"/>
    <n v="4173"/>
    <x v="0"/>
    <x v="2"/>
    <x v="1"/>
    <x v="1"/>
    <x v="0"/>
    <x v="1"/>
  </r>
  <r>
    <d v="2018-10-02T00:00:00"/>
    <d v="2018-09-24T00:00:00"/>
    <d v="2018-10-02T00:00:00"/>
    <x v="0"/>
    <x v="4"/>
    <s v="NF4973"/>
    <n v="2065"/>
    <x v="0"/>
    <x v="2"/>
    <x v="1"/>
    <x v="1"/>
    <x v="0"/>
    <x v="1"/>
  </r>
  <r>
    <d v="2018-11-18T00:00:00"/>
    <d v="2018-09-28T00:00:00"/>
    <d v="2018-11-18T00:00:00"/>
    <x v="0"/>
    <x v="2"/>
    <s v="NF1111"/>
    <n v="521"/>
    <x v="3"/>
    <x v="2"/>
    <x v="1"/>
    <x v="1"/>
    <x v="2"/>
    <x v="1"/>
  </r>
  <r>
    <s v=""/>
    <d v="2018-10-01T00:00:00"/>
    <d v="2018-11-13T00:00:00"/>
    <x v="0"/>
    <x v="2"/>
    <s v="NF8344"/>
    <n v="819"/>
    <x v="2"/>
    <x v="1"/>
    <x v="2"/>
    <x v="1"/>
    <x v="2"/>
    <x v="1"/>
  </r>
  <r>
    <d v="2018-10-04T00:00:00"/>
    <d v="2018-10-04T00:00:00"/>
    <d v="2018-10-04T00:00:00"/>
    <x v="0"/>
    <x v="0"/>
    <s v="NF8750"/>
    <n v="1260"/>
    <x v="0"/>
    <x v="2"/>
    <x v="2"/>
    <x v="1"/>
    <x v="0"/>
    <x v="1"/>
  </r>
  <r>
    <d v="2018-10-16T00:00:00"/>
    <d v="2018-10-10T00:00:00"/>
    <d v="2018-10-16T00:00:00"/>
    <x v="0"/>
    <x v="4"/>
    <s v="NF7616"/>
    <n v="2998"/>
    <x v="0"/>
    <x v="2"/>
    <x v="2"/>
    <x v="1"/>
    <x v="0"/>
    <x v="1"/>
  </r>
  <r>
    <d v="2019-01-03T00:00:00"/>
    <d v="2018-10-12T00:00:00"/>
    <d v="2018-10-31T00:00:00"/>
    <x v="0"/>
    <x v="4"/>
    <s v="NF3536"/>
    <n v="4287"/>
    <x v="5"/>
    <x v="3"/>
    <x v="2"/>
    <x v="1"/>
    <x v="0"/>
    <x v="1"/>
  </r>
  <r>
    <d v="2018-12-14T00:00:00"/>
    <d v="2018-10-14T00:00:00"/>
    <d v="2018-10-14T00:00:00"/>
    <x v="0"/>
    <x v="3"/>
    <s v="NF9376"/>
    <n v="2015"/>
    <x v="4"/>
    <x v="2"/>
    <x v="2"/>
    <x v="1"/>
    <x v="0"/>
    <x v="1"/>
  </r>
  <r>
    <d v="2018-12-15T00:00:00"/>
    <d v="2018-10-20T00:00:00"/>
    <d v="2018-12-15T00:00:00"/>
    <x v="0"/>
    <x v="3"/>
    <s v="NF1222"/>
    <n v="3369"/>
    <x v="4"/>
    <x v="2"/>
    <x v="2"/>
    <x v="1"/>
    <x v="3"/>
    <x v="1"/>
  </r>
  <r>
    <d v="2018-10-21T00:00:00"/>
    <d v="2018-10-21T00:00:00"/>
    <d v="2018-10-21T00:00:00"/>
    <x v="0"/>
    <x v="1"/>
    <s v="NF3914"/>
    <n v="4851"/>
    <x v="0"/>
    <x v="2"/>
    <x v="2"/>
    <x v="1"/>
    <x v="0"/>
    <x v="1"/>
  </r>
  <r>
    <d v="2018-12-15T00:00:00"/>
    <d v="2018-10-25T00:00:00"/>
    <d v="2018-12-15T00:00:00"/>
    <x v="0"/>
    <x v="1"/>
    <s v="NF7447"/>
    <n v="2178"/>
    <x v="4"/>
    <x v="2"/>
    <x v="2"/>
    <x v="1"/>
    <x v="3"/>
    <x v="1"/>
  </r>
  <r>
    <d v="2018-11-20T00:00:00"/>
    <d v="2018-10-27T00:00:00"/>
    <d v="2018-11-20T00:00:00"/>
    <x v="0"/>
    <x v="3"/>
    <s v="NF5088"/>
    <n v="4052"/>
    <x v="3"/>
    <x v="2"/>
    <x v="2"/>
    <x v="1"/>
    <x v="2"/>
    <x v="1"/>
  </r>
  <r>
    <d v="2018-10-30T00:00:00"/>
    <d v="2018-10-30T00:00:00"/>
    <d v="2018-10-30T00:00:00"/>
    <x v="0"/>
    <x v="4"/>
    <s v="NF7858"/>
    <n v="2864"/>
    <x v="0"/>
    <x v="2"/>
    <x v="2"/>
    <x v="1"/>
    <x v="0"/>
    <x v="1"/>
  </r>
  <r>
    <d v="2018-12-27T00:00:00"/>
    <d v="2018-11-01T00:00:00"/>
    <d v="2018-12-27T00:00:00"/>
    <x v="0"/>
    <x v="1"/>
    <s v="NF7692"/>
    <n v="2425"/>
    <x v="4"/>
    <x v="2"/>
    <x v="3"/>
    <x v="1"/>
    <x v="3"/>
    <x v="1"/>
  </r>
  <r>
    <d v="2019-01-01T00:00:00"/>
    <d v="2018-11-03T00:00:00"/>
    <d v="2019-01-01T00:00:00"/>
    <x v="0"/>
    <x v="4"/>
    <s v="NF7390"/>
    <n v="1542"/>
    <x v="5"/>
    <x v="3"/>
    <x v="3"/>
    <x v="1"/>
    <x v="4"/>
    <x v="2"/>
  </r>
  <r>
    <d v="2018-12-12T00:00:00"/>
    <d v="2018-11-08T00:00:00"/>
    <d v="2018-12-12T00:00:00"/>
    <x v="0"/>
    <x v="1"/>
    <s v="NF6262"/>
    <n v="1736"/>
    <x v="4"/>
    <x v="2"/>
    <x v="3"/>
    <x v="1"/>
    <x v="3"/>
    <x v="1"/>
  </r>
  <r>
    <d v="2019-01-20T00:00:00"/>
    <d v="2018-11-11T00:00:00"/>
    <d v="2019-01-09T00:00:00"/>
    <x v="0"/>
    <x v="2"/>
    <s v="NF9573"/>
    <n v="1628"/>
    <x v="5"/>
    <x v="3"/>
    <x v="3"/>
    <x v="1"/>
    <x v="4"/>
    <x v="2"/>
  </r>
  <r>
    <s v=""/>
    <d v="2018-11-13T00:00:00"/>
    <d v="2018-11-13T00:00:00"/>
    <x v="0"/>
    <x v="1"/>
    <s v="NF8087"/>
    <n v="3853"/>
    <x v="2"/>
    <x v="1"/>
    <x v="3"/>
    <x v="1"/>
    <x v="2"/>
    <x v="1"/>
  </r>
  <r>
    <d v="2018-12-17T00:00:00"/>
    <d v="2018-11-17T00:00:00"/>
    <d v="2018-12-17T00:00:00"/>
    <x v="0"/>
    <x v="2"/>
    <s v="NF5909"/>
    <n v="883"/>
    <x v="4"/>
    <x v="2"/>
    <x v="3"/>
    <x v="1"/>
    <x v="3"/>
    <x v="1"/>
  </r>
  <r>
    <d v="2018-11-27T00:00:00"/>
    <d v="2018-11-17T00:00:00"/>
    <d v="2018-11-17T00:00:00"/>
    <x v="0"/>
    <x v="1"/>
    <s v="NF4172"/>
    <n v="976"/>
    <x v="3"/>
    <x v="2"/>
    <x v="3"/>
    <x v="1"/>
    <x v="2"/>
    <x v="1"/>
  </r>
  <r>
    <d v="2018-11-20T00:00:00"/>
    <d v="2018-11-20T00:00:00"/>
    <d v="2018-11-20T00:00:00"/>
    <x v="0"/>
    <x v="2"/>
    <s v="NF8957"/>
    <n v="2663"/>
    <x v="3"/>
    <x v="2"/>
    <x v="3"/>
    <x v="1"/>
    <x v="2"/>
    <x v="1"/>
  </r>
  <r>
    <d v="2018-11-26T00:00:00"/>
    <d v="2018-11-26T00:00:00"/>
    <d v="2018-11-26T00:00:00"/>
    <x v="0"/>
    <x v="1"/>
    <s v="NF2981"/>
    <n v="4888"/>
    <x v="3"/>
    <x v="2"/>
    <x v="3"/>
    <x v="1"/>
    <x v="2"/>
    <x v="1"/>
  </r>
  <r>
    <d v="2018-11-29T00:00:00"/>
    <d v="2018-11-29T00:00:00"/>
    <d v="2018-11-29T00:00:00"/>
    <x v="0"/>
    <x v="2"/>
    <s v="NF5104"/>
    <n v="2030"/>
    <x v="3"/>
    <x v="2"/>
    <x v="3"/>
    <x v="1"/>
    <x v="2"/>
    <x v="1"/>
  </r>
  <r>
    <d v="2019-01-20T00:00:00"/>
    <d v="2018-12-02T00:00:00"/>
    <d v="2019-01-20T00:00:00"/>
    <x v="0"/>
    <x v="1"/>
    <s v="NF3942"/>
    <n v="2117"/>
    <x v="5"/>
    <x v="3"/>
    <x v="4"/>
    <x v="1"/>
    <x v="4"/>
    <x v="2"/>
  </r>
  <r>
    <d v="2019-01-29T00:00:00"/>
    <d v="2018-12-04T00:00:00"/>
    <d v="2019-01-29T00:00:00"/>
    <x v="0"/>
    <x v="1"/>
    <s v="NF6376"/>
    <n v="1236"/>
    <x v="5"/>
    <x v="3"/>
    <x v="4"/>
    <x v="1"/>
    <x v="4"/>
    <x v="2"/>
  </r>
  <r>
    <d v="2018-12-31T00:00:00"/>
    <d v="2018-12-09T00:00:00"/>
    <d v="2018-12-31T00:00:00"/>
    <x v="0"/>
    <x v="1"/>
    <s v="NF7518"/>
    <n v="426"/>
    <x v="4"/>
    <x v="2"/>
    <x v="4"/>
    <x v="1"/>
    <x v="3"/>
    <x v="1"/>
  </r>
  <r>
    <d v="2018-12-10T00:00:00"/>
    <d v="2018-12-10T00:00:00"/>
    <d v="2018-12-10T00:00:00"/>
    <x v="0"/>
    <x v="4"/>
    <s v="NF5359"/>
    <n v="3956"/>
    <x v="4"/>
    <x v="2"/>
    <x v="4"/>
    <x v="1"/>
    <x v="3"/>
    <x v="1"/>
  </r>
  <r>
    <s v=""/>
    <d v="2018-12-14T00:00:00"/>
    <d v="2019-01-15T00:00:00"/>
    <x v="0"/>
    <x v="1"/>
    <s v="NF5153"/>
    <n v="3042"/>
    <x v="2"/>
    <x v="1"/>
    <x v="4"/>
    <x v="1"/>
    <x v="4"/>
    <x v="2"/>
  </r>
  <r>
    <d v="2018-12-15T00:00:00"/>
    <d v="2018-12-15T00:00:00"/>
    <d v="2018-12-15T00:00:00"/>
    <x v="0"/>
    <x v="1"/>
    <s v="NF3127"/>
    <n v="1434"/>
    <x v="4"/>
    <x v="2"/>
    <x v="4"/>
    <x v="1"/>
    <x v="3"/>
    <x v="1"/>
  </r>
  <r>
    <d v="2019-01-22T00:00:00"/>
    <d v="2018-12-18T00:00:00"/>
    <d v="2019-01-22T00:00:00"/>
    <x v="0"/>
    <x v="0"/>
    <s v="NF7641"/>
    <n v="1782"/>
    <x v="5"/>
    <x v="3"/>
    <x v="4"/>
    <x v="1"/>
    <x v="4"/>
    <x v="2"/>
  </r>
  <r>
    <d v="2019-02-18T00:00:00"/>
    <d v="2018-12-25T00:00:00"/>
    <d v="2019-02-18T00:00:00"/>
    <x v="0"/>
    <x v="1"/>
    <s v="NF2758"/>
    <n v="365"/>
    <x v="6"/>
    <x v="3"/>
    <x v="4"/>
    <x v="1"/>
    <x v="5"/>
    <x v="2"/>
  </r>
  <r>
    <d v="2019-01-26T00:00:00"/>
    <d v="2018-12-27T00:00:00"/>
    <d v="2019-01-26T00:00:00"/>
    <x v="0"/>
    <x v="1"/>
    <s v="NF9279"/>
    <n v="2757"/>
    <x v="5"/>
    <x v="3"/>
    <x v="4"/>
    <x v="1"/>
    <x v="4"/>
    <x v="2"/>
  </r>
  <r>
    <d v="2019-02-19T00:00:00"/>
    <d v="2018-12-30T00:00:00"/>
    <d v="2019-02-19T00:00:00"/>
    <x v="0"/>
    <x v="0"/>
    <s v="NF2386"/>
    <n v="2112"/>
    <x v="6"/>
    <x v="3"/>
    <x v="4"/>
    <x v="1"/>
    <x v="5"/>
    <x v="2"/>
  </r>
  <r>
    <d v="2019-01-02T00:00:00"/>
    <d v="2019-01-02T00:00:00"/>
    <d v="2019-01-02T00:00:00"/>
    <x v="0"/>
    <x v="0"/>
    <s v="NF6751"/>
    <n v="2190"/>
    <x v="5"/>
    <x v="3"/>
    <x v="5"/>
    <x v="2"/>
    <x v="4"/>
    <x v="2"/>
  </r>
  <r>
    <d v="2019-01-20T00:00:00"/>
    <d v="2019-01-04T00:00:00"/>
    <d v="2019-01-20T00:00:00"/>
    <x v="0"/>
    <x v="1"/>
    <s v="NF9460"/>
    <n v="2998"/>
    <x v="5"/>
    <x v="3"/>
    <x v="5"/>
    <x v="2"/>
    <x v="4"/>
    <x v="2"/>
  </r>
  <r>
    <d v="2019-02-05T00:00:00"/>
    <d v="2019-01-11T00:00:00"/>
    <d v="2019-02-05T00:00:00"/>
    <x v="0"/>
    <x v="1"/>
    <s v="NF5556"/>
    <n v="3808"/>
    <x v="6"/>
    <x v="3"/>
    <x v="5"/>
    <x v="2"/>
    <x v="5"/>
    <x v="2"/>
  </r>
  <r>
    <d v="2019-04-14T00:00:00"/>
    <d v="2019-01-14T00:00:00"/>
    <d v="2019-01-30T00:00:00"/>
    <x v="0"/>
    <x v="1"/>
    <s v="NF4918"/>
    <n v="4928"/>
    <x v="8"/>
    <x v="3"/>
    <x v="5"/>
    <x v="2"/>
    <x v="4"/>
    <x v="2"/>
  </r>
  <r>
    <d v="2019-01-17T00:00:00"/>
    <d v="2019-01-17T00:00:00"/>
    <d v="2019-01-17T00:00:00"/>
    <x v="0"/>
    <x v="0"/>
    <s v="NF1763"/>
    <n v="4179"/>
    <x v="5"/>
    <x v="3"/>
    <x v="5"/>
    <x v="2"/>
    <x v="4"/>
    <x v="2"/>
  </r>
  <r>
    <d v="2019-02-03T00:00:00"/>
    <d v="2019-01-19T00:00:00"/>
    <d v="2019-02-03T00:00:00"/>
    <x v="0"/>
    <x v="4"/>
    <s v="NF2024"/>
    <n v="4896"/>
    <x v="6"/>
    <x v="3"/>
    <x v="5"/>
    <x v="2"/>
    <x v="5"/>
    <x v="2"/>
  </r>
  <r>
    <d v="2019-01-22T00:00:00"/>
    <d v="2019-01-22T00:00:00"/>
    <d v="2019-01-22T00:00:00"/>
    <x v="0"/>
    <x v="0"/>
    <s v="NF8079"/>
    <n v="4092"/>
    <x v="5"/>
    <x v="3"/>
    <x v="5"/>
    <x v="2"/>
    <x v="4"/>
    <x v="2"/>
  </r>
  <r>
    <d v="2019-01-27T00:00:00"/>
    <d v="2019-01-27T00:00:00"/>
    <d v="2019-01-27T00:00:00"/>
    <x v="0"/>
    <x v="1"/>
    <s v="NF6383"/>
    <n v="2956"/>
    <x v="5"/>
    <x v="3"/>
    <x v="5"/>
    <x v="2"/>
    <x v="4"/>
    <x v="2"/>
  </r>
  <r>
    <s v=""/>
    <d v="2019-01-31T00:00:00"/>
    <d v="2019-02-13T00:00:00"/>
    <x v="0"/>
    <x v="0"/>
    <s v="NF3919"/>
    <n v="533"/>
    <x v="2"/>
    <x v="1"/>
    <x v="5"/>
    <x v="2"/>
    <x v="5"/>
    <x v="2"/>
  </r>
  <r>
    <d v="2019-02-24T00:00:00"/>
    <d v="2019-02-01T00:00:00"/>
    <d v="2019-02-24T00:00:00"/>
    <x v="0"/>
    <x v="2"/>
    <s v="NF1390"/>
    <n v="3519"/>
    <x v="6"/>
    <x v="3"/>
    <x v="6"/>
    <x v="2"/>
    <x v="5"/>
    <x v="2"/>
  </r>
  <r>
    <d v="2019-02-03T00:00:00"/>
    <d v="2019-02-03T00:00:00"/>
    <d v="2019-02-03T00:00:00"/>
    <x v="0"/>
    <x v="4"/>
    <s v="NF2500"/>
    <n v="757"/>
    <x v="6"/>
    <x v="3"/>
    <x v="6"/>
    <x v="2"/>
    <x v="5"/>
    <x v="2"/>
  </r>
  <r>
    <s v=""/>
    <d v="2019-02-07T00:00:00"/>
    <d v="2019-02-07T00:00:00"/>
    <x v="0"/>
    <x v="1"/>
    <s v="NF2427"/>
    <n v="2688"/>
    <x v="2"/>
    <x v="1"/>
    <x v="6"/>
    <x v="2"/>
    <x v="5"/>
    <x v="2"/>
  </r>
  <r>
    <d v="2019-02-09T00:00:00"/>
    <d v="2019-02-09T00:00:00"/>
    <d v="2019-02-09T00:00:00"/>
    <x v="0"/>
    <x v="3"/>
    <s v="NF4680"/>
    <n v="340"/>
    <x v="6"/>
    <x v="3"/>
    <x v="6"/>
    <x v="2"/>
    <x v="5"/>
    <x v="2"/>
  </r>
  <r>
    <d v="2019-02-12T00:00:00"/>
    <d v="2019-02-10T00:00:00"/>
    <d v="2019-02-12T00:00:00"/>
    <x v="0"/>
    <x v="3"/>
    <s v="NF7019"/>
    <n v="4204"/>
    <x v="6"/>
    <x v="3"/>
    <x v="6"/>
    <x v="2"/>
    <x v="5"/>
    <x v="2"/>
  </r>
  <r>
    <d v="2019-03-31T00:00:00"/>
    <d v="2019-02-12T00:00:00"/>
    <d v="2019-03-31T00:00:00"/>
    <x v="0"/>
    <x v="2"/>
    <s v="NF4961"/>
    <n v="3695"/>
    <x v="7"/>
    <x v="3"/>
    <x v="6"/>
    <x v="2"/>
    <x v="6"/>
    <x v="2"/>
  </r>
  <r>
    <d v="2019-02-21T00:00:00"/>
    <d v="2019-02-21T00:00:00"/>
    <d v="2019-02-21T00:00:00"/>
    <x v="0"/>
    <x v="0"/>
    <s v="NF4608"/>
    <n v="4148"/>
    <x v="6"/>
    <x v="3"/>
    <x v="6"/>
    <x v="2"/>
    <x v="5"/>
    <x v="2"/>
  </r>
  <r>
    <s v=""/>
    <d v="2019-02-25T00:00:00"/>
    <d v="2019-02-25T00:00:00"/>
    <x v="0"/>
    <x v="1"/>
    <s v="NF1913"/>
    <n v="4303"/>
    <x v="2"/>
    <x v="1"/>
    <x v="6"/>
    <x v="2"/>
    <x v="5"/>
    <x v="2"/>
  </r>
  <r>
    <d v="2019-03-07T00:00:00"/>
    <d v="2019-02-27T00:00:00"/>
    <d v="2019-03-07T00:00:00"/>
    <x v="0"/>
    <x v="3"/>
    <s v="NF5844"/>
    <n v="2674"/>
    <x v="7"/>
    <x v="3"/>
    <x v="6"/>
    <x v="2"/>
    <x v="6"/>
    <x v="2"/>
  </r>
  <r>
    <d v="2019-04-14T00:00:00"/>
    <d v="2019-03-02T00:00:00"/>
    <d v="2019-04-14T00:00:00"/>
    <x v="0"/>
    <x v="4"/>
    <s v="NF7813"/>
    <n v="1720"/>
    <x v="8"/>
    <x v="3"/>
    <x v="7"/>
    <x v="2"/>
    <x v="7"/>
    <x v="2"/>
  </r>
  <r>
    <d v="2019-04-12T00:00:00"/>
    <d v="2019-03-06T00:00:00"/>
    <d v="2019-04-12T00:00:00"/>
    <x v="0"/>
    <x v="4"/>
    <s v="NF6780"/>
    <n v="1854"/>
    <x v="8"/>
    <x v="3"/>
    <x v="7"/>
    <x v="2"/>
    <x v="7"/>
    <x v="2"/>
  </r>
  <r>
    <d v="2019-03-08T00:00:00"/>
    <d v="2019-03-08T00:00:00"/>
    <d v="2019-03-08T00:00:00"/>
    <x v="0"/>
    <x v="1"/>
    <s v="NF9599"/>
    <n v="2568"/>
    <x v="7"/>
    <x v="3"/>
    <x v="7"/>
    <x v="2"/>
    <x v="6"/>
    <x v="2"/>
  </r>
  <r>
    <s v=""/>
    <d v="2019-03-08T00:00:00"/>
    <d v="2019-04-17T00:00:00"/>
    <x v="0"/>
    <x v="1"/>
    <s v="NF8659"/>
    <n v="3690"/>
    <x v="2"/>
    <x v="1"/>
    <x v="7"/>
    <x v="2"/>
    <x v="7"/>
    <x v="2"/>
  </r>
  <r>
    <d v="2019-04-15T00:00:00"/>
    <d v="2019-03-10T00:00:00"/>
    <d v="2019-04-15T00:00:00"/>
    <x v="0"/>
    <x v="0"/>
    <s v="NF4652"/>
    <n v="3746"/>
    <x v="8"/>
    <x v="3"/>
    <x v="7"/>
    <x v="2"/>
    <x v="7"/>
    <x v="2"/>
  </r>
  <r>
    <d v="2019-03-12T00:00:00"/>
    <d v="2019-03-12T00:00:00"/>
    <d v="2019-03-12T00:00:00"/>
    <x v="0"/>
    <x v="4"/>
    <s v="NF3068"/>
    <n v="4360"/>
    <x v="7"/>
    <x v="3"/>
    <x v="7"/>
    <x v="2"/>
    <x v="6"/>
    <x v="2"/>
  </r>
  <r>
    <d v="2019-04-21T00:00:00"/>
    <d v="2019-03-13T00:00:00"/>
    <d v="2019-04-21T00:00:00"/>
    <x v="0"/>
    <x v="0"/>
    <s v="NF7141"/>
    <n v="1753"/>
    <x v="8"/>
    <x v="3"/>
    <x v="7"/>
    <x v="2"/>
    <x v="7"/>
    <x v="2"/>
  </r>
  <r>
    <d v="2019-03-19T00:00:00"/>
    <d v="2019-03-16T00:00:00"/>
    <d v="2019-03-19T00:00:00"/>
    <x v="0"/>
    <x v="4"/>
    <s v="NF3366"/>
    <n v="1421"/>
    <x v="7"/>
    <x v="3"/>
    <x v="7"/>
    <x v="2"/>
    <x v="6"/>
    <x v="2"/>
  </r>
  <r>
    <d v="2019-03-19T00:00:00"/>
    <d v="2019-03-19T00:00:00"/>
    <d v="2019-03-19T00:00:00"/>
    <x v="0"/>
    <x v="0"/>
    <s v="NF8853"/>
    <n v="3565"/>
    <x v="7"/>
    <x v="3"/>
    <x v="7"/>
    <x v="2"/>
    <x v="6"/>
    <x v="2"/>
  </r>
  <r>
    <d v="2019-05-01T00:00:00"/>
    <d v="2019-03-22T00:00:00"/>
    <d v="2019-05-01T00:00:00"/>
    <x v="0"/>
    <x v="1"/>
    <s v="NF7681"/>
    <n v="1961"/>
    <x v="10"/>
    <x v="3"/>
    <x v="7"/>
    <x v="2"/>
    <x v="8"/>
    <x v="2"/>
  </r>
  <r>
    <d v="2019-03-27T00:00:00"/>
    <d v="2019-03-27T00:00:00"/>
    <d v="2019-03-27T00:00:00"/>
    <x v="0"/>
    <x v="3"/>
    <s v="NF1441"/>
    <n v="4854"/>
    <x v="7"/>
    <x v="3"/>
    <x v="7"/>
    <x v="2"/>
    <x v="6"/>
    <x v="2"/>
  </r>
  <r>
    <d v="2019-04-02T00:00:00"/>
    <d v="2019-04-02T00:00:00"/>
    <d v="2019-04-02T00:00:00"/>
    <x v="0"/>
    <x v="4"/>
    <s v="NF9964"/>
    <n v="3453"/>
    <x v="8"/>
    <x v="3"/>
    <x v="8"/>
    <x v="2"/>
    <x v="7"/>
    <x v="2"/>
  </r>
  <r>
    <d v="2019-04-05T00:00:00"/>
    <d v="2019-04-03T00:00:00"/>
    <d v="2019-04-05T00:00:00"/>
    <x v="0"/>
    <x v="1"/>
    <s v="NF9101"/>
    <n v="3341"/>
    <x v="8"/>
    <x v="3"/>
    <x v="8"/>
    <x v="2"/>
    <x v="7"/>
    <x v="2"/>
  </r>
  <r>
    <s v=""/>
    <d v="2019-04-06T00:00:00"/>
    <d v="2019-05-20T00:00:00"/>
    <x v="0"/>
    <x v="3"/>
    <s v="NF3185"/>
    <n v="2707"/>
    <x v="2"/>
    <x v="1"/>
    <x v="8"/>
    <x v="2"/>
    <x v="8"/>
    <x v="2"/>
  </r>
  <r>
    <d v="2019-07-01T00:00:00"/>
    <d v="2019-04-08T00:00:00"/>
    <d v="2019-05-18T00:00:00"/>
    <x v="0"/>
    <x v="1"/>
    <s v="NF2836"/>
    <n v="1582"/>
    <x v="11"/>
    <x v="3"/>
    <x v="8"/>
    <x v="2"/>
    <x v="8"/>
    <x v="2"/>
  </r>
  <r>
    <d v="2019-04-23T00:00:00"/>
    <d v="2019-04-10T00:00:00"/>
    <d v="2019-04-10T00:00:00"/>
    <x v="0"/>
    <x v="1"/>
    <s v="NF7779"/>
    <n v="3889"/>
    <x v="8"/>
    <x v="3"/>
    <x v="8"/>
    <x v="2"/>
    <x v="7"/>
    <x v="2"/>
  </r>
  <r>
    <d v="2019-04-29T00:00:00"/>
    <d v="2019-04-14T00:00:00"/>
    <d v="2019-04-29T00:00:00"/>
    <x v="0"/>
    <x v="1"/>
    <s v="NF5919"/>
    <n v="2303"/>
    <x v="8"/>
    <x v="3"/>
    <x v="8"/>
    <x v="2"/>
    <x v="7"/>
    <x v="2"/>
  </r>
  <r>
    <d v="2019-04-17T00:00:00"/>
    <d v="2019-04-17T00:00:00"/>
    <d v="2019-04-17T00:00:00"/>
    <x v="0"/>
    <x v="2"/>
    <s v="NF1620"/>
    <n v="802"/>
    <x v="8"/>
    <x v="3"/>
    <x v="8"/>
    <x v="2"/>
    <x v="7"/>
    <x v="2"/>
  </r>
  <r>
    <s v=""/>
    <d v="2019-04-19T00:00:00"/>
    <d v="2019-05-04T00:00:00"/>
    <x v="0"/>
    <x v="1"/>
    <s v="NF3801"/>
    <n v="4513"/>
    <x v="2"/>
    <x v="1"/>
    <x v="8"/>
    <x v="2"/>
    <x v="8"/>
    <x v="2"/>
  </r>
  <r>
    <d v="2019-05-01T00:00:00"/>
    <d v="2019-04-21T00:00:00"/>
    <d v="2019-05-01T00:00:00"/>
    <x v="0"/>
    <x v="1"/>
    <s v="NF8086"/>
    <n v="3908"/>
    <x v="10"/>
    <x v="3"/>
    <x v="8"/>
    <x v="2"/>
    <x v="8"/>
    <x v="2"/>
  </r>
  <r>
    <d v="2019-07-15T00:00:00"/>
    <d v="2019-04-25T00:00:00"/>
    <d v="2019-06-19T00:00:00"/>
    <x v="0"/>
    <x v="1"/>
    <s v="NF4964"/>
    <n v="156"/>
    <x v="11"/>
    <x v="3"/>
    <x v="8"/>
    <x v="2"/>
    <x v="9"/>
    <x v="2"/>
  </r>
  <r>
    <d v="2019-06-06T00:00:00"/>
    <d v="2019-04-27T00:00:00"/>
    <d v="2019-06-06T00:00:00"/>
    <x v="0"/>
    <x v="2"/>
    <s v="NF6112"/>
    <n v="457"/>
    <x v="9"/>
    <x v="3"/>
    <x v="8"/>
    <x v="2"/>
    <x v="9"/>
    <x v="2"/>
  </r>
  <r>
    <d v="2019-06-08T00:00:00"/>
    <d v="2019-05-03T00:00:00"/>
    <d v="2019-06-08T00:00:00"/>
    <x v="0"/>
    <x v="1"/>
    <s v="NF2333"/>
    <n v="3536"/>
    <x v="9"/>
    <x v="3"/>
    <x v="9"/>
    <x v="2"/>
    <x v="9"/>
    <x v="2"/>
  </r>
  <r>
    <d v="2019-05-10T00:00:00"/>
    <d v="2019-05-05T00:00:00"/>
    <d v="2019-05-10T00:00:00"/>
    <x v="0"/>
    <x v="1"/>
    <s v="NF7121"/>
    <n v="1809"/>
    <x v="10"/>
    <x v="3"/>
    <x v="9"/>
    <x v="2"/>
    <x v="8"/>
    <x v="2"/>
  </r>
  <r>
    <d v="2019-05-28T00:00:00"/>
    <d v="2019-05-06T00:00:00"/>
    <d v="2019-05-28T00:00:00"/>
    <x v="0"/>
    <x v="2"/>
    <s v="NF8208"/>
    <n v="4172"/>
    <x v="10"/>
    <x v="3"/>
    <x v="9"/>
    <x v="2"/>
    <x v="8"/>
    <x v="2"/>
  </r>
  <r>
    <d v="2019-06-07T00:00:00"/>
    <d v="2019-05-07T00:00:00"/>
    <d v="2019-06-07T00:00:00"/>
    <x v="0"/>
    <x v="2"/>
    <s v="NF1320"/>
    <n v="3827"/>
    <x v="9"/>
    <x v="3"/>
    <x v="9"/>
    <x v="2"/>
    <x v="9"/>
    <x v="2"/>
  </r>
  <r>
    <d v="2019-06-29T00:00:00"/>
    <d v="2019-05-09T00:00:00"/>
    <d v="2019-06-29T00:00:00"/>
    <x v="0"/>
    <x v="2"/>
    <s v="NF9162"/>
    <n v="1700"/>
    <x v="9"/>
    <x v="3"/>
    <x v="9"/>
    <x v="2"/>
    <x v="9"/>
    <x v="2"/>
  </r>
  <r>
    <d v="2019-05-29T00:00:00"/>
    <d v="2019-05-10T00:00:00"/>
    <d v="2019-05-29T00:00:00"/>
    <x v="0"/>
    <x v="2"/>
    <s v="NF1497"/>
    <n v="2090"/>
    <x v="10"/>
    <x v="3"/>
    <x v="9"/>
    <x v="2"/>
    <x v="8"/>
    <x v="2"/>
  </r>
  <r>
    <d v="2019-05-13T00:00:00"/>
    <d v="2019-05-13T00:00:00"/>
    <d v="2019-05-13T00:00:00"/>
    <x v="0"/>
    <x v="0"/>
    <s v="NF8398"/>
    <n v="3230"/>
    <x v="10"/>
    <x v="3"/>
    <x v="9"/>
    <x v="2"/>
    <x v="8"/>
    <x v="2"/>
  </r>
  <r>
    <d v="2019-05-16T00:00:00"/>
    <d v="2019-05-16T00:00:00"/>
    <d v="2019-05-16T00:00:00"/>
    <x v="0"/>
    <x v="1"/>
    <s v="NF1274"/>
    <n v="4030"/>
    <x v="10"/>
    <x v="3"/>
    <x v="9"/>
    <x v="2"/>
    <x v="8"/>
    <x v="2"/>
  </r>
  <r>
    <d v="2019-05-19T00:00:00"/>
    <d v="2019-05-19T00:00:00"/>
    <d v="2019-05-19T00:00:00"/>
    <x v="0"/>
    <x v="0"/>
    <s v="NF1599"/>
    <n v="1367"/>
    <x v="10"/>
    <x v="3"/>
    <x v="9"/>
    <x v="2"/>
    <x v="8"/>
    <x v="2"/>
  </r>
  <r>
    <d v="2019-06-10T00:00:00"/>
    <d v="2019-05-22T00:00:00"/>
    <d v="2019-06-10T00:00:00"/>
    <x v="0"/>
    <x v="1"/>
    <s v="NF6880"/>
    <n v="3945"/>
    <x v="9"/>
    <x v="3"/>
    <x v="9"/>
    <x v="2"/>
    <x v="9"/>
    <x v="2"/>
  </r>
  <r>
    <d v="2019-05-25T00:00:00"/>
    <d v="2019-05-25T00:00:00"/>
    <d v="2019-05-25T00:00:00"/>
    <x v="0"/>
    <x v="4"/>
    <s v="NF3246"/>
    <n v="4518"/>
    <x v="10"/>
    <x v="3"/>
    <x v="9"/>
    <x v="2"/>
    <x v="8"/>
    <x v="2"/>
  </r>
  <r>
    <s v=""/>
    <d v="2019-05-29T00:00:00"/>
    <d v="2019-06-29T00:00:00"/>
    <x v="0"/>
    <x v="1"/>
    <s v="NF4547"/>
    <n v="3086"/>
    <x v="2"/>
    <x v="1"/>
    <x v="9"/>
    <x v="2"/>
    <x v="9"/>
    <x v="2"/>
  </r>
  <r>
    <d v="2019-06-12T00:00:00"/>
    <d v="2019-06-03T00:00:00"/>
    <d v="2019-06-12T00:00:00"/>
    <x v="0"/>
    <x v="2"/>
    <s v="NF5900"/>
    <n v="297"/>
    <x v="9"/>
    <x v="3"/>
    <x v="10"/>
    <x v="2"/>
    <x v="9"/>
    <x v="2"/>
  </r>
  <r>
    <d v="2019-06-23T00:00:00"/>
    <d v="2019-06-07T00:00:00"/>
    <d v="2019-06-23T00:00:00"/>
    <x v="0"/>
    <x v="0"/>
    <s v="NF2566"/>
    <n v="3226"/>
    <x v="9"/>
    <x v="3"/>
    <x v="10"/>
    <x v="2"/>
    <x v="9"/>
    <x v="2"/>
  </r>
  <r>
    <d v="2019-06-09T00:00:00"/>
    <d v="2019-06-09T00:00:00"/>
    <d v="2019-06-09T00:00:00"/>
    <x v="0"/>
    <x v="1"/>
    <s v="NF1823"/>
    <n v="2338"/>
    <x v="9"/>
    <x v="3"/>
    <x v="10"/>
    <x v="2"/>
    <x v="9"/>
    <x v="2"/>
  </r>
  <r>
    <d v="2019-07-18T00:00:00"/>
    <d v="2019-06-16T00:00:00"/>
    <d v="2019-07-18T00:00:00"/>
    <x v="0"/>
    <x v="0"/>
    <s v="NF9109"/>
    <n v="3773"/>
    <x v="11"/>
    <x v="3"/>
    <x v="10"/>
    <x v="2"/>
    <x v="10"/>
    <x v="2"/>
  </r>
  <r>
    <s v=""/>
    <d v="2019-06-19T00:00:00"/>
    <d v="2019-08-09T00:00:00"/>
    <x v="0"/>
    <x v="0"/>
    <s v="NF4812"/>
    <n v="2759"/>
    <x v="2"/>
    <x v="1"/>
    <x v="10"/>
    <x v="2"/>
    <x v="11"/>
    <x v="2"/>
  </r>
  <r>
    <d v="2019-06-21T00:00:00"/>
    <d v="2019-06-21T00:00:00"/>
    <d v="2019-06-21T00:00:00"/>
    <x v="0"/>
    <x v="0"/>
    <s v="NF9082"/>
    <n v="1425"/>
    <x v="9"/>
    <x v="3"/>
    <x v="10"/>
    <x v="2"/>
    <x v="9"/>
    <x v="2"/>
  </r>
  <r>
    <d v="2019-06-23T00:00:00"/>
    <d v="2019-06-23T00:00:00"/>
    <d v="2019-06-23T00:00:00"/>
    <x v="0"/>
    <x v="0"/>
    <s v="NF3611"/>
    <n v="332"/>
    <x v="9"/>
    <x v="3"/>
    <x v="10"/>
    <x v="2"/>
    <x v="9"/>
    <x v="2"/>
  </r>
  <r>
    <d v="2019-07-07T00:00:00"/>
    <d v="2019-06-30T00:00:00"/>
    <d v="2019-07-07T00:00:00"/>
    <x v="0"/>
    <x v="1"/>
    <s v="NF4931"/>
    <n v="2819"/>
    <x v="11"/>
    <x v="3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DetalhaReceita" cacheId="24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1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37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37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>
      <items count="5">
        <item x="1"/>
        <item x="0"/>
        <item x="2"/>
        <item x="3"/>
        <item t="default"/>
      </items>
    </pivotField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27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6" headerRowBorderDxfId="25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4" headerRowBorderDxfId="23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2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L234" totalsRowShown="0" headerRowDxfId="21">
  <autoFilter ref="B3:L234"/>
  <tableColumns count="11">
    <tableColumn id="1" name="Data do Caixa Realizado" dataDxfId="20"/>
    <tableColumn id="2" name="Data da Competência" dataDxfId="19"/>
    <tableColumn id="3" name="Data do Caixa Previsto" dataDxfId="18"/>
    <tableColumn id="4" name="Conta Nível 1"/>
    <tableColumn id="5" name="Conta Nível 2"/>
    <tableColumn id="6" name="Histórico"/>
    <tableColumn id="7" name="Valor" dataDxfId="17"/>
    <tableColumn id="8" name="Mês Caixa" dataDxfId="16">
      <calculatedColumnFormula>IF(TbRegistroEntradas[[#This Row],[Data do Caixa Realizado]]="",0,MONTH(TbRegistroEntradas[[#This Row],[Data do Caixa Realizado]]))</calculatedColumnFormula>
    </tableColumn>
    <tableColumn id="9" name="Ano Caixa" dataDxfId="15">
      <calculatedColumnFormula>IF(TbRegistroEntradas[[#This Row],[Data do Caixa Realizado]]="",0,YEAR(TbRegistroEntradas[[#This Row],[Data do Caixa Realizado]]))</calculatedColumnFormula>
    </tableColumn>
    <tableColumn id="10" name="Mês Competência" dataDxfId="14">
      <calculatedColumnFormula>IF(TbRegistroEntradas[[#This Row],[Data da Competência]]="",0,MONTH(TbRegistroEntradas[[#This Row],[Data da Competência]]))</calculatedColumnFormula>
    </tableColumn>
    <tableColumn id="11" name="Ano Competência" dataDxfId="13">
      <calculatedColumnFormula>IF(TbRegistroEntradas[[#This Row],[Data da Competência]]="",0,YEAR(TbRegistroEntradas[[#This Row],[Data da Competência]]))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12" headerRowBorderDxfId="11" tableBorderDxfId="10">
  <autoFilter ref="B3:N232">
    <filterColumn colId="0">
      <filters blank="1"/>
    </filterColumn>
    <filterColumn colId="2">
      <filters>
        <dateGroupItem year="2018" dateTimeGrouping="year"/>
      </filters>
    </filterColumn>
  </autoFilter>
  <tableColumns count="13">
    <tableColumn id="1" name="Data do Caixa Realizado" dataDxfId="9"/>
    <tableColumn id="2" name="Data da Competência" dataDxfId="8"/>
    <tableColumn id="3" name="Data do Caixa Previsto" dataDxfId="7"/>
    <tableColumn id="4" name="Conta Nível 1"/>
    <tableColumn id="5" name="Conta Nível 2"/>
    <tableColumn id="6" name="Histórico"/>
    <tableColumn id="7" name="Valor" dataDxfId="6"/>
    <tableColumn id="8" name="Mês Caixa" dataDxfId="5">
      <calculatedColumnFormula>IF(TbRegistroSaídas[[#This Row],[Data do Caixa Realizado]]="",0,MONTH(TbRegistroSaídas[[#This Row],[Data do Caixa Realizado]]))</calculatedColumnFormula>
    </tableColumn>
    <tableColumn id="9" name="Ano Caixa" dataDxfId="4">
      <calculatedColumnFormula>IF(TbRegistroSaídas[[#This Row],[Data do Caixa Realizado]]="",0,YEAR(TbRegistroSaídas[[#This Row],[Data do Caixa Realizado]]))</calculatedColumnFormula>
    </tableColumn>
    <tableColumn id="10" name="Mês Competência" dataDxfId="3">
      <calculatedColumnFormula>IF(TbRegistroSaídas[[#This Row],[Data da Competência]]="",0,MONTH(TbRegistroSaídas[[#This Row],[Data da Competência]]))</calculatedColumnFormula>
    </tableColumn>
    <tableColumn id="11" name="Ano Competência" dataDxfId="2">
      <calculatedColumnFormula>IF(TbRegistroSaídas[[#This Row],[Data da Competência]]="",0,YEAR(TbRegistroSaídas[[#This Row],[Data da Competência]]))</calculatedColumnFormula>
    </tableColumn>
    <tableColumn id="12" name="Mês Previsto" dataDxfId="1">
      <calculatedColumnFormula>IF(TbRegistroSaídas[[#This Row],[Data do Caixa Previsto]]="",0,MONTH(TbRegistroSaídas[[#This Row],[Data do Caixa Previsto]]))</calculatedColumnFormula>
    </tableColumn>
    <tableColumn id="13" name="Ano Previsto" dataDxfId="0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28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45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L234"/>
  <sheetViews>
    <sheetView showGridLines="0" topLeftCell="B1" zoomScale="85" zoomScaleNormal="85" workbookViewId="0">
      <pane ySplit="3" topLeftCell="A4" activePane="bottomLeft" state="frozen"/>
      <selection pane="bottomLeft" activeCell="C5" sqref="C5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5" width="9.140625" customWidth="1"/>
  </cols>
  <sheetData>
    <row r="1" spans="2:12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2" ht="39.950000000000003" customHeight="1" x14ac:dyDescent="0.25">
      <c r="B2" s="12"/>
      <c r="C2" s="12"/>
      <c r="D2" s="12"/>
      <c r="E2" s="5"/>
      <c r="F2" s="5"/>
      <c r="G2" s="5"/>
      <c r="H2" s="15"/>
    </row>
    <row r="3" spans="2:12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</row>
    <row r="4" spans="2:12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</row>
    <row r="5" spans="2:12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</row>
    <row r="6" spans="2:12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</row>
    <row r="7" spans="2:12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</row>
    <row r="8" spans="2:12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</row>
    <row r="9" spans="2:12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</row>
    <row r="10" spans="2:12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</row>
    <row r="11" spans="2:12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</row>
    <row r="12" spans="2:12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</row>
    <row r="14" spans="2:12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</row>
    <row r="15" spans="2:12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</row>
    <row r="16" spans="2:12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</row>
    <row r="17" spans="2:12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</row>
    <row r="18" spans="2:12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</row>
    <row r="19" spans="2:12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</row>
    <row r="20" spans="2:12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</row>
    <row r="21" spans="2:12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</row>
    <row r="22" spans="2:12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</row>
    <row r="23" spans="2:12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</row>
    <row r="24" spans="2:12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</row>
    <row r="25" spans="2:12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</row>
    <row r="26" spans="2:12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</row>
    <row r="27" spans="2:12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</row>
    <row r="28" spans="2:12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</row>
    <row r="29" spans="2:12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</row>
    <row r="30" spans="2:12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</row>
    <row r="31" spans="2:12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</row>
    <row r="32" spans="2:12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</row>
    <row r="34" spans="2:12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</row>
    <row r="35" spans="2:12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</row>
    <row r="36" spans="2:12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</row>
    <row r="37" spans="2:12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</row>
    <row r="38" spans="2:12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</row>
    <row r="39" spans="2:12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</row>
    <row r="40" spans="2:12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</row>
    <row r="41" spans="2:12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</row>
    <row r="42" spans="2:12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</row>
    <row r="43" spans="2:12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</row>
    <row r="44" spans="2:12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</row>
    <row r="45" spans="2:12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</row>
    <row r="46" spans="2:12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</row>
    <row r="47" spans="2:12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</row>
    <row r="48" spans="2:12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</row>
    <row r="49" spans="2:12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</row>
    <row r="50" spans="2:12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</row>
    <row r="51" spans="2:12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</row>
    <row r="52" spans="2:12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</row>
    <row r="53" spans="2:12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</row>
    <row r="54" spans="2:12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</row>
    <row r="55" spans="2:12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</row>
    <row r="56" spans="2:12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</row>
    <row r="57" spans="2:12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</row>
    <row r="58" spans="2:12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</row>
    <row r="59" spans="2:12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</row>
    <row r="60" spans="2:12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</row>
    <row r="61" spans="2:12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</row>
    <row r="62" spans="2:12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</row>
    <row r="63" spans="2:12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</row>
    <row r="64" spans="2:12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</row>
    <row r="65" spans="2:12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</row>
    <row r="66" spans="2:12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</row>
    <row r="67" spans="2:12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</row>
    <row r="68" spans="2:12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</row>
    <row r="69" spans="2:12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</row>
    <row r="70" spans="2:12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</row>
    <row r="71" spans="2:12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</row>
    <row r="72" spans="2:12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</row>
    <row r="73" spans="2:12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</row>
    <row r="74" spans="2:12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</row>
    <row r="75" spans="2:12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</row>
    <row r="76" spans="2:12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</row>
    <row r="77" spans="2:12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</row>
    <row r="78" spans="2:12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</row>
    <row r="79" spans="2:12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</row>
    <row r="80" spans="2:12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</row>
    <row r="81" spans="2:12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</row>
    <row r="82" spans="2:12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</row>
    <row r="83" spans="2:12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</row>
    <row r="84" spans="2:12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</row>
    <row r="85" spans="2:12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</row>
    <row r="86" spans="2:12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</row>
    <row r="87" spans="2:12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</row>
    <row r="88" spans="2:12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</row>
    <row r="89" spans="2:12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</row>
    <row r="90" spans="2:12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</row>
    <row r="91" spans="2:12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</row>
    <row r="92" spans="2:12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</row>
    <row r="93" spans="2:12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</row>
    <row r="94" spans="2:12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</row>
    <row r="95" spans="2:12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</row>
    <row r="96" spans="2:12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</row>
    <row r="97" spans="2:12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</row>
    <row r="98" spans="2:12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</row>
    <row r="99" spans="2:12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</row>
    <row r="100" spans="2:12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</row>
    <row r="101" spans="2:12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</row>
    <row r="102" spans="2:12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</row>
    <row r="103" spans="2:12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</row>
    <row r="104" spans="2:12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</row>
    <row r="105" spans="2:12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</row>
    <row r="106" spans="2:12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</row>
    <row r="107" spans="2:12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</row>
    <row r="108" spans="2:12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</row>
    <row r="109" spans="2:12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</row>
    <row r="110" spans="2:12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</row>
    <row r="111" spans="2:12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</row>
    <row r="112" spans="2:12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</row>
    <row r="113" spans="2:12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</row>
    <row r="114" spans="2:12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</row>
    <row r="115" spans="2:12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</row>
    <row r="116" spans="2:12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</row>
    <row r="117" spans="2:12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</row>
    <row r="118" spans="2:12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</row>
    <row r="119" spans="2:12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</row>
    <row r="120" spans="2:12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</row>
    <row r="121" spans="2:12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</row>
    <row r="122" spans="2:12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</row>
    <row r="123" spans="2:12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</row>
    <row r="124" spans="2:12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</row>
    <row r="125" spans="2:12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</row>
    <row r="126" spans="2:12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</row>
    <row r="127" spans="2:12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</row>
    <row r="128" spans="2:12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</row>
    <row r="129" spans="2:12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</row>
    <row r="130" spans="2:12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</row>
    <row r="131" spans="2:12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</row>
    <row r="132" spans="2:12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</row>
    <row r="133" spans="2:12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</row>
    <row r="134" spans="2:12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</row>
    <row r="135" spans="2:12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</row>
    <row r="136" spans="2:12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</row>
    <row r="137" spans="2:12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</row>
    <row r="138" spans="2:12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</row>
    <row r="139" spans="2:12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</row>
    <row r="140" spans="2:12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</row>
    <row r="141" spans="2:12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</row>
    <row r="142" spans="2:12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</row>
    <row r="143" spans="2:12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</row>
    <row r="144" spans="2:12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</row>
    <row r="145" spans="2:12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</row>
    <row r="146" spans="2:12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</row>
    <row r="147" spans="2:12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</row>
    <row r="148" spans="2:12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</row>
    <row r="149" spans="2:12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</row>
    <row r="150" spans="2:12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</row>
    <row r="151" spans="2:12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</row>
    <row r="152" spans="2:12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</row>
    <row r="153" spans="2:12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</row>
    <row r="154" spans="2:12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</row>
    <row r="155" spans="2:12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</row>
    <row r="156" spans="2:12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</row>
    <row r="157" spans="2:12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</row>
    <row r="158" spans="2:12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</row>
    <row r="159" spans="2:12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</row>
    <row r="160" spans="2:12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</row>
    <row r="161" spans="2:12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</row>
    <row r="162" spans="2:12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</row>
    <row r="163" spans="2:12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</row>
    <row r="164" spans="2:12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</row>
    <row r="165" spans="2:12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</row>
    <row r="166" spans="2:12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</row>
    <row r="167" spans="2:12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</row>
    <row r="168" spans="2:12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</row>
    <row r="169" spans="2:12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</row>
    <row r="170" spans="2:12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</row>
    <row r="171" spans="2:12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</row>
    <row r="172" spans="2:12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</row>
    <row r="173" spans="2:12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</row>
    <row r="174" spans="2:12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</row>
    <row r="175" spans="2:12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</row>
    <row r="176" spans="2:12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</row>
    <row r="177" spans="2:12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</row>
    <row r="178" spans="2:12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</row>
    <row r="179" spans="2:12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</row>
    <row r="180" spans="2:12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</row>
    <row r="181" spans="2:12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</row>
    <row r="182" spans="2:12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</row>
    <row r="183" spans="2:12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</row>
    <row r="184" spans="2:12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</row>
    <row r="185" spans="2:12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</row>
    <row r="186" spans="2:12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</row>
    <row r="187" spans="2:12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</row>
    <row r="188" spans="2:12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</row>
    <row r="189" spans="2:12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</row>
    <row r="190" spans="2:12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</row>
    <row r="191" spans="2:12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</row>
    <row r="192" spans="2:12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</row>
    <row r="193" spans="2:12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</row>
    <row r="194" spans="2:12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</row>
    <row r="195" spans="2:12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</row>
    <row r="196" spans="2:12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</row>
    <row r="197" spans="2:12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</row>
    <row r="198" spans="2:12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</row>
    <row r="199" spans="2:12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</row>
    <row r="200" spans="2:12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</row>
    <row r="201" spans="2:12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</row>
    <row r="202" spans="2:12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</row>
    <row r="203" spans="2:12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</row>
    <row r="204" spans="2:12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</row>
    <row r="205" spans="2:12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</row>
    <row r="206" spans="2:12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</row>
    <row r="207" spans="2:12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</row>
    <row r="208" spans="2:12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</row>
    <row r="209" spans="2:12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</row>
    <row r="210" spans="2:12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</row>
    <row r="211" spans="2:12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</row>
    <row r="212" spans="2:12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</row>
    <row r="213" spans="2:12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</row>
    <row r="214" spans="2:12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</row>
    <row r="215" spans="2:12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</row>
    <row r="216" spans="2:12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</row>
    <row r="217" spans="2:12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</row>
    <row r="218" spans="2:12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</row>
    <row r="219" spans="2:12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</row>
    <row r="220" spans="2:12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</row>
    <row r="221" spans="2:12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</row>
    <row r="222" spans="2:12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</row>
    <row r="223" spans="2:12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</row>
    <row r="224" spans="2:12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</row>
    <row r="225" spans="2:12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</row>
    <row r="226" spans="2:12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</row>
    <row r="227" spans="2:12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</row>
    <row r="228" spans="2:12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</row>
    <row r="229" spans="2:12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</row>
    <row r="230" spans="2:12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</row>
    <row r="231" spans="2:12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</row>
    <row r="232" spans="2:12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</row>
    <row r="233" spans="2:12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</row>
    <row r="234" spans="2:12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topLeftCell="B1" zoomScale="70" zoomScaleNormal="70" workbookViewId="0">
      <pane ySplit="3" topLeftCell="A4" activePane="bottomLeft" state="frozen"/>
      <selection pane="bottomLeft" activeCell="H47" sqref="H47:H157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  <c r="M3" s="22" t="s">
        <v>546</v>
      </c>
      <c r="N3" s="22" t="s">
        <v>547</v>
      </c>
    </row>
    <row r="4" spans="2:14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hidden="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hidden="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hidden="1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hidden="1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hidden="1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hidden="1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hidden="1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hidden="1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hidden="1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hidden="1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hidden="1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hidden="1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hidden="1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hidden="1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hidden="1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hidden="1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hidden="1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hidden="1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hidden="1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hidden="1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hidden="1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hidden="1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hidden="1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hidden="1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hidden="1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hidden="1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hidden="1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hidden="1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hidden="1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hidden="1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hidden="1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hidden="1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hidden="1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hidden="1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hidden="1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hidden="1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hidden="1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hidden="1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hidden="1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hidden="1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hidden="1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hidden="1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hidden="1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hidden="1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hidden="1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hidden="1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hidden="1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hidden="1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hidden="1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hidden="1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hidden="1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hidden="1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hidden="1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hidden="1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hidden="1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hidden="1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hidden="1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hidden="1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hidden="1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hidden="1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hidden="1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hidden="1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hidden="1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hidden="1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hidden="1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hidden="1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hidden="1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hidden="1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hidden="1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hidden="1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hidden="1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hidden="1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hidden="1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hidden="1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hidden="1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hidden="1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hidden="1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hidden="1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hidden="1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hidden="1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hidden="1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hidden="1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hidden="1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hidden="1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hidden="1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hidden="1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hidden="1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hidden="1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hidden="1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hidden="1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hidden="1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hidden="1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hidden="1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hidden="1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hidden="1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hidden="1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hidden="1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hidden="1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hidden="1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hidden="1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hidden="1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hidden="1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hidden="1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hidden="1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hidden="1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hidden="1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hidden="1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hidden="1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hidden="1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hidden="1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hidden="1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hidden="1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hidden="1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hidden="1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hidden="1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hidden="1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hidden="1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hidden="1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hidden="1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hidden="1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hidden="1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hidden="1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hidden="1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hidden="1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hidden="1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hidden="1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hidden="1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hidden="1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hidden="1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hidden="1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hidden="1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hidden="1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hidden="1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hidden="1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hidden="1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hidden="1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hidden="1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hidden="1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hidden="1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hidden="1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hidden="1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hidden="1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hidden="1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hidden="1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hidden="1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hidden="1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hidden="1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hidden="1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hidden="1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hidden="1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hidden="1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hidden="1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hidden="1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hidden="1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hidden="1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hidden="1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hidden="1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hidden="1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hidden="1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hidden="1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hidden="1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hidden="1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hidden="1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hidden="1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hidden="1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hidden="1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hidden="1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hidden="1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hidden="1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hidden="1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hidden="1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hidden="1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hidden="1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hidden="1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hidden="1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hidden="1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hidden="1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hidden="1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hidden="1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hidden="1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hidden="1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hidden="1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hidden="1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hidden="1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hidden="1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hidden="1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hidden="1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hidden="1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hidden="1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hidden="1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hidden="1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hidden="1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hidden="1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hidden="1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hidden="1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hidden="1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hidden="1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hidden="1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hidden="1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512</v>
      </c>
      <c r="C3" s="24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513</v>
      </c>
    </row>
    <row r="7" spans="2:14" ht="20.100000000000001" customHeight="1" x14ac:dyDescent="0.25">
      <c r="B7" s="29" t="s">
        <v>514</v>
      </c>
      <c r="C7" s="27" t="s">
        <v>517</v>
      </c>
      <c r="D7" s="27" t="s">
        <v>518</v>
      </c>
      <c r="E7" s="27" t="s">
        <v>519</v>
      </c>
      <c r="F7" s="27" t="s">
        <v>520</v>
      </c>
      <c r="G7" s="27" t="s">
        <v>521</v>
      </c>
      <c r="H7" s="27" t="s">
        <v>522</v>
      </c>
      <c r="I7" s="27" t="s">
        <v>523</v>
      </c>
      <c r="J7" s="27" t="s">
        <v>524</v>
      </c>
      <c r="K7" s="27" t="s">
        <v>525</v>
      </c>
      <c r="L7" s="27" t="s">
        <v>526</v>
      </c>
      <c r="M7" s="27" t="s">
        <v>527</v>
      </c>
      <c r="N7" s="28" t="s">
        <v>528</v>
      </c>
    </row>
    <row r="8" spans="2:14" ht="20.100000000000001" customHeight="1" x14ac:dyDescent="0.25">
      <c r="B8" s="31" t="s">
        <v>530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5">
        <f>C11</f>
        <v>966</v>
      </c>
      <c r="E8" s="35">
        <f t="shared" ref="E8:N8" si="0">D11</f>
        <v>5553</v>
      </c>
      <c r="F8" s="35">
        <f t="shared" si="0"/>
        <v>-7</v>
      </c>
      <c r="G8" s="35">
        <f t="shared" si="0"/>
        <v>1894</v>
      </c>
      <c r="H8" s="35">
        <f t="shared" si="0"/>
        <v>22181</v>
      </c>
      <c r="I8" s="35">
        <f t="shared" si="0"/>
        <v>30931</v>
      </c>
      <c r="J8" s="35">
        <f t="shared" si="0"/>
        <v>22856</v>
      </c>
      <c r="K8" s="35">
        <f t="shared" si="0"/>
        <v>38235</v>
      </c>
      <c r="L8" s="35">
        <f t="shared" si="0"/>
        <v>44941</v>
      </c>
      <c r="M8" s="35">
        <f t="shared" si="0"/>
        <v>39552</v>
      </c>
      <c r="N8" s="36">
        <f t="shared" si="0"/>
        <v>58456</v>
      </c>
    </row>
    <row r="9" spans="2:14" ht="20.100000000000001" customHeight="1" x14ac:dyDescent="0.25">
      <c r="B9" s="31" t="s">
        <v>529</v>
      </c>
      <c r="C9" s="35">
        <f>SUMIFS(TbRegistroEntradas[Valor],TbRegistroEntradas[Mês Caixa],C5,TbRegistroEntradas[Ano Caixa],$C$3)</f>
        <v>33220</v>
      </c>
      <c r="D9" s="35">
        <f>SUMIFS(TbRegistroEntradas[Valor],TbRegistroEntradas[Mês Caixa],D5,TbRegistroEntradas[Ano Caixa],$C$3)</f>
        <v>27618</v>
      </c>
      <c r="E9" s="35">
        <f>SUMIFS(TbRegistroEntradas[Valor],TbRegistroEntradas[Mês Caixa],E5,TbRegistroEntradas[Ano Caixa],$C$3)</f>
        <v>21553</v>
      </c>
      <c r="F9" s="35">
        <f>SUMIFS(TbRegistroEntradas[Valor],TbRegistroEntradas[Mês Caixa],F5,TbRegistroEntradas[Ano Caixa],$C$3)</f>
        <v>25910</v>
      </c>
      <c r="G9" s="35">
        <f>SUMIFS(TbRegistroEntradas[Valor],TbRegistroEntradas[Mês Caixa],G5,TbRegistroEntradas[Ano Caixa],$C$3)</f>
        <v>23254</v>
      </c>
      <c r="H9" s="35">
        <f>SUMIFS(TbRegistroEntradas[Valor],TbRegistroEntradas[Mês Caixa],H5,TbRegistroEntradas[Ano Caixa],$C$3)</f>
        <v>29499</v>
      </c>
      <c r="I9" s="35">
        <f>SUMIFS(TbRegistroEntradas[Valor],TbRegistroEntradas[Mês Caixa],I5,TbRegistroEntradas[Ano Caixa],$C$3)</f>
        <v>21232</v>
      </c>
      <c r="J9" s="35">
        <f>SUMIFS(TbRegistroEntradas[Valor],TbRegistroEntradas[Mês Caixa],J5,TbRegistroEntradas[Ano Caixa],$C$3)</f>
        <v>31767</v>
      </c>
      <c r="K9" s="35">
        <f>SUMIFS(TbRegistroEntradas[Valor],TbRegistroEntradas[Mês Caixa],K5,TbRegistroEntradas[Ano Caixa],$C$3)</f>
        <v>24029</v>
      </c>
      <c r="L9" s="35">
        <f>SUMIFS(TbRegistroEntradas[Valor],TbRegistroEntradas[Mês Caixa],L5,TbRegistroEntradas[Ano Caixa],$C$3)</f>
        <v>21580</v>
      </c>
      <c r="M9" s="35">
        <f>SUMIFS(TbRegistroEntradas[Valor],TbRegistroEntradas[Mês Caixa],M5,TbRegistroEntradas[Ano Caixa],$C$3)</f>
        <v>38978</v>
      </c>
      <c r="N9" s="36">
        <f>SUMIFS(TbRegistroEntradas[Valor],TbRegistroEntradas[Mês Caixa],N5,TbRegistroEntradas[Ano Caixa],$C$3)</f>
        <v>15074</v>
      </c>
    </row>
    <row r="10" spans="2:14" ht="20.100000000000001" customHeight="1" x14ac:dyDescent="0.25">
      <c r="B10" s="31" t="s">
        <v>515</v>
      </c>
      <c r="C10" s="35">
        <f>SUMIFS(TbRegistroSaídas[Valor],TbRegistroSaídas[Mês Caixa],C5,TbRegistroSaídas[Ano Caixa],$C$3)</f>
        <v>31213</v>
      </c>
      <c r="D10" s="35">
        <f>SUMIFS(TbRegistroSaídas[Valor],TbRegistroSaídas[Mês Caixa],D5,TbRegistroSaídas[Ano Caixa],$C$3)</f>
        <v>23031</v>
      </c>
      <c r="E10" s="35">
        <f>SUMIFS(TbRegistroSaídas[Valor],TbRegistroSaídas[Mês Caixa],E5,TbRegistroSaídas[Ano Caixa],$C$3)</f>
        <v>27113</v>
      </c>
      <c r="F10" s="35">
        <f>SUMIFS(TbRegistroSaídas[Valor],TbRegistroSaídas[Mês Caixa],F5,TbRegistroSaídas[Ano Caixa],$C$3)</f>
        <v>24009</v>
      </c>
      <c r="G10" s="35">
        <f>SUMIFS(TbRegistroSaídas[Valor],TbRegistroSaídas[Mês Caixa],G5,TbRegistroSaídas[Ano Caixa],$C$3)</f>
        <v>2967</v>
      </c>
      <c r="H10" s="35">
        <f>SUMIFS(TbRegistroSaídas[Valor],TbRegistroSaídas[Mês Caixa],H5,TbRegistroSaídas[Ano Caixa],$C$3)</f>
        <v>20749</v>
      </c>
      <c r="I10" s="35">
        <f>SUMIFS(TbRegistroSaídas[Valor],TbRegistroSaídas[Mês Caixa],I5,TbRegistroSaídas[Ano Caixa],$C$3)</f>
        <v>29307</v>
      </c>
      <c r="J10" s="35">
        <f>SUMIFS(TbRegistroSaídas[Valor],TbRegistroSaídas[Mês Caixa],J5,TbRegistroSaídas[Ano Caixa],$C$3)</f>
        <v>16388</v>
      </c>
      <c r="K10" s="35">
        <f>SUMIFS(TbRegistroSaídas[Valor],TbRegistroSaídas[Mês Caixa],K5,TbRegistroSaídas[Ano Caixa],$C$3)</f>
        <v>17323</v>
      </c>
      <c r="L10" s="35">
        <f>SUMIFS(TbRegistroSaídas[Valor],TbRegistroSaídas[Mês Caixa],L5,TbRegistroSaídas[Ano Caixa],$C$3)</f>
        <v>26969</v>
      </c>
      <c r="M10" s="35">
        <f>SUMIFS(TbRegistroSaídas[Valor],TbRegistroSaídas[Mês Caixa],M5,TbRegistroSaídas[Ano Caixa],$C$3)</f>
        <v>20074</v>
      </c>
      <c r="N10" s="36">
        <f>SUMIFS(TbRegistroSaídas[Valor],TbRegistroSaídas[Mês Caixa],N5,TbRegistroSaídas[Ano Caixa],$C$3)</f>
        <v>18422</v>
      </c>
    </row>
    <row r="11" spans="2:14" ht="20.100000000000001" customHeight="1" x14ac:dyDescent="0.25">
      <c r="B11" s="34" t="s">
        <v>516</v>
      </c>
      <c r="C11" s="37">
        <f>C8+C9-C10</f>
        <v>966</v>
      </c>
      <c r="D11" s="37">
        <f t="shared" ref="D11:N11" si="1">D8+D9-D10</f>
        <v>5553</v>
      </c>
      <c r="E11" s="37">
        <f t="shared" si="1"/>
        <v>-7</v>
      </c>
      <c r="F11" s="37">
        <f t="shared" si="1"/>
        <v>1894</v>
      </c>
      <c r="G11" s="37">
        <f t="shared" si="1"/>
        <v>22181</v>
      </c>
      <c r="H11" s="37">
        <f t="shared" si="1"/>
        <v>30931</v>
      </c>
      <c r="I11" s="37">
        <f t="shared" si="1"/>
        <v>22856</v>
      </c>
      <c r="J11" s="37">
        <f t="shared" si="1"/>
        <v>38235</v>
      </c>
      <c r="K11" s="37">
        <f t="shared" si="1"/>
        <v>44941</v>
      </c>
      <c r="L11" s="37">
        <f t="shared" si="1"/>
        <v>39552</v>
      </c>
      <c r="M11" s="37">
        <f t="shared" si="1"/>
        <v>58456</v>
      </c>
      <c r="N11" s="38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0" t="s">
        <v>531</v>
      </c>
    </row>
    <row r="14" spans="2:14" ht="20.100000000000001" customHeight="1" x14ac:dyDescent="0.25">
      <c r="B14" s="29" t="s">
        <v>514</v>
      </c>
      <c r="C14" s="27" t="s">
        <v>517</v>
      </c>
      <c r="D14" s="27" t="s">
        <v>518</v>
      </c>
      <c r="E14" s="27" t="s">
        <v>519</v>
      </c>
      <c r="F14" s="27" t="s">
        <v>520</v>
      </c>
      <c r="G14" s="27" t="s">
        <v>521</v>
      </c>
      <c r="H14" s="27" t="s">
        <v>522</v>
      </c>
      <c r="I14" s="27" t="s">
        <v>523</v>
      </c>
      <c r="J14" s="27" t="s">
        <v>524</v>
      </c>
      <c r="K14" s="27" t="s">
        <v>525</v>
      </c>
      <c r="L14" s="27" t="s">
        <v>526</v>
      </c>
      <c r="M14" s="27" t="s">
        <v>527</v>
      </c>
      <c r="N14" s="28" t="s">
        <v>528</v>
      </c>
    </row>
    <row r="15" spans="2:14" ht="20.100000000000001" customHeight="1" x14ac:dyDescent="0.25">
      <c r="B15" s="31" t="s">
        <v>530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5">
        <f>C18</f>
        <v>2752</v>
      </c>
      <c r="E15" s="35">
        <f t="shared" ref="E15:N15" si="2">D18</f>
        <v>1935</v>
      </c>
      <c r="F15" s="35">
        <f t="shared" si="2"/>
        <v>15266</v>
      </c>
      <c r="G15" s="35">
        <f t="shared" si="2"/>
        <v>30813</v>
      </c>
      <c r="H15" s="35">
        <f t="shared" si="2"/>
        <v>25040</v>
      </c>
      <c r="I15" s="35">
        <f t="shared" si="2"/>
        <v>28824</v>
      </c>
      <c r="J15" s="35">
        <f t="shared" si="2"/>
        <v>28057</v>
      </c>
      <c r="K15" s="35">
        <f t="shared" si="2"/>
        <v>28632</v>
      </c>
      <c r="L15" s="35">
        <f t="shared" si="2"/>
        <v>34708</v>
      </c>
      <c r="M15" s="35">
        <f t="shared" si="2"/>
        <v>35415</v>
      </c>
      <c r="N15" s="36">
        <f t="shared" si="2"/>
        <v>43688</v>
      </c>
    </row>
    <row r="16" spans="2:14" ht="20.100000000000001" customHeight="1" x14ac:dyDescent="0.25">
      <c r="B16" s="31" t="s">
        <v>529</v>
      </c>
      <c r="C16" s="35">
        <f>SUMIFS(TbRegistroEntradas[Valor],TbRegistroEntradas[Mês Competência],C5,TbRegistroEntradas[Ano Competência],$C$3)</f>
        <v>20582</v>
      </c>
      <c r="D16" s="35">
        <f>SUMIFS(TbRegistroEntradas[Valor],TbRegistroEntradas[Mês Competência],D5,TbRegistroEntradas[Ano Competência],$C$3)</f>
        <v>24761</v>
      </c>
      <c r="E16" s="35">
        <f>SUMIFS(TbRegistroEntradas[Valor],TbRegistroEntradas[Mês Competência],E5,TbRegistroEntradas[Ano Competência],$C$3)</f>
        <v>37458</v>
      </c>
      <c r="F16" s="35">
        <f>SUMIFS(TbRegistroEntradas[Valor],TbRegistroEntradas[Mês Competência],F5,TbRegistroEntradas[Ano Competência],$C$3)</f>
        <v>30226</v>
      </c>
      <c r="G16" s="35">
        <f>SUMIFS(TbRegistroEntradas[Valor],TbRegistroEntradas[Mês Competência],G5,TbRegistroEntradas[Ano Competência],$C$3)</f>
        <v>19009</v>
      </c>
      <c r="H16" s="35">
        <f>SUMIFS(TbRegistroEntradas[Valor],TbRegistroEntradas[Mês Competência],H5,TbRegistroEntradas[Ano Competência],$C$3)</f>
        <v>28711</v>
      </c>
      <c r="I16" s="35">
        <f>SUMIFS(TbRegistroEntradas[Valor],TbRegistroEntradas[Mês Competência],I5,TbRegistroEntradas[Ano Competência],$C$3)</f>
        <v>33298</v>
      </c>
      <c r="J16" s="35">
        <f>SUMIFS(TbRegistroEntradas[Valor],TbRegistroEntradas[Mês Competência],J5,TbRegistroEntradas[Ano Competência],$C$3)</f>
        <v>22302</v>
      </c>
      <c r="K16" s="35">
        <f>SUMIFS(TbRegistroEntradas[Valor],TbRegistroEntradas[Mês Competência],K5,TbRegistroEntradas[Ano Competência],$C$3)</f>
        <v>26024</v>
      </c>
      <c r="L16" s="35">
        <f>SUMIFS(TbRegistroEntradas[Valor],TbRegistroEntradas[Mês Competência],L5,TbRegistroEntradas[Ano Competência],$C$3)</f>
        <v>29400</v>
      </c>
      <c r="M16" s="35">
        <f>SUMIFS(TbRegistroEntradas[Valor],TbRegistroEntradas[Mês Competência],M5,TbRegistroEntradas[Ano Competência],$C$3)</f>
        <v>30897</v>
      </c>
      <c r="N16" s="35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1" t="s">
        <v>515</v>
      </c>
      <c r="C17" s="35">
        <f>SUMIFS(TbRegistroSaídas[Valor],TbRegistroSaídas[Mês Competência],C5,TbRegistroSaídas[Ano Competência],$C$3)</f>
        <v>41773</v>
      </c>
      <c r="D17" s="35">
        <f>SUMIFS(TbRegistroSaídas[Valor],TbRegistroSaídas[Mês Competência],D5,TbRegistroSaídas[Ano Competência],$C$3)</f>
        <v>25578</v>
      </c>
      <c r="E17" s="35">
        <f>SUMIFS(TbRegistroSaídas[Valor],TbRegistroSaídas[Mês Competência],E5,TbRegistroSaídas[Ano Competência],$C$3)</f>
        <v>24127</v>
      </c>
      <c r="F17" s="35">
        <f>SUMIFS(TbRegistroSaídas[Valor],TbRegistroSaídas[Mês Competência],F5,TbRegistroSaídas[Ano Competência],$C$3)</f>
        <v>14679</v>
      </c>
      <c r="G17" s="35">
        <f>SUMIFS(TbRegistroSaídas[Valor],TbRegistroSaídas[Mês Competência],G5,TbRegistroSaídas[Ano Competência],$C$3)</f>
        <v>24782</v>
      </c>
      <c r="H17" s="35">
        <f>SUMIFS(TbRegistroSaídas[Valor],TbRegistroSaídas[Mês Competência],H5,TbRegistroSaídas[Ano Competência],$C$3)</f>
        <v>24927</v>
      </c>
      <c r="I17" s="35">
        <f>SUMIFS(TbRegistroSaídas[Valor],TbRegistroSaídas[Mês Competência],I5,TbRegistroSaídas[Ano Competência],$C$3)</f>
        <v>34065</v>
      </c>
      <c r="J17" s="35">
        <f>SUMIFS(TbRegistroSaídas[Valor],TbRegistroSaídas[Mês Competência],J5,TbRegistroSaídas[Ano Competência],$C$3)</f>
        <v>21727</v>
      </c>
      <c r="K17" s="35">
        <f>SUMIFS(TbRegistroSaídas[Valor],TbRegistroSaídas[Mês Competência],K5,TbRegistroSaídas[Ano Competência],$C$3)</f>
        <v>19948</v>
      </c>
      <c r="L17" s="35">
        <f>SUMIFS(TbRegistroSaídas[Valor],TbRegistroSaídas[Mês Competência],L5,TbRegistroSaídas[Ano Competência],$C$3)</f>
        <v>28693</v>
      </c>
      <c r="M17" s="35">
        <f>SUMIFS(TbRegistroSaídas[Valor],TbRegistroSaídas[Mês Competência],M5,TbRegistroSaídas[Ano Competência],$C$3)</f>
        <v>22624</v>
      </c>
      <c r="N17" s="36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4" t="s">
        <v>516</v>
      </c>
      <c r="C18" s="37">
        <f>C15+C16-C17</f>
        <v>2752</v>
      </c>
      <c r="D18" s="37">
        <f t="shared" ref="D18:N18" si="3">D15+D16-D17</f>
        <v>1935</v>
      </c>
      <c r="E18" s="37">
        <f t="shared" si="3"/>
        <v>15266</v>
      </c>
      <c r="F18" s="37">
        <f t="shared" si="3"/>
        <v>30813</v>
      </c>
      <c r="G18" s="37">
        <f t="shared" si="3"/>
        <v>25040</v>
      </c>
      <c r="H18" s="37">
        <f t="shared" si="3"/>
        <v>28824</v>
      </c>
      <c r="I18" s="37">
        <f t="shared" si="3"/>
        <v>28057</v>
      </c>
      <c r="J18" s="37">
        <f t="shared" si="3"/>
        <v>28632</v>
      </c>
      <c r="K18" s="37">
        <f t="shared" si="3"/>
        <v>34708</v>
      </c>
      <c r="L18" s="37">
        <f t="shared" si="3"/>
        <v>35415</v>
      </c>
      <c r="M18" s="37">
        <f t="shared" si="3"/>
        <v>43688</v>
      </c>
      <c r="N18" s="38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0" t="s">
        <v>532</v>
      </c>
    </row>
    <row r="21" spans="2:14" ht="20.100000000000001" customHeight="1" x14ac:dyDescent="0.25">
      <c r="B21" s="29" t="s">
        <v>514</v>
      </c>
      <c r="C21" s="27" t="s">
        <v>517</v>
      </c>
      <c r="D21" s="27" t="s">
        <v>518</v>
      </c>
      <c r="E21" s="27" t="s">
        <v>519</v>
      </c>
      <c r="F21" s="27" t="s">
        <v>520</v>
      </c>
      <c r="G21" s="27" t="s">
        <v>521</v>
      </c>
      <c r="H21" s="27" t="s">
        <v>522</v>
      </c>
      <c r="I21" s="27" t="s">
        <v>523</v>
      </c>
      <c r="J21" s="27" t="s">
        <v>524</v>
      </c>
      <c r="K21" s="27" t="s">
        <v>525</v>
      </c>
      <c r="L21" s="27" t="s">
        <v>526</v>
      </c>
      <c r="M21" s="27" t="s">
        <v>527</v>
      </c>
      <c r="N21" s="28" t="s">
        <v>528</v>
      </c>
    </row>
    <row r="22" spans="2:14" ht="20.100000000000001" customHeight="1" x14ac:dyDescent="0.25">
      <c r="B22" s="31" t="s">
        <v>533</v>
      </c>
      <c r="C22" s="35">
        <f>C16</f>
        <v>20582</v>
      </c>
      <c r="D22" s="35">
        <f t="shared" ref="D22:N22" si="4">D16</f>
        <v>24761</v>
      </c>
      <c r="E22" s="35">
        <f t="shared" si="4"/>
        <v>37458</v>
      </c>
      <c r="F22" s="35">
        <f t="shared" si="4"/>
        <v>30226</v>
      </c>
      <c r="G22" s="35">
        <f t="shared" si="4"/>
        <v>19009</v>
      </c>
      <c r="H22" s="35">
        <f t="shared" si="4"/>
        <v>28711</v>
      </c>
      <c r="I22" s="35">
        <f t="shared" si="4"/>
        <v>33298</v>
      </c>
      <c r="J22" s="35">
        <f t="shared" si="4"/>
        <v>22302</v>
      </c>
      <c r="K22" s="35">
        <f t="shared" si="4"/>
        <v>26024</v>
      </c>
      <c r="L22" s="35">
        <f t="shared" si="4"/>
        <v>29400</v>
      </c>
      <c r="M22" s="35">
        <f t="shared" si="4"/>
        <v>30897</v>
      </c>
      <c r="N22" s="36">
        <f t="shared" si="4"/>
        <v>17906</v>
      </c>
    </row>
    <row r="23" spans="2:14" ht="20.100000000000001" customHeight="1" x14ac:dyDescent="0.25">
      <c r="B23" s="31" t="s">
        <v>534</v>
      </c>
      <c r="C23" s="35">
        <f>C17</f>
        <v>41773</v>
      </c>
      <c r="D23" s="35">
        <f t="shared" ref="D23:N23" si="5">D17</f>
        <v>25578</v>
      </c>
      <c r="E23" s="35">
        <f t="shared" si="5"/>
        <v>24127</v>
      </c>
      <c r="F23" s="35">
        <f t="shared" si="5"/>
        <v>14679</v>
      </c>
      <c r="G23" s="35">
        <f t="shared" si="5"/>
        <v>24782</v>
      </c>
      <c r="H23" s="35">
        <f t="shared" si="5"/>
        <v>24927</v>
      </c>
      <c r="I23" s="35">
        <f t="shared" si="5"/>
        <v>34065</v>
      </c>
      <c r="J23" s="35">
        <f t="shared" si="5"/>
        <v>21727</v>
      </c>
      <c r="K23" s="35">
        <f t="shared" si="5"/>
        <v>19948</v>
      </c>
      <c r="L23" s="35">
        <f t="shared" si="5"/>
        <v>28693</v>
      </c>
      <c r="M23" s="35">
        <f t="shared" si="5"/>
        <v>22624</v>
      </c>
      <c r="N23" s="36">
        <f t="shared" si="5"/>
        <v>19227</v>
      </c>
    </row>
    <row r="24" spans="2:14" ht="20.100000000000001" customHeight="1" x14ac:dyDescent="0.25">
      <c r="B24" s="32" t="s">
        <v>535</v>
      </c>
      <c r="C24" s="39">
        <f>IF(C22-C23&gt;0,C22-C23,0)</f>
        <v>0</v>
      </c>
      <c r="D24" s="39">
        <f t="shared" ref="D24:N24" si="6">IF(D22-D23&gt;0,D22-D23,0)</f>
        <v>0</v>
      </c>
      <c r="E24" s="39">
        <f t="shared" si="6"/>
        <v>13331</v>
      </c>
      <c r="F24" s="39">
        <f t="shared" si="6"/>
        <v>15547</v>
      </c>
      <c r="G24" s="39">
        <f t="shared" si="6"/>
        <v>0</v>
      </c>
      <c r="H24" s="39">
        <f t="shared" si="6"/>
        <v>3784</v>
      </c>
      <c r="I24" s="39">
        <f t="shared" si="6"/>
        <v>0</v>
      </c>
      <c r="J24" s="39">
        <f t="shared" si="6"/>
        <v>575</v>
      </c>
      <c r="K24" s="39">
        <f t="shared" si="6"/>
        <v>6076</v>
      </c>
      <c r="L24" s="39">
        <f t="shared" si="6"/>
        <v>707</v>
      </c>
      <c r="M24" s="39">
        <f t="shared" si="6"/>
        <v>8273</v>
      </c>
      <c r="N24" s="40">
        <f t="shared" si="6"/>
        <v>0</v>
      </c>
    </row>
    <row r="25" spans="2:14" ht="20.100000000000001" customHeight="1" x14ac:dyDescent="0.25">
      <c r="B25" s="33" t="s">
        <v>536</v>
      </c>
      <c r="C25" s="41">
        <f>IF(C22-C23&lt;0,C22-C23,0)</f>
        <v>-21191</v>
      </c>
      <c r="D25" s="41">
        <f t="shared" ref="D25:N25" si="7">IF(D22-D23&lt;0,D22-D23,0)</f>
        <v>-817</v>
      </c>
      <c r="E25" s="41">
        <f t="shared" si="7"/>
        <v>0</v>
      </c>
      <c r="F25" s="41">
        <f t="shared" si="7"/>
        <v>0</v>
      </c>
      <c r="G25" s="41">
        <f t="shared" si="7"/>
        <v>-5773</v>
      </c>
      <c r="H25" s="41">
        <f t="shared" si="7"/>
        <v>0</v>
      </c>
      <c r="I25" s="41">
        <f t="shared" si="7"/>
        <v>-767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-1321</v>
      </c>
    </row>
    <row r="26" spans="2:14" ht="20.100000000000001" customHeight="1" x14ac:dyDescent="0.25">
      <c r="B26" s="33" t="s">
        <v>537</v>
      </c>
      <c r="C26" s="41">
        <f>C22-C23</f>
        <v>-21191</v>
      </c>
      <c r="D26" s="41">
        <f>C26+(D22-D23)</f>
        <v>-22008</v>
      </c>
      <c r="E26" s="41">
        <f t="shared" ref="E26:N26" si="8">D26+(E22-E23)</f>
        <v>-8677</v>
      </c>
      <c r="F26" s="41">
        <f t="shared" si="8"/>
        <v>6870</v>
      </c>
      <c r="G26" s="41">
        <f t="shared" si="8"/>
        <v>1097</v>
      </c>
      <c r="H26" s="41">
        <f t="shared" si="8"/>
        <v>4881</v>
      </c>
      <c r="I26" s="41">
        <f t="shared" si="8"/>
        <v>4114</v>
      </c>
      <c r="J26" s="41">
        <f t="shared" si="8"/>
        <v>4689</v>
      </c>
      <c r="K26" s="41">
        <f t="shared" si="8"/>
        <v>10765</v>
      </c>
      <c r="L26" s="41">
        <f t="shared" si="8"/>
        <v>11472</v>
      </c>
      <c r="M26" s="41">
        <f t="shared" si="8"/>
        <v>19745</v>
      </c>
      <c r="N26" s="42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27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33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34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35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36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37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543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39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33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34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35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37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46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543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tabSelected="1" zoomScaleNormal="100" workbookViewId="0">
      <selection activeCell="G4" sqref="G4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547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C7">
        <v>0</v>
      </c>
      <c r="J7" t="s">
        <v>548</v>
      </c>
    </row>
    <row r="8" spans="2:15" ht="20.100000000000001" customHeight="1" x14ac:dyDescent="0.25">
      <c r="B8" s="47" t="s">
        <v>542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48" t="s">
        <v>39</v>
      </c>
      <c r="C9" s="51">
        <v>6816</v>
      </c>
      <c r="D9" s="51">
        <v>9291</v>
      </c>
      <c r="E9" s="51">
        <v>9778</v>
      </c>
      <c r="F9" s="51">
        <v>6321</v>
      </c>
      <c r="G9" s="51">
        <v>6846</v>
      </c>
      <c r="H9" s="51">
        <v>3092</v>
      </c>
      <c r="I9" s="51">
        <v>4672</v>
      </c>
      <c r="J9" s="51">
        <v>46816</v>
      </c>
    </row>
    <row r="10" spans="2:15" ht="20.100000000000001" customHeight="1" x14ac:dyDescent="0.25">
      <c r="B10" s="49" t="s">
        <v>33</v>
      </c>
      <c r="C10" s="51"/>
      <c r="D10" s="51">
        <v>3255</v>
      </c>
      <c r="E10" s="51">
        <v>1996</v>
      </c>
      <c r="F10" s="51"/>
      <c r="G10" s="51"/>
      <c r="H10" s="51"/>
      <c r="I10" s="51"/>
      <c r="J10" s="51">
        <v>5251</v>
      </c>
    </row>
    <row r="11" spans="2:15" ht="20.100000000000001" customHeight="1" x14ac:dyDescent="0.25">
      <c r="B11" s="49" t="s">
        <v>34</v>
      </c>
      <c r="C11" s="51">
        <v>3598</v>
      </c>
      <c r="D11" s="51">
        <v>2623</v>
      </c>
      <c r="E11" s="51">
        <v>2975</v>
      </c>
      <c r="F11" s="51"/>
      <c r="G11" s="51">
        <v>3411</v>
      </c>
      <c r="H11" s="51"/>
      <c r="I11" s="51">
        <v>819</v>
      </c>
      <c r="J11" s="51">
        <v>13426</v>
      </c>
    </row>
    <row r="12" spans="2:15" ht="20.100000000000001" customHeight="1" x14ac:dyDescent="0.25">
      <c r="B12" s="49" t="s">
        <v>35</v>
      </c>
      <c r="C12" s="51">
        <v>2247</v>
      </c>
      <c r="D12" s="51">
        <v>3413</v>
      </c>
      <c r="E12" s="51"/>
      <c r="F12" s="51"/>
      <c r="G12" s="51"/>
      <c r="H12" s="51">
        <v>159</v>
      </c>
      <c r="I12" s="51"/>
      <c r="J12" s="51">
        <v>5819</v>
      </c>
    </row>
    <row r="13" spans="2:15" ht="20.100000000000001" customHeight="1" x14ac:dyDescent="0.25">
      <c r="B13" s="49" t="s">
        <v>46</v>
      </c>
      <c r="C13" s="51">
        <v>971</v>
      </c>
      <c r="D13" s="51"/>
      <c r="E13" s="51">
        <v>4807</v>
      </c>
      <c r="F13" s="51">
        <v>6321</v>
      </c>
      <c r="G13" s="51">
        <v>3435</v>
      </c>
      <c r="H13" s="51">
        <v>2933</v>
      </c>
      <c r="I13" s="51">
        <v>3853</v>
      </c>
      <c r="J13" s="51">
        <v>22320</v>
      </c>
    </row>
    <row r="14" spans="2:15" ht="20.100000000000001" customHeight="1" x14ac:dyDescent="0.25">
      <c r="B14" s="48" t="s">
        <v>543</v>
      </c>
      <c r="C14" s="51">
        <v>6816</v>
      </c>
      <c r="D14" s="51">
        <v>9291</v>
      </c>
      <c r="E14" s="51">
        <v>9778</v>
      </c>
      <c r="F14" s="51">
        <v>6321</v>
      </c>
      <c r="G14" s="51">
        <v>6846</v>
      </c>
      <c r="H14" s="51">
        <v>3092</v>
      </c>
      <c r="I14" s="51">
        <v>4672</v>
      </c>
      <c r="J14" s="51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2020-04-23T15:43:23Z</dcterms:modified>
</cp:coreProperties>
</file>