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 localSheetId="16">TbPCEntradasN1[Nível 1]</definedName>
    <definedName name="PCEntradasN1_Nível_1">TbPCEntradasN1[Nível 1]</definedName>
    <definedName name="PCEntradasN2_Nível_1" localSheetId="16">TbPCEntradasN2[Nível 1]</definedName>
    <definedName name="PCEntradasN2_Nível_1">TbPCEntradasN2[Nível 1]</definedName>
    <definedName name="PCEntradasN2_Nível_2" localSheetId="16">TbPCEntradasN2[Nível 2]</definedName>
    <definedName name="PCEntradasN2_Nível_2">TbPCEntradasN2[Nível 2]</definedName>
    <definedName name="PCSaídasN1_Nível_1" localSheetId="16">TbPCSaídasN1[Nível 1]</definedName>
    <definedName name="PCSaídasN1_Nível_1">TbPCSaídasN1[Nível 1]</definedName>
    <definedName name="PCSaídasN2_Nível_1" localSheetId="16">TbPCSaídasN2[Nível 1]</definedName>
    <definedName name="PCSaídasN2_Nível_1">TbPCSaídasN2[Nível 1]</definedName>
    <definedName name="PCSaídasN2_Nível_2" localSheetId="16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20"/>
    <pivotCache cacheId="75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16" i="19" l="1"/>
  <c r="H15" i="19"/>
  <c r="H14" i="19"/>
  <c r="H13" i="19"/>
  <c r="H12" i="19"/>
  <c r="H11" i="19"/>
  <c r="H10" i="19"/>
  <c r="H9" i="19"/>
  <c r="H8" i="19"/>
  <c r="H7" i="19"/>
  <c r="H6" i="19"/>
  <c r="G16" i="19"/>
  <c r="G15" i="19"/>
  <c r="G14" i="19"/>
  <c r="G13" i="19"/>
  <c r="G12" i="19"/>
  <c r="G11" i="19"/>
  <c r="G10" i="19"/>
  <c r="G9" i="19"/>
  <c r="G8" i="19"/>
  <c r="G7" i="19"/>
  <c r="G6" i="19"/>
  <c r="H5" i="19"/>
  <c r="G5" i="19"/>
  <c r="C4" i="19"/>
  <c r="C10" i="19" s="1"/>
  <c r="H31" i="20"/>
  <c r="J4" i="20"/>
  <c r="H31" i="19"/>
  <c r="J4" i="19"/>
  <c r="D13" i="19" l="1"/>
  <c r="B8" i="18" s="1"/>
  <c r="D14" i="19"/>
  <c r="B11" i="18" s="1"/>
  <c r="C9" i="19"/>
  <c r="H30" i="20"/>
  <c r="B16" i="18" l="1"/>
  <c r="B16" i="16" l="1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8" i="19" l="1"/>
  <c r="C11" i="19" s="1"/>
  <c r="B5" i="18" s="1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<sst xmlns="http://schemas.openxmlformats.org/spreadsheetml/2006/main" count="1806" uniqueCount="606">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</sst>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9" formatCode="&quot;R$&quot;\ #,##0"/>
    <numFmt numFmtId="170" formatCode="&quot;R$&quot;\ #,##0.00"/>
  </numFmts>
  <fonts count="32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0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0" fontId="0" fillId="0" borderId="17" xfId="0" applyBorder="1" applyAlignment="1" applyProtection="1">
      <alignment horizontal="center" vertical="center"/>
    </xf>
    <xf numFmtId="6" fontId="15" fillId="0" borderId="21" xfId="2" applyNumberFormat="1" applyFont="1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70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70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9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9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9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37"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tual"/>
      <sheetName val="DashBoardFinanceiroAnualD"/>
      <sheetName val="DashBoardFinanceiroAtua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K4" t="str">
            <v>Som e imagem</v>
          </cell>
        </row>
        <row r="14">
          <cell r="K14" t="str">
            <v>Vestuário</v>
          </cell>
        </row>
      </sheetData>
      <sheetData sheetId="15">
        <row r="4">
          <cell r="K4" t="str">
            <v>Livros</v>
          </cell>
        </row>
        <row r="14">
          <cell r="K14" t="str">
            <v>Vestuário</v>
          </cell>
        </row>
      </sheetData>
      <sheetData sheetId="16" refreshError="1"/>
      <sheetData sheetId="17">
        <row r="5">
          <cell r="K5" t="e">
            <v>#N/A</v>
          </cell>
          <cell r="L5" t="str">
            <v>Jan</v>
          </cell>
        </row>
        <row r="6">
          <cell r="K6">
            <v>5718</v>
          </cell>
          <cell r="L6" t="str">
            <v>Fev</v>
          </cell>
        </row>
        <row r="7">
          <cell r="K7">
            <v>4918</v>
          </cell>
          <cell r="L7" t="str">
            <v>Mar</v>
          </cell>
        </row>
        <row r="8">
          <cell r="K8">
            <v>3446</v>
          </cell>
          <cell r="L8" t="str">
            <v>Abr</v>
          </cell>
        </row>
        <row r="9">
          <cell r="K9">
            <v>611</v>
          </cell>
          <cell r="L9" t="str">
            <v>Mai</v>
          </cell>
        </row>
        <row r="10">
          <cell r="K10">
            <v>3224</v>
          </cell>
          <cell r="L10" t="str">
            <v>Jun</v>
          </cell>
        </row>
        <row r="11">
          <cell r="K11">
            <v>1306</v>
          </cell>
          <cell r="L11" t="str">
            <v>Jul</v>
          </cell>
        </row>
        <row r="12">
          <cell r="K12" t="e">
            <v>#N/A</v>
          </cell>
          <cell r="L12" t="str">
            <v>Ago</v>
          </cell>
        </row>
        <row r="13">
          <cell r="K13">
            <v>6637</v>
          </cell>
          <cell r="L13" t="str">
            <v>Set</v>
          </cell>
        </row>
        <row r="14">
          <cell r="K14" t="e">
            <v>#N/A</v>
          </cell>
          <cell r="L14" t="str">
            <v>Out</v>
          </cell>
        </row>
        <row r="15">
          <cell r="K15" t="e">
            <v>#N/A</v>
          </cell>
          <cell r="L15" t="str">
            <v>Nov</v>
          </cell>
        </row>
        <row r="16">
          <cell r="K16" t="e">
            <v>#N/A</v>
          </cell>
          <cell r="L16" t="str">
            <v>Dez</v>
          </cell>
        </row>
        <row r="21">
          <cell r="C21" t="str">
            <v>À Vista</v>
          </cell>
          <cell r="D21" t="str">
            <v>A Prazo</v>
          </cell>
        </row>
        <row r="22">
          <cell r="C22">
            <v>82959</v>
          </cell>
          <cell r="D22">
            <v>188812</v>
          </cell>
          <cell r="E22">
            <v>271771</v>
          </cell>
        </row>
        <row r="31">
          <cell r="C31" t="str">
            <v>Entradas</v>
          </cell>
          <cell r="D31" t="str">
            <v>Saídas</v>
          </cell>
        </row>
        <row r="32">
          <cell r="C32">
            <v>271771</v>
          </cell>
          <cell r="D32">
            <v>260299</v>
          </cell>
          <cell r="G32">
            <v>1</v>
          </cell>
          <cell r="H32">
            <v>17594</v>
          </cell>
        </row>
        <row r="33">
          <cell r="G33">
            <v>2</v>
          </cell>
          <cell r="H33">
            <v>10118</v>
          </cell>
        </row>
        <row r="34">
          <cell r="G34">
            <v>3</v>
          </cell>
          <cell r="H34">
            <v>13923</v>
          </cell>
        </row>
        <row r="35">
          <cell r="G35">
            <v>4</v>
          </cell>
          <cell r="H35">
            <v>4589</v>
          </cell>
        </row>
        <row r="36">
          <cell r="G36">
            <v>5</v>
          </cell>
          <cell r="H36">
            <v>11951</v>
          </cell>
        </row>
        <row r="37">
          <cell r="G37">
            <v>6</v>
          </cell>
          <cell r="H37">
            <v>9315</v>
          </cell>
        </row>
        <row r="38">
          <cell r="G38">
            <v>7</v>
          </cell>
          <cell r="H38">
            <v>10808</v>
          </cell>
        </row>
        <row r="39">
          <cell r="G39">
            <v>8</v>
          </cell>
          <cell r="H39">
            <v>1054</v>
          </cell>
        </row>
        <row r="40">
          <cell r="G40">
            <v>9</v>
          </cell>
          <cell r="H40">
            <v>10094</v>
          </cell>
        </row>
        <row r="41">
          <cell r="G41">
            <v>10</v>
          </cell>
          <cell r="H41">
            <v>7029</v>
          </cell>
        </row>
        <row r="42">
          <cell r="G42">
            <v>11</v>
          </cell>
          <cell r="H42">
            <v>0</v>
          </cell>
        </row>
        <row r="43">
          <cell r="G43">
            <v>12</v>
          </cell>
          <cell r="H43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6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5" headerRowBorderDxfId="34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3" headerRowBorderDxfId="32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1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30">
  <autoFilter ref="B3:O234"/>
  <tableColumns count="14">
    <tableColumn id="1" name="Data do Caixa Realizado" dataDxfId="29"/>
    <tableColumn id="2" name="Data da Competência" dataDxfId="28"/>
    <tableColumn id="3" name="Data do Caixa Previsto" dataDxfId="27"/>
    <tableColumn id="4" name="Conta Nível 1"/>
    <tableColumn id="5" name="Conta Nível 2"/>
    <tableColumn id="6" name="Histórico"/>
    <tableColumn id="7" name="Valor" dataDxfId="26"/>
    <tableColumn id="8" name="Mês Caixa" dataDxfId="25">
      <calculatedColumnFormula>IF(TbRegistroEntradas[[#This Row],[Data do Caixa Realizado]]="",0,MONTH(TbRegistroEntradas[[#This Row],[Data do Caixa Realizado]]))</calculatedColumnFormula>
    </tableColumn>
    <tableColumn id="9" name="Ano Caixa" dataDxfId="24">
      <calculatedColumnFormula>IF(TbRegistroEntradas[[#This Row],[Data do Caixa Realizado]]="",0,YEAR(TbRegistroEntradas[[#This Row],[Data do Caixa Realizado]]))</calculatedColumnFormula>
    </tableColumn>
    <tableColumn id="10" name="Mês Competência" dataDxfId="23">
      <calculatedColumnFormula>IF(TbRegistroEntradas[[#This Row],[Data da Competência]]="",0,MONTH(TbRegistroEntradas[[#This Row],[Data da Competência]]))</calculatedColumnFormula>
    </tableColumn>
    <tableColumn id="11" name="Ano Competência" dataDxfId="22">
      <calculatedColumnFormula>IF(TbRegistroEntradas[[#This Row],[Data da Competência]]="",0,YEAR(TbRegistroEntradas[[#This Row],[Data da Competência]]))</calculatedColumnFormula>
    </tableColumn>
    <tableColumn id="12" name="Mês Previsto" dataDxfId="8">
      <calculatedColumnFormula>IF(TbRegistroEntradas[[#This Row],[Data do Caixa Previsto]]="",0,MONTH(TbRegistroEntradas[[#This Row],[Data do Caixa Previsto]]))</calculatedColumnFormula>
    </tableColumn>
    <tableColumn id="13" name="Ano Previsto" dataDxfId="7">
      <calculatedColumnFormula>IF(TbRegistroEntradas[[#This Row],[Data do Caixa Previsto]]="",0,YEAR(TbRegistroEntradas[[#This Row],[Data do Caixa Previsto]]))</calculatedColumnFormula>
    </tableColumn>
    <tableColumn id="14" name="Conta Vencida" dataDxfId="6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21" headerRowBorderDxfId="20" tableBorderDxfId="19">
  <autoFilter ref="B3:N232"/>
  <tableColumns count="13">
    <tableColumn id="1" name="Data do Caixa Realizado" dataDxfId="18"/>
    <tableColumn id="2" name="Data da Competência" dataDxfId="17"/>
    <tableColumn id="3" name="Data do Caixa Previsto" dataDxfId="16"/>
    <tableColumn id="4" name="Conta Nível 1"/>
    <tableColumn id="5" name="Conta Nível 2"/>
    <tableColumn id="6" name="Histórico"/>
    <tableColumn id="7" name="Valor" dataDxfId="15"/>
    <tableColumn id="8" name="Mês Caixa" dataDxfId="14">
      <calculatedColumnFormula>IF(TbRegistroSaídas[[#This Row],[Data do Caixa Realizado]]="",0,MONTH(TbRegistroSaídas[[#This Row],[Data do Caixa Realizado]]))</calculatedColumnFormula>
    </tableColumn>
    <tableColumn id="9" name="Ano Caixa" dataDxfId="13">
      <calculatedColumnFormula>IF(TbRegistroSaídas[[#This Row],[Data do Caixa Realizado]]="",0,YEAR(TbRegistroSaídas[[#This Row],[Data do Caixa Realizado]]))</calculatedColumnFormula>
    </tableColumn>
    <tableColumn id="10" name="Mês Competência" dataDxfId="12">
      <calculatedColumnFormula>IF(TbRegistroSaídas[[#This Row],[Data da Competência]]="",0,MONTH(TbRegistroSaídas[[#This Row],[Data da Competência]]))</calculatedColumnFormula>
    </tableColumn>
    <tableColumn id="11" name="Ano Competência" dataDxfId="11">
      <calculatedColumnFormula>IF(TbRegistroSaídas[[#This Row],[Data da Competência]]="",0,YEAR(TbRegistroSaídas[[#This Row],[Data da Competência]]))</calculatedColumnFormula>
    </tableColumn>
    <tableColumn id="12" name="Mês Previsto" dataDxfId="10">
      <calculatedColumnFormula>IF(TbRegistroSaídas[[#This Row],[Data do Caixa Previsto]]="",0,MONTH(TbRegistroSaídas[[#This Row],[Data do Caixa Previsto]]))</calculatedColumnFormula>
    </tableColumn>
    <tableColumn id="13" name="Ano Previsto" dataDxfId="9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27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44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zoomScale="85" zoomScaleNormal="85" workbookViewId="0">
      <pane ySplit="3" topLeftCell="A209" activePane="bottomLeft" state="frozen"/>
      <selection pane="bottomLeft" activeCell="H135" sqref="H135:H23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</row>
    <row r="4" spans="2:15" ht="20.10000000000000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zoomScale="70" zoomScaleNormal="70" workbookViewId="0">
      <pane ySplit="3" topLeftCell="A204" activePane="bottomLeft" state="frozen"/>
      <selection pane="bottomLeft" activeCell="H232" sqref="H3:H232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C4" sqref="C4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26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32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33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34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35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36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542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38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32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33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34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36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45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542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8" t="s">
        <v>38</v>
      </c>
      <c r="C9" s="51">
        <v>3042</v>
      </c>
      <c r="D9" s="51">
        <v>7524</v>
      </c>
      <c r="E9" s="51">
        <v>3690</v>
      </c>
      <c r="F9" s="51">
        <v>7220</v>
      </c>
      <c r="G9" s="51">
        <v>3086</v>
      </c>
      <c r="H9" s="51">
        <v>2759</v>
      </c>
      <c r="I9" s="51">
        <v>27321</v>
      </c>
    </row>
    <row r="10" spans="2:15" ht="20.100000000000001" customHeight="1" x14ac:dyDescent="0.25">
      <c r="B10" s="49" t="s">
        <v>34</v>
      </c>
      <c r="C10" s="51"/>
      <c r="D10" s="51"/>
      <c r="E10" s="51"/>
      <c r="F10" s="51">
        <v>2707</v>
      </c>
      <c r="G10" s="51"/>
      <c r="H10" s="51"/>
      <c r="I10" s="51">
        <v>2707</v>
      </c>
    </row>
    <row r="11" spans="2:15" ht="20.100000000000001" customHeight="1" x14ac:dyDescent="0.25">
      <c r="B11" s="49" t="s">
        <v>36</v>
      </c>
      <c r="C11" s="51"/>
      <c r="D11" s="51">
        <v>533</v>
      </c>
      <c r="E11" s="51"/>
      <c r="F11" s="51"/>
      <c r="G11" s="51"/>
      <c r="H11" s="51">
        <v>2759</v>
      </c>
      <c r="I11" s="51">
        <v>3292</v>
      </c>
    </row>
    <row r="12" spans="2:15" ht="20.100000000000001" customHeight="1" x14ac:dyDescent="0.25">
      <c r="B12" s="49" t="s">
        <v>45</v>
      </c>
      <c r="C12" s="51">
        <v>3042</v>
      </c>
      <c r="D12" s="51">
        <v>6991</v>
      </c>
      <c r="E12" s="51">
        <v>3690</v>
      </c>
      <c r="F12" s="51">
        <v>4513</v>
      </c>
      <c r="G12" s="51">
        <v>3086</v>
      </c>
      <c r="H12" s="51"/>
      <c r="I12" s="51">
        <v>21322</v>
      </c>
    </row>
    <row r="13" spans="2:15" ht="20.100000000000001" customHeight="1" x14ac:dyDescent="0.25">
      <c r="B13" s="48" t="s">
        <v>542</v>
      </c>
      <c r="C13" s="51">
        <v>3042</v>
      </c>
      <c r="D13" s="51">
        <v>7524</v>
      </c>
      <c r="E13" s="51">
        <v>3690</v>
      </c>
      <c r="F13" s="51">
        <v>7220</v>
      </c>
      <c r="G13" s="51">
        <v>3086</v>
      </c>
      <c r="H13" s="51">
        <v>2759</v>
      </c>
      <c r="I13" s="51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26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32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33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34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35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36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542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26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32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33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35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36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542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7">
        <v>43404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5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23" sqref="N23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12"/>
      <c r="B1" s="113" t="s">
        <v>603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[1]DashBoardFinanceiroAtual!K4</f>
        <v>Livros</v>
      </c>
      <c r="K4" s="118" t="s">
        <v>572</v>
      </c>
      <c r="L4" s="118" t="s">
        <v>569</v>
      </c>
    </row>
    <row r="5" spans="1:12" x14ac:dyDescent="0.25">
      <c r="A5" s="112"/>
      <c r="B5" s="115" t="s">
        <v>604</v>
      </c>
      <c r="C5" s="145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>
        <f>C4</f>
        <v>0</v>
      </c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[1]DashBoardFinanceiroAtual!K14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D12" sqref="D12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11">
        <v>2019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147">
        <f>DashBoardFinanceiroAnualD!$C$11</f>
        <v>21057</v>
      </c>
      <c r="C5" s="53"/>
      <c r="D5" s="57" t="s">
        <v>605</v>
      </c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148">
        <f>DashBoardFinanceiroAnualD!$D$13</f>
        <v>27321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149">
        <f>DashBoardFinanceiroAnualD!$D$14</f>
        <v>20687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2" priority="2" operator="lessThan">
      <formula>0</formula>
    </cfRule>
  </conditionalFormatting>
  <conditionalFormatting sqref="B5">
    <cfRule type="cellIs" dxfId="1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allowBlank="1" showInputMessage="1" showErrorMessage="1" errorTitle="Conta Inexisente!" error="Selecione um item da conta." sqref="K4"/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H5" sqref="H5:H16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9.5703125" bestFit="1" customWidth="1"/>
    <col min="12" max="12" width="6.5703125" customWidth="1"/>
  </cols>
  <sheetData>
    <row r="1" spans="1:12" x14ac:dyDescent="0.25">
      <c r="A1" s="112"/>
      <c r="B1" s="113" t="s">
        <v>564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46">
        <f>DashBoardFinanceiroAnual!$K$2</f>
        <v>2019</v>
      </c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[1]DashBoardFinanceiroAnual!K4</f>
        <v>Som e imagem</v>
      </c>
      <c r="K4" s="118" t="s">
        <v>572</v>
      </c>
      <c r="L4" s="118" t="s">
        <v>569</v>
      </c>
    </row>
    <row r="5" spans="1:12" x14ac:dyDescent="0.25">
      <c r="A5" s="112"/>
      <c r="B5" s="112"/>
      <c r="C5" s="112"/>
      <c r="D5" s="112"/>
      <c r="E5" s="112"/>
      <c r="F5" s="121">
        <v>1</v>
      </c>
      <c r="G5" s="122">
        <f>SUMIFS(TbRegistroSaídas[Valor],TbRegistroSaídas[Mês Previsto],F5,TbRegistroSaídas[Ano Previsto],$C$4,TbRegistroSaídas[Data do Caixa Realizado],"")</f>
        <v>3042</v>
      </c>
      <c r="H5" s="122">
        <f>SUMIFS(TbRegistroEntradas[Valor],TbRegistroEntradas[Mês Previsto],F5,TbRegistroEntradas[Ano Previsto],$C$4,TbRegistroEntradas[Data do Caixa Realizado],"")</f>
        <v>1209</v>
      </c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>
        <f>SUMIFS(TbRegistroSaídas[Valor],TbRegistroSaídas[Mês Previsto],F6,TbRegistroSaídas[Ano Previsto],$C$4,TbRegistroSaídas[Data do Caixa Realizado],"")</f>
        <v>7524</v>
      </c>
      <c r="H6" s="124">
        <f>SUMIFS(TbRegistroEntradas[Valor],TbRegistroEntradas[Mês Previsto],F6,TbRegistroEntradas[Ano Previsto],$C$4,TbRegistroEntradas[Data do Caixa Realizado],"")</f>
        <v>1992</v>
      </c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>
        <f>SUMIFS(TbRegistroSaídas[Valor],TbRegistroSaídas[Mês Previsto],F7,TbRegistroSaídas[Ano Previsto],$C$4,TbRegistroSaídas[Data do Caixa Realizado],"")</f>
        <v>0</v>
      </c>
      <c r="H7" s="124">
        <f>SUMIFS(TbRegistroEntradas[Valor],TbRegistroEntradas[Mês Previsto],F7,TbRegistroEntradas[Ano Previsto],$C$4,TbRegistroEntradas[Data do Caixa Realizado],"")</f>
        <v>0</v>
      </c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12"/>
      <c r="E8" s="112"/>
      <c r="F8" s="112">
        <v>4</v>
      </c>
      <c r="G8" s="124">
        <f>SUMIFS(TbRegistroSaídas[Valor],TbRegistroSaídas[Mês Previsto],F8,TbRegistroSaídas[Ano Previsto],$C$4,TbRegistroSaídas[Data do Caixa Realizado],"")</f>
        <v>3690</v>
      </c>
      <c r="H8" s="124">
        <f>SUMIFS(TbRegistroEntradas[Valor],TbRegistroEntradas[Mês Previsto],F8,TbRegistroEntradas[Ano Previsto],$C$4,TbRegistroEntradas[Data do Caixa Realizado],"")</f>
        <v>4797</v>
      </c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>
        <f>SUMIFS(TbRegistroEntradas[Valor],TbRegistroEntradas[Ano Caixa],"="&amp;$C$4)</f>
        <v>129286</v>
      </c>
      <c r="D9" s="112"/>
      <c r="E9" s="112"/>
      <c r="F9" s="112">
        <v>5</v>
      </c>
      <c r="G9" s="124">
        <f>SUMIFS(TbRegistroSaídas[Valor],TbRegistroSaídas[Mês Previsto],F9,TbRegistroSaídas[Ano Previsto],$C$4,TbRegistroSaídas[Data do Caixa Realizado],"")</f>
        <v>7220</v>
      </c>
      <c r="H9" s="124">
        <f>SUMIFS(TbRegistroEntradas[Valor],TbRegistroEntradas[Mês Previsto],F9,TbRegistroEntradas[Ano Previsto],$C$4,TbRegistroEntradas[Data do Caixa Realizado],"")</f>
        <v>6672</v>
      </c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>
        <f>SUMIFS(TbRegistroSaídas[Valor],TbRegistroSaídas[Ano Caixa],"="&amp;$C$4)</f>
        <v>163337</v>
      </c>
      <c r="D10" s="112"/>
      <c r="E10" s="112"/>
      <c r="F10" s="112">
        <v>6</v>
      </c>
      <c r="G10" s="124">
        <f>SUMIFS(TbRegistroSaídas[Valor],TbRegistroSaídas[Mês Previsto],F10,TbRegistroSaídas[Ano Previsto],$C$4,TbRegistroSaídas[Data do Caixa Realizado],"")</f>
        <v>3086</v>
      </c>
      <c r="H10" s="124">
        <f>SUMIFS(TbRegistroEntradas[Valor],TbRegistroEntradas[Mês Previsto],F10,TbRegistroEntradas[Ano Previsto],$C$4,TbRegistroEntradas[Data do Caixa Realizado],"")</f>
        <v>1482</v>
      </c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>
        <f>C8+(C9-C10)</f>
        <v>21057</v>
      </c>
      <c r="D11" s="112"/>
      <c r="E11" s="112"/>
      <c r="F11" s="112">
        <v>7</v>
      </c>
      <c r="G11" s="124">
        <f>SUMIFS(TbRegistroSaídas[Valor],TbRegistroSaídas[Mês Previsto],F11,TbRegistroSaídas[Ano Previsto],$C$4,TbRegistroSaídas[Data do Caixa Realizado],"")</f>
        <v>0</v>
      </c>
      <c r="H11" s="124">
        <f>SUMIFS(TbRegistroEntradas[Valor],TbRegistroEntradas[Mês Previsto],F11,TbRegistroEntradas[Ano Previsto],$C$4,TbRegistroEntradas[Data do Caixa Realizado],"")</f>
        <v>4535</v>
      </c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>
        <f>SUMIFS(TbRegistroSaídas[Valor],TbRegistroSaídas[Mês Previsto],F12,TbRegistroSaídas[Ano Previsto],$C$4,TbRegistroSaídas[Data do Caixa Realizado],"")</f>
        <v>2759</v>
      </c>
      <c r="H12" s="124">
        <f>SUMIFS(TbRegistroEntradas[Valor],TbRegistroEntradas[Mês Previsto],F12,TbRegistroEntradas[Ano Previsto],$C$4,TbRegistroEntradas[Data do Caixa Realizado],"")</f>
        <v>0</v>
      </c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>
        <f>SUMIFS(TbRegistroSaídas[Valor],TbRegistroSaídas[Data do Caixa Realizado],"",TbRegistroSaídas[Ano Previsto],"="&amp;$C$4)</f>
        <v>27321</v>
      </c>
      <c r="E13" s="112"/>
      <c r="F13" s="112">
        <v>9</v>
      </c>
      <c r="G13" s="124">
        <f>SUMIFS(TbRegistroSaídas[Valor],TbRegistroSaídas[Mês Previsto],F13,TbRegistroSaídas[Ano Previsto],$C$4,TbRegistroSaídas[Data do Caixa Realizado],"")</f>
        <v>0</v>
      </c>
      <c r="H13" s="124">
        <f>SUMIFS(TbRegistroEntradas[Valor],TbRegistroEntradas[Mês Previsto],F13,TbRegistroEntradas[Ano Previsto],$C$4,TbRegistroEntradas[Data do Caixa Realizado],"")</f>
        <v>0</v>
      </c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>
        <f>SUMIFS(TbRegistroEntradas[Valor],TbRegistroEntradas[Data do Caixa Realizado],"",TbRegistroEntradas[Ano Previsto],$C$4)</f>
        <v>20687</v>
      </c>
      <c r="E14" s="112"/>
      <c r="F14" s="112">
        <v>10</v>
      </c>
      <c r="G14" s="124">
        <f>SUMIFS(TbRegistroSaídas[Valor],TbRegistroSaídas[Mês Previsto],F14,TbRegistroSaídas[Ano Previsto],$C$4,TbRegistroSaídas[Data do Caixa Realizado],"")</f>
        <v>0</v>
      </c>
      <c r="H14" s="124">
        <f>SUMIFS(TbRegistroEntradas[Valor],TbRegistroEntradas[Mês Previsto],F14,TbRegistroEntradas[Ano Previsto],$C$4,TbRegistroEntradas[Data do Caixa Realizado],"")</f>
        <v>0</v>
      </c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>
        <f>SUMIFS(TbRegistroSaídas[Valor],TbRegistroSaídas[Mês Previsto],F15,TbRegistroSaídas[Ano Previsto],$C$4,TbRegistroSaídas[Data do Caixa Realizado],"")</f>
        <v>0</v>
      </c>
      <c r="H15" s="124">
        <f>SUMIFS(TbRegistroEntradas[Valor],TbRegistroEntradas[Mês Previsto],F15,TbRegistroEntradas[Ano Previsto],$C$4,TbRegistroEntradas[Data do Caixa Realizado],"")</f>
        <v>0</v>
      </c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>
        <f>SUMIFS(TbRegistroSaídas[Valor],TbRegistroSaídas[Mês Previsto],F16,TbRegistroSaídas[Ano Previsto],$C$4,TbRegistroSaídas[Data do Caixa Realizado],"")</f>
        <v>0</v>
      </c>
      <c r="H16" s="132">
        <f>SUMIFS(TbRegistroEntradas[Valor],TbRegistroEntradas[Mês Previsto],F16,TbRegistroEntradas[Ano Previsto],$C$4,TbRegistroEntradas[Data do Caixa Realizado],"")</f>
        <v>0</v>
      </c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/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[1]DashBoardFinanceiroAnual!K14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DashBoardFinanceiroAnual!PCEntradasN1_Nível_1</vt:lpstr>
      <vt:lpstr>PCEntradasN1_Nível_1</vt:lpstr>
      <vt:lpstr>DashBoardFinanceiroAnual!PCEntradasN2_Nível_1</vt:lpstr>
      <vt:lpstr>PCEntradasN2_Nível_1</vt:lpstr>
      <vt:lpstr>DashBoardFinanceiroAnual!PCEntradasN2_Nível_2</vt:lpstr>
      <vt:lpstr>PCEntradasN2_Nível_2</vt:lpstr>
      <vt:lpstr>DashBoardFinanceiroAnual!PCSaídasN1_Nível_1</vt:lpstr>
      <vt:lpstr>PCSaídasN1_Nível_1</vt:lpstr>
      <vt:lpstr>DashBoardFinanceiroAnual!PCSaídasN2_Nível_1</vt:lpstr>
      <vt:lpstr>PCSaídasN2_Nível_1</vt:lpstr>
      <vt:lpstr>DashBoardFinanceiroAnual!PCSaídasN2_Nível_2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2020-04-24T00:24:56Z</dcterms:modified>
</cp:coreProperties>
</file>