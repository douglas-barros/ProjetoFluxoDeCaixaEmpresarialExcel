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5" activeTab="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76" r:id="rId17"/>
    <pivotCache cacheId="75" r:id="rId18"/>
  </pivotCaches>
  <extLst>
    <ext xmlns:x14="http://schemas.microsoft.com/office/spreadsheetml/2009/9/main" uri="{BBE1A952-AA13-448e-AADC-164F8A28A991}">
      <x14:slicerCaches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G16" i="10" l="1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4" i="10" l="1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<sst xmlns="http://schemas.openxmlformats.org/spreadsheetml/2006/main" count="1673" uniqueCount="551">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</sst>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9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</cellXfs>
  <cellStyles count="1"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microsoft.com/office/2007/relationships/slicerCache" Target="slicerCaches/slicerCache8.xml"/><Relationship Id="rId3" Type="http://schemas.openxmlformats.org/officeDocument/2006/relationships/worksheet" Target="worksheets/sheet3.xml"/><Relationship Id="rId21" Type="http://schemas.microsoft.com/office/2007/relationships/slicerCache" Target="slicerCaches/slicerCache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microsoft.com/office/2007/relationships/slicerCache" Target="slicerCaches/slicerCache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07/relationships/slicerCache" Target="slicerCaches/slicerCache2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5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1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4.xml"/><Relationship Id="rId27" Type="http://schemas.microsoft.com/office/2007/relationships/slicerCache" Target="slicerCaches/slicerCache9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7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75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J14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2"/>
    </i>
    <i r="1">
      <x v="4"/>
    </i>
    <i t="grand">
      <x/>
    </i>
  </rowItems>
  <colFields count="2">
    <field x="7"/>
    <field x="11"/>
  </colFields>
  <colItems count="8">
    <i>
      <x/>
      <x/>
    </i>
    <i r="1">
      <x v="1"/>
    </i>
    <i r="1">
      <x v="4"/>
    </i>
    <i r="1">
      <x v="5"/>
    </i>
    <i r="1">
      <x v="6"/>
    </i>
    <i r="1">
      <x v="8"/>
    </i>
    <i r="1">
      <x v="10"/>
    </i>
    <i t="default">
      <x/>
    </i>
  </colItems>
  <pageFields count="1">
    <pageField fld="12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7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8" s="1"/>
        <i x="9" s="1"/>
        <i x="10" s="1"/>
        <i x="1" s="1"/>
        <i x="2" s="1"/>
        <i x="6" s="1" nd="1"/>
        <i x="7" s="1" nd="1"/>
        <i x="11" s="1" nd="1"/>
        <i x="0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 s="1"/>
        <i x="2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0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9" headerRowBorderDxfId="28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27" headerRowBorderDxfId="26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5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O234" totalsRowShown="0" headerRowDxfId="24">
  <autoFilter ref="B3:O234"/>
  <tableColumns count="14">
    <tableColumn id="1" name="Data do Caixa Realizado" dataDxfId="23"/>
    <tableColumn id="2" name="Data da Competência" dataDxfId="22"/>
    <tableColumn id="3" name="Data do Caixa Previsto" dataDxfId="21"/>
    <tableColumn id="4" name="Conta Nível 1"/>
    <tableColumn id="5" name="Conta Nível 2"/>
    <tableColumn id="6" name="Histórico"/>
    <tableColumn id="7" name="Valor" dataDxfId="20"/>
    <tableColumn id="8" name="Mês Caixa" dataDxfId="19">
      <calculatedColumnFormula>IF(TbRegistroEntradas[[#This Row],[Data do Caixa Realizado]]="",0,MONTH(TbRegistroEntradas[[#This Row],[Data do Caixa Realizado]]))</calculatedColumnFormula>
    </tableColumn>
    <tableColumn id="9" name="Ano Caixa" dataDxfId="18">
      <calculatedColumnFormula>IF(TbRegistroEntradas[[#This Row],[Data do Caixa Realizado]]="",0,YEAR(TbRegistroEntradas[[#This Row],[Data do Caixa Realizado]]))</calculatedColumnFormula>
    </tableColumn>
    <tableColumn id="10" name="Mês Competência" dataDxfId="17">
      <calculatedColumnFormula>IF(TbRegistroEntradas[[#This Row],[Data da Competência]]="",0,MONTH(TbRegistroEntradas[[#This Row],[Data da Competência]]))</calculatedColumnFormula>
    </tableColumn>
    <tableColumn id="11" name="Ano Competência" dataDxfId="16">
      <calculatedColumnFormula>IF(TbRegistroEntradas[[#This Row],[Data da Competência]]="",0,YEAR(TbRegistroEntradas[[#This Row],[Data da Competência]]))</calculatedColumnFormula>
    </tableColumn>
    <tableColumn id="12" name="Mês Previsto" dataDxfId="2">
      <calculatedColumnFormula>IF(TbRegistroEntradas[[#This Row],[Data do Caixa Previsto]]="",0,MONTH(TbRegistroEntradas[[#This Row],[Data do Caixa Previsto]]))</calculatedColumnFormula>
    </tableColumn>
    <tableColumn id="13" name="Ano Previsto" dataDxfId="1">
      <calculatedColumnFormula>IF(TbRegistroEntradas[[#This Row],[Data do Caixa Previsto]]="",0,YEAR(TbRegistroEntradas[[#This Row],[Data do Caixa Previsto]]))</calculatedColumnFormula>
    </tableColumn>
    <tableColumn id="14" name="Conta Vencida" dataDxfId="0">
      <calculatedColumnFormula>IF(AND(TbRegistroEntradas[[#This Row],[Data do Caixa Previsto]]&lt;TODAY(),TbRegistroEntradas[[#This Row],[Data do Caixa Realizado]]=""),"Vencida","Não Vencida")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15" headerRowBorderDxfId="14" tableBorderDxfId="13">
  <autoFilter ref="B3:N232">
    <filterColumn colId="0">
      <filters blank="1"/>
    </filterColumn>
    <filterColumn colId="2">
      <filters>
        <dateGroupItem year="2018" dateTimeGrouping="year"/>
      </filters>
    </filterColumn>
  </autoFilter>
  <tableColumns count="13">
    <tableColumn id="1" name="Data do Caixa Realizado" dataDxfId="12"/>
    <tableColumn id="2" name="Data da Competência" dataDxfId="11"/>
    <tableColumn id="3" name="Data do Caixa Previsto" dataDxfId="10"/>
    <tableColumn id="4" name="Conta Nível 1"/>
    <tableColumn id="5" name="Conta Nível 2"/>
    <tableColumn id="6" name="Histórico"/>
    <tableColumn id="7" name="Valor" dataDxfId="9"/>
    <tableColumn id="8" name="Mês Caixa" dataDxfId="8">
      <calculatedColumnFormula>IF(TbRegistroSaídas[[#This Row],[Data do Caixa Realizado]]="",0,MONTH(TbRegistroSaídas[[#This Row],[Data do Caixa Realizado]]))</calculatedColumnFormula>
    </tableColumn>
    <tableColumn id="9" name="Ano Caixa" dataDxfId="7">
      <calculatedColumnFormula>IF(TbRegistroSaídas[[#This Row],[Data do Caixa Realizado]]="",0,YEAR(TbRegistroSaídas[[#This Row],[Data do Caixa Realizado]]))</calculatedColumnFormula>
    </tableColumn>
    <tableColumn id="10" name="Mês Competência" dataDxfId="6">
      <calculatedColumnFormula>IF(TbRegistroSaídas[[#This Row],[Data da Competência]]="",0,MONTH(TbRegistroSaídas[[#This Row],[Data da Competência]]))</calculatedColumnFormula>
    </tableColumn>
    <tableColumn id="11" name="Ano Competência" dataDxfId="5">
      <calculatedColumnFormula>IF(TbRegistroSaídas[[#This Row],[Data da Competência]]="",0,YEAR(TbRegistroSaídas[[#This Row],[Data da Competência]]))</calculatedColumnFormula>
    </tableColumn>
    <tableColumn id="12" name="Mês Previsto" dataDxfId="4">
      <calculatedColumnFormula>IF(TbRegistroSaídas[[#This Row],[Data do Caixa Previsto]]="",0,MONTH(TbRegistroSaídas[[#This Row],[Data do Caixa Previsto]]))</calculatedColumnFormula>
    </tableColumn>
    <tableColumn id="13" name="Ano Previsto" dataDxfId="3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28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45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O234"/>
  <sheetViews>
    <sheetView showGridLines="0" tabSelected="1" zoomScale="85" zoomScaleNormal="85" workbookViewId="0">
      <pane ySplit="3" topLeftCell="A4" activePane="bottomLeft" state="frozen"/>
      <selection pane="bottomLeft" activeCell="C5" sqref="C5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5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5" ht="39.950000000000003" customHeight="1" x14ac:dyDescent="0.25">
      <c r="B2" s="12"/>
      <c r="C2" s="12"/>
      <c r="D2" s="12"/>
      <c r="E2" s="5"/>
      <c r="F2" s="5"/>
      <c r="G2" s="5"/>
      <c r="H2" s="15"/>
    </row>
    <row r="3" spans="2:15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  <c r="K3" s="19" t="s">
        <v>540</v>
      </c>
      <c r="L3" s="19" t="s">
        <v>541</v>
      </c>
      <c r="M3" s="19" t="s">
        <v>546</v>
      </c>
      <c r="N3" s="19" t="s">
        <v>547</v>
      </c>
      <c r="O3" s="19" t="s">
        <v>549</v>
      </c>
    </row>
    <row r="4" spans="2:15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50">
        <f>IF(TbRegistroEntradas[[#This Row],[Data do Caixa Previsto]]="",0,MONTH(TbRegistroEntradas[[#This Row],[Data do Caixa Previsto]]))</f>
        <v>8</v>
      </c>
      <c r="N4" s="50">
        <f>IF(TbRegistroEntradas[[#This Row],[Data do Caixa Previsto]]="",0,YEAR(TbRegistroEntradas[[#This Row],[Data do Caixa Previsto]]))</f>
        <v>2017</v>
      </c>
      <c r="O4" s="50" t="str">
        <f ca="1">IF(AND(TbRegistroEntradas[[#This Row],[Data do Caixa Previsto]]&lt;TODAY(),TbRegistroEntradas[[#This Row],[Data do Caixa Realizado]]=""),"Vencida","Não Vencida")</f>
        <v>Não Vencida</v>
      </c>
    </row>
    <row r="5" spans="2:15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50">
        <f>IF(TbRegistroEntradas[[#This Row],[Data do Caixa Previsto]]="",0,MONTH(TbRegistroEntradas[[#This Row],[Data do Caixa Previsto]]))</f>
        <v>9</v>
      </c>
      <c r="N5" s="50">
        <f>IF(TbRegistroEntradas[[#This Row],[Data do Caixa Previsto]]="",0,YEAR(TbRegistroEntradas[[#This Row],[Data do Caixa Previsto]]))</f>
        <v>2017</v>
      </c>
      <c r="O5" s="50" t="str">
        <f ca="1">IF(AND(TbRegistroEntradas[[#This Row],[Data do Caixa Previsto]]&lt;TODAY(),TbRegistroEntradas[[#This Row],[Data do Caixa Realizado]]=""),"Vencida","Não Vencida")</f>
        <v>Não Vencida</v>
      </c>
    </row>
    <row r="6" spans="2:15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50">
        <f>IF(TbRegistroEntradas[[#This Row],[Data do Caixa Previsto]]="",0,MONTH(TbRegistroEntradas[[#This Row],[Data do Caixa Previsto]]))</f>
        <v>9</v>
      </c>
      <c r="N6" s="50">
        <f>IF(TbRegistroEntradas[[#This Row],[Data do Caixa Previsto]]="",0,YEAR(TbRegistroEntradas[[#This Row],[Data do Caixa Previsto]]))</f>
        <v>2017</v>
      </c>
      <c r="O6" s="50" t="str">
        <f ca="1">IF(AND(TbRegistroEntradas[[#This Row],[Data do Caixa Previsto]]&lt;TODAY(),TbRegistroEntradas[[#This Row],[Data do Caixa Realizado]]=""),"Vencida","Não Vencida")</f>
        <v>Não Vencida</v>
      </c>
    </row>
    <row r="7" spans="2:15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50">
        <f>IF(TbRegistroEntradas[[#This Row],[Data do Caixa Previsto]]="",0,MONTH(TbRegistroEntradas[[#This Row],[Data do Caixa Previsto]]))</f>
        <v>10</v>
      </c>
      <c r="N7" s="50">
        <f>IF(TbRegistroEntradas[[#This Row],[Data do Caixa Previsto]]="",0,YEAR(TbRegistroEntradas[[#This Row],[Data do Caixa Previsto]]))</f>
        <v>2017</v>
      </c>
      <c r="O7" s="50" t="str">
        <f ca="1">IF(AND(TbRegistroEntradas[[#This Row],[Data do Caixa Previsto]]&lt;TODAY(),TbRegistroEntradas[[#This Row],[Data do Caixa Realizado]]=""),"Vencida","Não Vencida")</f>
        <v>Não Vencida</v>
      </c>
    </row>
    <row r="8" spans="2:15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50">
        <f>IF(TbRegistroEntradas[[#This Row],[Data do Caixa Previsto]]="",0,MONTH(TbRegistroEntradas[[#This Row],[Data do Caixa Previsto]]))</f>
        <v>10</v>
      </c>
      <c r="N8" s="50">
        <f>IF(TbRegistroEntradas[[#This Row],[Data do Caixa Previsto]]="",0,YEAR(TbRegistroEntradas[[#This Row],[Data do Caixa Previsto]]))</f>
        <v>2017</v>
      </c>
      <c r="O8" s="50" t="str">
        <f ca="1">IF(AND(TbRegistroEntradas[[#This Row],[Data do Caixa Previsto]]&lt;TODAY(),TbRegistroEntradas[[#This Row],[Data do Caixa Realizado]]=""),"Vencida","Não Vencida")</f>
        <v>Não Vencida</v>
      </c>
    </row>
    <row r="9" spans="2:15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50">
        <f>IF(TbRegistroEntradas[[#This Row],[Data do Caixa Previsto]]="",0,MONTH(TbRegistroEntradas[[#This Row],[Data do Caixa Previsto]]))</f>
        <v>10</v>
      </c>
      <c r="N9" s="50">
        <f>IF(TbRegistroEntradas[[#This Row],[Data do Caixa Previsto]]="",0,YEAR(TbRegistroEntradas[[#This Row],[Data do Caixa Previsto]]))</f>
        <v>2017</v>
      </c>
      <c r="O9" s="50" t="str">
        <f ca="1">IF(AND(TbRegistroEntradas[[#This Row],[Data do Caixa Previsto]]&lt;TODAY(),TbRegistroEntradas[[#This Row],[Data do Caixa Realizado]]=""),"Vencida","Não Vencida")</f>
        <v>Não Vencida</v>
      </c>
    </row>
    <row r="10" spans="2:15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50">
        <f>IF(TbRegistroEntradas[[#This Row],[Data do Caixa Previsto]]="",0,MONTH(TbRegistroEntradas[[#This Row],[Data do Caixa Previsto]]))</f>
        <v>10</v>
      </c>
      <c r="N10" s="50">
        <f>IF(TbRegistroEntradas[[#This Row],[Data do Caixa Previsto]]="",0,YEAR(TbRegistroEntradas[[#This Row],[Data do Caixa Previsto]]))</f>
        <v>2017</v>
      </c>
      <c r="O10" s="50" t="str">
        <f ca="1">IF(AND(TbRegistroEntradas[[#This Row],[Data do Caixa Previsto]]&lt;TODAY(),TbRegistroEntradas[[#This Row],[Data do Caixa Realizado]]=""),"Vencida","Não Vencida")</f>
        <v>Não Vencida</v>
      </c>
    </row>
    <row r="11" spans="2:15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50">
        <f>IF(TbRegistroEntradas[[#This Row],[Data do Caixa Previsto]]="",0,MONTH(TbRegistroEntradas[[#This Row],[Data do Caixa Previsto]]))</f>
        <v>9</v>
      </c>
      <c r="N11" s="50">
        <f>IF(TbRegistroEntradas[[#This Row],[Data do Caixa Previsto]]="",0,YEAR(TbRegistroEntradas[[#This Row],[Data do Caixa Previsto]]))</f>
        <v>2017</v>
      </c>
      <c r="O11" s="50" t="str">
        <f ca="1">IF(AND(TbRegistroEntradas[[#This Row],[Data do Caixa Previsto]]&lt;TODAY(),TbRegistroEntradas[[#This Row],[Data do Caixa Realizado]]=""),"Vencida","Não Vencida")</f>
        <v>Não Vencida</v>
      </c>
    </row>
    <row r="12" spans="2:15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50">
        <f>IF(TbRegistroEntradas[[#This Row],[Data do Caixa Previsto]]="",0,MONTH(TbRegistroEntradas[[#This Row],[Data do Caixa Previsto]]))</f>
        <v>10</v>
      </c>
      <c r="N12" s="50">
        <f>IF(TbRegistroEntradas[[#This Row],[Data do Caixa Previsto]]="",0,YEAR(TbRegistroEntradas[[#This Row],[Data do Caixa Previsto]]))</f>
        <v>2017</v>
      </c>
      <c r="O12" s="50" t="str">
        <f ca="1">IF(AND(TbRegistroEntradas[[#This Row],[Data do Caixa Previsto]]&lt;TODAY(),TbRegistroEntradas[[#This Row],[Data do Caixa Realizado]]=""),"Vencida","Não Vencida")</f>
        <v>Não Vencida</v>
      </c>
    </row>
    <row r="13" spans="2:15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50">
        <f>IF(TbRegistroEntradas[[#This Row],[Data do Caixa Previsto]]="",0,MONTH(TbRegistroEntradas[[#This Row],[Data do Caixa Previsto]]))</f>
        <v>10</v>
      </c>
      <c r="N13" s="50">
        <f>IF(TbRegistroEntradas[[#This Row],[Data do Caixa Previsto]]="",0,YEAR(TbRegistroEntradas[[#This Row],[Data do Caixa Previsto]]))</f>
        <v>2017</v>
      </c>
      <c r="O13" s="50" t="str">
        <f ca="1">IF(AND(TbRegistroEntradas[[#This Row],[Data do Caixa Previsto]]&lt;TODAY(),TbRegistroEntradas[[#This Row],[Data do Caixa Realizado]]=""),"Vencida","Não Vencida")</f>
        <v>Vencida</v>
      </c>
    </row>
    <row r="14" spans="2:15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50">
        <f>IF(TbRegistroEntradas[[#This Row],[Data do Caixa Previsto]]="",0,MONTH(TbRegistroEntradas[[#This Row],[Data do Caixa Previsto]]))</f>
        <v>9</v>
      </c>
      <c r="N14" s="50">
        <f>IF(TbRegistroEntradas[[#This Row],[Data do Caixa Previsto]]="",0,YEAR(TbRegistroEntradas[[#This Row],[Data do Caixa Previsto]]))</f>
        <v>2017</v>
      </c>
      <c r="O14" s="50" t="str">
        <f ca="1">IF(AND(TbRegistroEntradas[[#This Row],[Data do Caixa Previsto]]&lt;TODAY(),TbRegistroEntradas[[#This Row],[Data do Caixa Realizado]]=""),"Vencida","Não Vencida")</f>
        <v>Não Vencida</v>
      </c>
    </row>
    <row r="15" spans="2:15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50">
        <f>IF(TbRegistroEntradas[[#This Row],[Data do Caixa Previsto]]="",0,MONTH(TbRegistroEntradas[[#This Row],[Data do Caixa Previsto]]))</f>
        <v>9</v>
      </c>
      <c r="N15" s="50">
        <f>IF(TbRegistroEntradas[[#This Row],[Data do Caixa Previsto]]="",0,YEAR(TbRegistroEntradas[[#This Row],[Data do Caixa Previsto]]))</f>
        <v>2017</v>
      </c>
      <c r="O15" s="50" t="str">
        <f ca="1">IF(AND(TbRegistroEntradas[[#This Row],[Data do Caixa Previsto]]&lt;TODAY(),TbRegistroEntradas[[#This Row],[Data do Caixa Realizado]]=""),"Vencida","Não Vencida")</f>
        <v>Não Vencida</v>
      </c>
    </row>
    <row r="16" spans="2:15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50">
        <f>IF(TbRegistroEntradas[[#This Row],[Data do Caixa Previsto]]="",0,MONTH(TbRegistroEntradas[[#This Row],[Data do Caixa Previsto]]))</f>
        <v>9</v>
      </c>
      <c r="N16" s="50">
        <f>IF(TbRegistroEntradas[[#This Row],[Data do Caixa Previsto]]="",0,YEAR(TbRegistroEntradas[[#This Row],[Data do Caixa Previsto]]))</f>
        <v>2017</v>
      </c>
      <c r="O16" s="50" t="str">
        <f ca="1">IF(AND(TbRegistroEntradas[[#This Row],[Data do Caixa Previsto]]&lt;TODAY(),TbRegistroEntradas[[#This Row],[Data do Caixa Realizado]]=""),"Vencida","Não Vencida")</f>
        <v>Não Vencida</v>
      </c>
    </row>
    <row r="17" spans="2:15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50">
        <f>IF(TbRegistroEntradas[[#This Row],[Data do Caixa Previsto]]="",0,MONTH(TbRegistroEntradas[[#This Row],[Data do Caixa Previsto]]))</f>
        <v>11</v>
      </c>
      <c r="N17" s="50">
        <f>IF(TbRegistroEntradas[[#This Row],[Data do Caixa Previsto]]="",0,YEAR(TbRegistroEntradas[[#This Row],[Data do Caixa Previsto]]))</f>
        <v>2017</v>
      </c>
      <c r="O17" s="50" t="str">
        <f ca="1">IF(AND(TbRegistroEntradas[[#This Row],[Data do Caixa Previsto]]&lt;TODAY(),TbRegistroEntradas[[#This Row],[Data do Caixa Realizado]]=""),"Vencida","Não Vencida")</f>
        <v>Não Vencida</v>
      </c>
    </row>
    <row r="18" spans="2:15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50">
        <f>IF(TbRegistroEntradas[[#This Row],[Data do Caixa Previsto]]="",0,MONTH(TbRegistroEntradas[[#This Row],[Data do Caixa Previsto]]))</f>
        <v>10</v>
      </c>
      <c r="N18" s="50">
        <f>IF(TbRegistroEntradas[[#This Row],[Data do Caixa Previsto]]="",0,YEAR(TbRegistroEntradas[[#This Row],[Data do Caixa Previsto]]))</f>
        <v>2017</v>
      </c>
      <c r="O18" s="50" t="str">
        <f ca="1">IF(AND(TbRegistroEntradas[[#This Row],[Data do Caixa Previsto]]&lt;TODAY(),TbRegistroEntradas[[#This Row],[Data do Caixa Realizado]]=""),"Vencida","Não Vencida")</f>
        <v>Não Vencida</v>
      </c>
    </row>
    <row r="19" spans="2:15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50">
        <f>IF(TbRegistroEntradas[[#This Row],[Data do Caixa Previsto]]="",0,MONTH(TbRegistroEntradas[[#This Row],[Data do Caixa Previsto]]))</f>
        <v>10</v>
      </c>
      <c r="N19" s="50">
        <f>IF(TbRegistroEntradas[[#This Row],[Data do Caixa Previsto]]="",0,YEAR(TbRegistroEntradas[[#This Row],[Data do Caixa Previsto]]))</f>
        <v>2017</v>
      </c>
      <c r="O19" s="50" t="str">
        <f ca="1">IF(AND(TbRegistroEntradas[[#This Row],[Data do Caixa Previsto]]&lt;TODAY(),TbRegistroEntradas[[#This Row],[Data do Caixa Realizado]]=""),"Vencida","Não Vencida")</f>
        <v>Não Vencida</v>
      </c>
    </row>
    <row r="20" spans="2:15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50">
        <f>IF(TbRegistroEntradas[[#This Row],[Data do Caixa Previsto]]="",0,MONTH(TbRegistroEntradas[[#This Row],[Data do Caixa Previsto]]))</f>
        <v>10</v>
      </c>
      <c r="N20" s="50">
        <f>IF(TbRegistroEntradas[[#This Row],[Data do Caixa Previsto]]="",0,YEAR(TbRegistroEntradas[[#This Row],[Data do Caixa Previsto]]))</f>
        <v>2017</v>
      </c>
      <c r="O20" s="50" t="str">
        <f ca="1">IF(AND(TbRegistroEntradas[[#This Row],[Data do Caixa Previsto]]&lt;TODAY(),TbRegistroEntradas[[#This Row],[Data do Caixa Realizado]]=""),"Vencida","Não Vencida")</f>
        <v>Não Vencida</v>
      </c>
    </row>
    <row r="21" spans="2:15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50">
        <f>IF(TbRegistroEntradas[[#This Row],[Data do Caixa Previsto]]="",0,MONTH(TbRegistroEntradas[[#This Row],[Data do Caixa Previsto]]))</f>
        <v>11</v>
      </c>
      <c r="N21" s="50">
        <f>IF(TbRegistroEntradas[[#This Row],[Data do Caixa Previsto]]="",0,YEAR(TbRegistroEntradas[[#This Row],[Data do Caixa Previsto]]))</f>
        <v>2017</v>
      </c>
      <c r="O21" s="50" t="str">
        <f ca="1">IF(AND(TbRegistroEntradas[[#This Row],[Data do Caixa Previsto]]&lt;TODAY(),TbRegistroEntradas[[#This Row],[Data do Caixa Realizado]]=""),"Vencida","Não Vencida")</f>
        <v>Não Vencida</v>
      </c>
    </row>
    <row r="22" spans="2:15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50">
        <f>IF(TbRegistroEntradas[[#This Row],[Data do Caixa Previsto]]="",0,MONTH(TbRegistroEntradas[[#This Row],[Data do Caixa Previsto]]))</f>
        <v>11</v>
      </c>
      <c r="N22" s="50">
        <f>IF(TbRegistroEntradas[[#This Row],[Data do Caixa Previsto]]="",0,YEAR(TbRegistroEntradas[[#This Row],[Data do Caixa Previsto]]))</f>
        <v>2017</v>
      </c>
      <c r="O22" s="50" t="str">
        <f ca="1">IF(AND(TbRegistroEntradas[[#This Row],[Data do Caixa Previsto]]&lt;TODAY(),TbRegistroEntradas[[#This Row],[Data do Caixa Realizado]]=""),"Vencida","Não Vencida")</f>
        <v>Não Vencida</v>
      </c>
    </row>
    <row r="23" spans="2:15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50">
        <f>IF(TbRegistroEntradas[[#This Row],[Data do Caixa Previsto]]="",0,MONTH(TbRegistroEntradas[[#This Row],[Data do Caixa Previsto]]))</f>
        <v>11</v>
      </c>
      <c r="N23" s="50">
        <f>IF(TbRegistroEntradas[[#This Row],[Data do Caixa Previsto]]="",0,YEAR(TbRegistroEntradas[[#This Row],[Data do Caixa Previsto]]))</f>
        <v>2017</v>
      </c>
      <c r="O23" s="50" t="str">
        <f ca="1">IF(AND(TbRegistroEntradas[[#This Row],[Data do Caixa Previsto]]&lt;TODAY(),TbRegistroEntradas[[#This Row],[Data do Caixa Realizado]]=""),"Vencida","Não Vencida")</f>
        <v>Não Vencida</v>
      </c>
    </row>
    <row r="24" spans="2:15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50">
        <f>IF(TbRegistroEntradas[[#This Row],[Data do Caixa Previsto]]="",0,MONTH(TbRegistroEntradas[[#This Row],[Data do Caixa Previsto]]))</f>
        <v>11</v>
      </c>
      <c r="N24" s="50">
        <f>IF(TbRegistroEntradas[[#This Row],[Data do Caixa Previsto]]="",0,YEAR(TbRegistroEntradas[[#This Row],[Data do Caixa Previsto]]))</f>
        <v>2017</v>
      </c>
      <c r="O24" s="50" t="str">
        <f ca="1">IF(AND(TbRegistroEntradas[[#This Row],[Data do Caixa Previsto]]&lt;TODAY(),TbRegistroEntradas[[#This Row],[Data do Caixa Realizado]]=""),"Vencida","Não Vencida")</f>
        <v>Vencida</v>
      </c>
    </row>
    <row r="25" spans="2:15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50">
        <f>IF(TbRegistroEntradas[[#This Row],[Data do Caixa Previsto]]="",0,MONTH(TbRegistroEntradas[[#This Row],[Data do Caixa Previsto]]))</f>
        <v>10</v>
      </c>
      <c r="N25" s="50">
        <f>IF(TbRegistroEntradas[[#This Row],[Data do Caixa Previsto]]="",0,YEAR(TbRegistroEntradas[[#This Row],[Data do Caixa Previsto]]))</f>
        <v>2017</v>
      </c>
      <c r="O25" s="50" t="str">
        <f ca="1">IF(AND(TbRegistroEntradas[[#This Row],[Data do Caixa Previsto]]&lt;TODAY(),TbRegistroEntradas[[#This Row],[Data do Caixa Realizado]]=""),"Vencida","Não Vencida")</f>
        <v>Não Vencida</v>
      </c>
    </row>
    <row r="26" spans="2:15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50">
        <f>IF(TbRegistroEntradas[[#This Row],[Data do Caixa Previsto]]="",0,MONTH(TbRegistroEntradas[[#This Row],[Data do Caixa Previsto]]))</f>
        <v>10</v>
      </c>
      <c r="N26" s="50">
        <f>IF(TbRegistroEntradas[[#This Row],[Data do Caixa Previsto]]="",0,YEAR(TbRegistroEntradas[[#This Row],[Data do Caixa Previsto]]))</f>
        <v>2017</v>
      </c>
      <c r="O26" s="50" t="str">
        <f ca="1">IF(AND(TbRegistroEntradas[[#This Row],[Data do Caixa Previsto]]&lt;TODAY(),TbRegistroEntradas[[#This Row],[Data do Caixa Realizado]]=""),"Vencida","Não Vencida")</f>
        <v>Não Vencida</v>
      </c>
    </row>
    <row r="27" spans="2:15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50">
        <f>IF(TbRegistroEntradas[[#This Row],[Data do Caixa Previsto]]="",0,MONTH(TbRegistroEntradas[[#This Row],[Data do Caixa Previsto]]))</f>
        <v>10</v>
      </c>
      <c r="N27" s="50">
        <f>IF(TbRegistroEntradas[[#This Row],[Data do Caixa Previsto]]="",0,YEAR(TbRegistroEntradas[[#This Row],[Data do Caixa Previsto]]))</f>
        <v>2017</v>
      </c>
      <c r="O27" s="50" t="str">
        <f ca="1">IF(AND(TbRegistroEntradas[[#This Row],[Data do Caixa Previsto]]&lt;TODAY(),TbRegistroEntradas[[#This Row],[Data do Caixa Realizado]]=""),"Vencida","Não Vencida")</f>
        <v>Não Vencida</v>
      </c>
    </row>
    <row r="28" spans="2:15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50">
        <f>IF(TbRegistroEntradas[[#This Row],[Data do Caixa Previsto]]="",0,MONTH(TbRegistroEntradas[[#This Row],[Data do Caixa Previsto]]))</f>
        <v>11</v>
      </c>
      <c r="N28" s="50">
        <f>IF(TbRegistroEntradas[[#This Row],[Data do Caixa Previsto]]="",0,YEAR(TbRegistroEntradas[[#This Row],[Data do Caixa Previsto]]))</f>
        <v>2017</v>
      </c>
      <c r="O28" s="50" t="str">
        <f ca="1">IF(AND(TbRegistroEntradas[[#This Row],[Data do Caixa Previsto]]&lt;TODAY(),TbRegistroEntradas[[#This Row],[Data do Caixa Realizado]]=""),"Vencida","Não Vencida")</f>
        <v>Não Vencida</v>
      </c>
    </row>
    <row r="29" spans="2:15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50">
        <f>IF(TbRegistroEntradas[[#This Row],[Data do Caixa Previsto]]="",0,MONTH(TbRegistroEntradas[[#This Row],[Data do Caixa Previsto]]))</f>
        <v>10</v>
      </c>
      <c r="N29" s="50">
        <f>IF(TbRegistroEntradas[[#This Row],[Data do Caixa Previsto]]="",0,YEAR(TbRegistroEntradas[[#This Row],[Data do Caixa Previsto]]))</f>
        <v>2017</v>
      </c>
      <c r="O29" s="50" t="str">
        <f ca="1">IF(AND(TbRegistroEntradas[[#This Row],[Data do Caixa Previsto]]&lt;TODAY(),TbRegistroEntradas[[#This Row],[Data do Caixa Realizado]]=""),"Vencida","Não Vencida")</f>
        <v>Não Vencida</v>
      </c>
    </row>
    <row r="30" spans="2:15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50">
        <f>IF(TbRegistroEntradas[[#This Row],[Data do Caixa Previsto]]="",0,MONTH(TbRegistroEntradas[[#This Row],[Data do Caixa Previsto]]))</f>
        <v>11</v>
      </c>
      <c r="N30" s="50">
        <f>IF(TbRegistroEntradas[[#This Row],[Data do Caixa Previsto]]="",0,YEAR(TbRegistroEntradas[[#This Row],[Data do Caixa Previsto]]))</f>
        <v>2017</v>
      </c>
      <c r="O30" s="50" t="str">
        <f ca="1">IF(AND(TbRegistroEntradas[[#This Row],[Data do Caixa Previsto]]&lt;TODAY(),TbRegistroEntradas[[#This Row],[Data do Caixa Realizado]]=""),"Vencida","Não Vencida")</f>
        <v>Não Vencida</v>
      </c>
    </row>
    <row r="31" spans="2:15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50">
        <f>IF(TbRegistroEntradas[[#This Row],[Data do Caixa Previsto]]="",0,MONTH(TbRegistroEntradas[[#This Row],[Data do Caixa Previsto]]))</f>
        <v>11</v>
      </c>
      <c r="N31" s="50">
        <f>IF(TbRegistroEntradas[[#This Row],[Data do Caixa Previsto]]="",0,YEAR(TbRegistroEntradas[[#This Row],[Data do Caixa Previsto]]))</f>
        <v>2017</v>
      </c>
      <c r="O31" s="50" t="str">
        <f ca="1">IF(AND(TbRegistroEntradas[[#This Row],[Data do Caixa Previsto]]&lt;TODAY(),TbRegistroEntradas[[#This Row],[Data do Caixa Realizado]]=""),"Vencida","Não Vencida")</f>
        <v>Vencida</v>
      </c>
    </row>
    <row r="32" spans="2:15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50">
        <f>IF(TbRegistroEntradas[[#This Row],[Data do Caixa Previsto]]="",0,MONTH(TbRegistroEntradas[[#This Row],[Data do Caixa Previsto]]))</f>
        <v>11</v>
      </c>
      <c r="N32" s="50">
        <f>IF(TbRegistroEntradas[[#This Row],[Data do Caixa Previsto]]="",0,YEAR(TbRegistroEntradas[[#This Row],[Data do Caixa Previsto]]))</f>
        <v>2017</v>
      </c>
      <c r="O32" s="50" t="str">
        <f ca="1">IF(AND(TbRegistroEntradas[[#This Row],[Data do Caixa Previsto]]&lt;TODAY(),TbRegistroEntradas[[#This Row],[Data do Caixa Realizado]]=""),"Vencida","Não Vencida")</f>
        <v>Não Vencida</v>
      </c>
    </row>
    <row r="33" spans="2:15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50">
        <f>IF(TbRegistroEntradas[[#This Row],[Data do Caixa Previsto]]="",0,MONTH(TbRegistroEntradas[[#This Row],[Data do Caixa Previsto]]))</f>
        <v>11</v>
      </c>
      <c r="N33" s="50">
        <f>IF(TbRegistroEntradas[[#This Row],[Data do Caixa Previsto]]="",0,YEAR(TbRegistroEntradas[[#This Row],[Data do Caixa Previsto]]))</f>
        <v>2017</v>
      </c>
      <c r="O33" s="50" t="str">
        <f ca="1">IF(AND(TbRegistroEntradas[[#This Row],[Data do Caixa Previsto]]&lt;TODAY(),TbRegistroEntradas[[#This Row],[Data do Caixa Realizado]]=""),"Vencida","Não Vencida")</f>
        <v>Não Vencida</v>
      </c>
    </row>
    <row r="34" spans="2:15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50">
        <f>IF(TbRegistroEntradas[[#This Row],[Data do Caixa Previsto]]="",0,MONTH(TbRegistroEntradas[[#This Row],[Data do Caixa Previsto]]))</f>
        <v>11</v>
      </c>
      <c r="N34" s="50">
        <f>IF(TbRegistroEntradas[[#This Row],[Data do Caixa Previsto]]="",0,YEAR(TbRegistroEntradas[[#This Row],[Data do Caixa Previsto]]))</f>
        <v>2017</v>
      </c>
      <c r="O34" s="50" t="str">
        <f ca="1">IF(AND(TbRegistroEntradas[[#This Row],[Data do Caixa Previsto]]&lt;TODAY(),TbRegistroEntradas[[#This Row],[Data do Caixa Realizado]]=""),"Vencida","Não Vencida")</f>
        <v>Não Vencida</v>
      </c>
    </row>
    <row r="35" spans="2:15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50">
        <f>IF(TbRegistroEntradas[[#This Row],[Data do Caixa Previsto]]="",0,MONTH(TbRegistroEntradas[[#This Row],[Data do Caixa Previsto]]))</f>
        <v>1</v>
      </c>
      <c r="N35" s="50">
        <f>IF(TbRegistroEntradas[[#This Row],[Data do Caixa Previsto]]="",0,YEAR(TbRegistroEntradas[[#This Row],[Data do Caixa Previsto]]))</f>
        <v>2018</v>
      </c>
      <c r="O35" s="50" t="str">
        <f ca="1">IF(AND(TbRegistroEntradas[[#This Row],[Data do Caixa Previsto]]&lt;TODAY(),TbRegistroEntradas[[#This Row],[Data do Caixa Realizado]]=""),"Vencida","Não Vencida")</f>
        <v>Não Vencida</v>
      </c>
    </row>
    <row r="36" spans="2:15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50">
        <f>IF(TbRegistroEntradas[[#This Row],[Data do Caixa Previsto]]="",0,MONTH(TbRegistroEntradas[[#This Row],[Data do Caixa Previsto]]))</f>
        <v>11</v>
      </c>
      <c r="N36" s="50">
        <f>IF(TbRegistroEntradas[[#This Row],[Data do Caixa Previsto]]="",0,YEAR(TbRegistroEntradas[[#This Row],[Data do Caixa Previsto]]))</f>
        <v>2017</v>
      </c>
      <c r="O36" s="50" t="str">
        <f ca="1">IF(AND(TbRegistroEntradas[[#This Row],[Data do Caixa Previsto]]&lt;TODAY(),TbRegistroEntradas[[#This Row],[Data do Caixa Realizado]]=""),"Vencida","Não Vencida")</f>
        <v>Não Vencida</v>
      </c>
    </row>
    <row r="37" spans="2:15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50">
        <f>IF(TbRegistroEntradas[[#This Row],[Data do Caixa Previsto]]="",0,MONTH(TbRegistroEntradas[[#This Row],[Data do Caixa Previsto]]))</f>
        <v>1</v>
      </c>
      <c r="N37" s="50">
        <f>IF(TbRegistroEntradas[[#This Row],[Data do Caixa Previsto]]="",0,YEAR(TbRegistroEntradas[[#This Row],[Data do Caixa Previsto]]))</f>
        <v>2018</v>
      </c>
      <c r="O37" s="50" t="str">
        <f ca="1">IF(AND(TbRegistroEntradas[[#This Row],[Data do Caixa Previsto]]&lt;TODAY(),TbRegistroEntradas[[#This Row],[Data do Caixa Realizado]]=""),"Vencida","Não Vencida")</f>
        <v>Vencida</v>
      </c>
    </row>
    <row r="38" spans="2:15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50">
        <f>IF(TbRegistroEntradas[[#This Row],[Data do Caixa Previsto]]="",0,MONTH(TbRegistroEntradas[[#This Row],[Data do Caixa Previsto]]))</f>
        <v>12</v>
      </c>
      <c r="N38" s="50">
        <f>IF(TbRegistroEntradas[[#This Row],[Data do Caixa Previsto]]="",0,YEAR(TbRegistroEntradas[[#This Row],[Data do Caixa Previsto]]))</f>
        <v>2017</v>
      </c>
      <c r="O38" s="50" t="str">
        <f ca="1">IF(AND(TbRegistroEntradas[[#This Row],[Data do Caixa Previsto]]&lt;TODAY(),TbRegistroEntradas[[#This Row],[Data do Caixa Realizado]]=""),"Vencida","Não Vencida")</f>
        <v>Não Vencida</v>
      </c>
    </row>
    <row r="39" spans="2:15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50">
        <f>IF(TbRegistroEntradas[[#This Row],[Data do Caixa Previsto]]="",0,MONTH(TbRegistroEntradas[[#This Row],[Data do Caixa Previsto]]))</f>
        <v>11</v>
      </c>
      <c r="N39" s="50">
        <f>IF(TbRegistroEntradas[[#This Row],[Data do Caixa Previsto]]="",0,YEAR(TbRegistroEntradas[[#This Row],[Data do Caixa Previsto]]))</f>
        <v>2017</v>
      </c>
      <c r="O39" s="50" t="str">
        <f ca="1">IF(AND(TbRegistroEntradas[[#This Row],[Data do Caixa Previsto]]&lt;TODAY(),TbRegistroEntradas[[#This Row],[Data do Caixa Realizado]]=""),"Vencida","Não Vencida")</f>
        <v>Não Vencida</v>
      </c>
    </row>
    <row r="40" spans="2:15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50">
        <f>IF(TbRegistroEntradas[[#This Row],[Data do Caixa Previsto]]="",0,MONTH(TbRegistroEntradas[[#This Row],[Data do Caixa Previsto]]))</f>
        <v>1</v>
      </c>
      <c r="N40" s="50">
        <f>IF(TbRegistroEntradas[[#This Row],[Data do Caixa Previsto]]="",0,YEAR(TbRegistroEntradas[[#This Row],[Data do Caixa Previsto]]))</f>
        <v>2018</v>
      </c>
      <c r="O40" s="50" t="str">
        <f ca="1">IF(AND(TbRegistroEntradas[[#This Row],[Data do Caixa Previsto]]&lt;TODAY(),TbRegistroEntradas[[#This Row],[Data do Caixa Realizado]]=""),"Vencida","Não Vencida")</f>
        <v>Não Vencida</v>
      </c>
    </row>
    <row r="41" spans="2:15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50">
        <f>IF(TbRegistroEntradas[[#This Row],[Data do Caixa Previsto]]="",0,MONTH(TbRegistroEntradas[[#This Row],[Data do Caixa Previsto]]))</f>
        <v>11</v>
      </c>
      <c r="N41" s="50">
        <f>IF(TbRegistroEntradas[[#This Row],[Data do Caixa Previsto]]="",0,YEAR(TbRegistroEntradas[[#This Row],[Data do Caixa Previsto]]))</f>
        <v>2017</v>
      </c>
      <c r="O41" s="50" t="str">
        <f ca="1">IF(AND(TbRegistroEntradas[[#This Row],[Data do Caixa Previsto]]&lt;TODAY(),TbRegistroEntradas[[#This Row],[Data do Caixa Realizado]]=""),"Vencida","Não Vencida")</f>
        <v>Não Vencida</v>
      </c>
    </row>
    <row r="42" spans="2:15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50">
        <f>IF(TbRegistroEntradas[[#This Row],[Data do Caixa Previsto]]="",0,MONTH(TbRegistroEntradas[[#This Row],[Data do Caixa Previsto]]))</f>
        <v>12</v>
      </c>
      <c r="N42" s="50">
        <f>IF(TbRegistroEntradas[[#This Row],[Data do Caixa Previsto]]="",0,YEAR(TbRegistroEntradas[[#This Row],[Data do Caixa Previsto]]))</f>
        <v>2017</v>
      </c>
      <c r="O42" s="50" t="str">
        <f ca="1">IF(AND(TbRegistroEntradas[[#This Row],[Data do Caixa Previsto]]&lt;TODAY(),TbRegistroEntradas[[#This Row],[Data do Caixa Realizado]]=""),"Vencida","Não Vencida")</f>
        <v>Não Vencida</v>
      </c>
    </row>
    <row r="43" spans="2:15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50">
        <f>IF(TbRegistroEntradas[[#This Row],[Data do Caixa Previsto]]="",0,MONTH(TbRegistroEntradas[[#This Row],[Data do Caixa Previsto]]))</f>
        <v>12</v>
      </c>
      <c r="N43" s="50">
        <f>IF(TbRegistroEntradas[[#This Row],[Data do Caixa Previsto]]="",0,YEAR(TbRegistroEntradas[[#This Row],[Data do Caixa Previsto]]))</f>
        <v>2017</v>
      </c>
      <c r="O43" s="50" t="str">
        <f ca="1">IF(AND(TbRegistroEntradas[[#This Row],[Data do Caixa Previsto]]&lt;TODAY(),TbRegistroEntradas[[#This Row],[Data do Caixa Realizado]]=""),"Vencida","Não Vencida")</f>
        <v>Não Vencida</v>
      </c>
    </row>
    <row r="44" spans="2:15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50">
        <f>IF(TbRegistroEntradas[[#This Row],[Data do Caixa Previsto]]="",0,MONTH(TbRegistroEntradas[[#This Row],[Data do Caixa Previsto]]))</f>
        <v>12</v>
      </c>
      <c r="N44" s="50">
        <f>IF(TbRegistroEntradas[[#This Row],[Data do Caixa Previsto]]="",0,YEAR(TbRegistroEntradas[[#This Row],[Data do Caixa Previsto]]))</f>
        <v>2017</v>
      </c>
      <c r="O44" s="50" t="str">
        <f ca="1">IF(AND(TbRegistroEntradas[[#This Row],[Data do Caixa Previsto]]&lt;TODAY(),TbRegistroEntradas[[#This Row],[Data do Caixa Realizado]]=""),"Vencida","Não Vencida")</f>
        <v>Não Vencida</v>
      </c>
    </row>
    <row r="45" spans="2:15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50">
        <f>IF(TbRegistroEntradas[[#This Row],[Data do Caixa Previsto]]="",0,MONTH(TbRegistroEntradas[[#This Row],[Data do Caixa Previsto]]))</f>
        <v>1</v>
      </c>
      <c r="N45" s="50">
        <f>IF(TbRegistroEntradas[[#This Row],[Data do Caixa Previsto]]="",0,YEAR(TbRegistroEntradas[[#This Row],[Data do Caixa Previsto]]))</f>
        <v>2018</v>
      </c>
      <c r="O45" s="50" t="str">
        <f ca="1">IF(AND(TbRegistroEntradas[[#This Row],[Data do Caixa Previsto]]&lt;TODAY(),TbRegistroEntradas[[#This Row],[Data do Caixa Realizado]]=""),"Vencida","Não Vencida")</f>
        <v>Não Vencida</v>
      </c>
    </row>
    <row r="46" spans="2:15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50">
        <f>IF(TbRegistroEntradas[[#This Row],[Data do Caixa Previsto]]="",0,MONTH(TbRegistroEntradas[[#This Row],[Data do Caixa Previsto]]))</f>
        <v>12</v>
      </c>
      <c r="N46" s="50">
        <f>IF(TbRegistroEntradas[[#This Row],[Data do Caixa Previsto]]="",0,YEAR(TbRegistroEntradas[[#This Row],[Data do Caixa Previsto]]))</f>
        <v>2017</v>
      </c>
      <c r="O46" s="50" t="str">
        <f ca="1">IF(AND(TbRegistroEntradas[[#This Row],[Data do Caixa Previsto]]&lt;TODAY(),TbRegistroEntradas[[#This Row],[Data do Caixa Realizado]]=""),"Vencida","Não Vencida")</f>
        <v>Não Vencida</v>
      </c>
    </row>
    <row r="47" spans="2:15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50">
        <f>IF(TbRegistroEntradas[[#This Row],[Data do Caixa Previsto]]="",0,MONTH(TbRegistroEntradas[[#This Row],[Data do Caixa Previsto]]))</f>
        <v>1</v>
      </c>
      <c r="N47" s="50">
        <f>IF(TbRegistroEntradas[[#This Row],[Data do Caixa Previsto]]="",0,YEAR(TbRegistroEntradas[[#This Row],[Data do Caixa Previsto]]))</f>
        <v>2018</v>
      </c>
      <c r="O47" s="50" t="str">
        <f ca="1">IF(AND(TbRegistroEntradas[[#This Row],[Data do Caixa Previsto]]&lt;TODAY(),TbRegistroEntradas[[#This Row],[Data do Caixa Realizado]]=""),"Vencida","Não Vencida")</f>
        <v>Não Vencida</v>
      </c>
    </row>
    <row r="48" spans="2:15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50">
        <f>IF(TbRegistroEntradas[[#This Row],[Data do Caixa Previsto]]="",0,MONTH(TbRegistroEntradas[[#This Row],[Data do Caixa Previsto]]))</f>
        <v>1</v>
      </c>
      <c r="N48" s="50">
        <f>IF(TbRegistroEntradas[[#This Row],[Data do Caixa Previsto]]="",0,YEAR(TbRegistroEntradas[[#This Row],[Data do Caixa Previsto]]))</f>
        <v>2018</v>
      </c>
      <c r="O48" s="50" t="str">
        <f ca="1">IF(AND(TbRegistroEntradas[[#This Row],[Data do Caixa Previsto]]&lt;TODAY(),TbRegistroEntradas[[#This Row],[Data do Caixa Realizado]]=""),"Vencida","Não Vencida")</f>
        <v>Não Vencida</v>
      </c>
    </row>
    <row r="49" spans="2:15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50">
        <f>IF(TbRegistroEntradas[[#This Row],[Data do Caixa Previsto]]="",0,MONTH(TbRegistroEntradas[[#This Row],[Data do Caixa Previsto]]))</f>
        <v>1</v>
      </c>
      <c r="N49" s="50">
        <f>IF(TbRegistroEntradas[[#This Row],[Data do Caixa Previsto]]="",0,YEAR(TbRegistroEntradas[[#This Row],[Data do Caixa Previsto]]))</f>
        <v>2018</v>
      </c>
      <c r="O49" s="50" t="str">
        <f ca="1">IF(AND(TbRegistroEntradas[[#This Row],[Data do Caixa Previsto]]&lt;TODAY(),TbRegistroEntradas[[#This Row],[Data do Caixa Realizado]]=""),"Vencida","Não Vencida")</f>
        <v>Não Vencida</v>
      </c>
    </row>
    <row r="50" spans="2:15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50">
        <f>IF(TbRegistroEntradas[[#This Row],[Data do Caixa Previsto]]="",0,MONTH(TbRegistroEntradas[[#This Row],[Data do Caixa Previsto]]))</f>
        <v>12</v>
      </c>
      <c r="N50" s="50">
        <f>IF(TbRegistroEntradas[[#This Row],[Data do Caixa Previsto]]="",0,YEAR(TbRegistroEntradas[[#This Row],[Data do Caixa Previsto]]))</f>
        <v>2017</v>
      </c>
      <c r="O50" s="50" t="str">
        <f ca="1">IF(AND(TbRegistroEntradas[[#This Row],[Data do Caixa Previsto]]&lt;TODAY(),TbRegistroEntradas[[#This Row],[Data do Caixa Realizado]]=""),"Vencida","Não Vencida")</f>
        <v>Não Vencida</v>
      </c>
    </row>
    <row r="51" spans="2:15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50">
        <f>IF(TbRegistroEntradas[[#This Row],[Data do Caixa Previsto]]="",0,MONTH(TbRegistroEntradas[[#This Row],[Data do Caixa Previsto]]))</f>
        <v>2</v>
      </c>
      <c r="N51" s="50">
        <f>IF(TbRegistroEntradas[[#This Row],[Data do Caixa Previsto]]="",0,YEAR(TbRegistroEntradas[[#This Row],[Data do Caixa Previsto]]))</f>
        <v>2018</v>
      </c>
      <c r="O51" s="50" t="str">
        <f ca="1">IF(AND(TbRegistroEntradas[[#This Row],[Data do Caixa Previsto]]&lt;TODAY(),TbRegistroEntradas[[#This Row],[Data do Caixa Realizado]]=""),"Vencida","Não Vencida")</f>
        <v>Não Vencida</v>
      </c>
    </row>
    <row r="52" spans="2:15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50">
        <f>IF(TbRegistroEntradas[[#This Row],[Data do Caixa Previsto]]="",0,MONTH(TbRegistroEntradas[[#This Row],[Data do Caixa Previsto]]))</f>
        <v>12</v>
      </c>
      <c r="N52" s="50">
        <f>IF(TbRegistroEntradas[[#This Row],[Data do Caixa Previsto]]="",0,YEAR(TbRegistroEntradas[[#This Row],[Data do Caixa Previsto]]))</f>
        <v>2017</v>
      </c>
      <c r="O52" s="50" t="str">
        <f ca="1">IF(AND(TbRegistroEntradas[[#This Row],[Data do Caixa Previsto]]&lt;TODAY(),TbRegistroEntradas[[#This Row],[Data do Caixa Realizado]]=""),"Vencida","Não Vencida")</f>
        <v>Não Vencida</v>
      </c>
    </row>
    <row r="53" spans="2:15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50">
        <f>IF(TbRegistroEntradas[[#This Row],[Data do Caixa Previsto]]="",0,MONTH(TbRegistroEntradas[[#This Row],[Data do Caixa Previsto]]))</f>
        <v>1</v>
      </c>
      <c r="N53" s="50">
        <f>IF(TbRegistroEntradas[[#This Row],[Data do Caixa Previsto]]="",0,YEAR(TbRegistroEntradas[[#This Row],[Data do Caixa Previsto]]))</f>
        <v>2018</v>
      </c>
      <c r="O53" s="50" t="str">
        <f ca="1">IF(AND(TbRegistroEntradas[[#This Row],[Data do Caixa Previsto]]&lt;TODAY(),TbRegistroEntradas[[#This Row],[Data do Caixa Realizado]]=""),"Vencida","Não Vencida")</f>
        <v>Não Vencida</v>
      </c>
    </row>
    <row r="54" spans="2:15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50">
        <f>IF(TbRegistroEntradas[[#This Row],[Data do Caixa Previsto]]="",0,MONTH(TbRegistroEntradas[[#This Row],[Data do Caixa Previsto]]))</f>
        <v>2</v>
      </c>
      <c r="N54" s="50">
        <f>IF(TbRegistroEntradas[[#This Row],[Data do Caixa Previsto]]="",0,YEAR(TbRegistroEntradas[[#This Row],[Data do Caixa Previsto]]))</f>
        <v>2018</v>
      </c>
      <c r="O54" s="50" t="str">
        <f ca="1">IF(AND(TbRegistroEntradas[[#This Row],[Data do Caixa Previsto]]&lt;TODAY(),TbRegistroEntradas[[#This Row],[Data do Caixa Realizado]]=""),"Vencida","Não Vencida")</f>
        <v>Não Vencida</v>
      </c>
    </row>
    <row r="55" spans="2:15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50">
        <f>IF(TbRegistroEntradas[[#This Row],[Data do Caixa Previsto]]="",0,MONTH(TbRegistroEntradas[[#This Row],[Data do Caixa Previsto]]))</f>
        <v>2</v>
      </c>
      <c r="N55" s="50">
        <f>IF(TbRegistroEntradas[[#This Row],[Data do Caixa Previsto]]="",0,YEAR(TbRegistroEntradas[[#This Row],[Data do Caixa Previsto]]))</f>
        <v>2018</v>
      </c>
      <c r="O55" s="50" t="str">
        <f ca="1">IF(AND(TbRegistroEntradas[[#This Row],[Data do Caixa Previsto]]&lt;TODAY(),TbRegistroEntradas[[#This Row],[Data do Caixa Realizado]]=""),"Vencida","Não Vencida")</f>
        <v>Vencida</v>
      </c>
    </row>
    <row r="56" spans="2:15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50">
        <f>IF(TbRegistroEntradas[[#This Row],[Data do Caixa Previsto]]="",0,MONTH(TbRegistroEntradas[[#This Row],[Data do Caixa Previsto]]))</f>
        <v>1</v>
      </c>
      <c r="N56" s="50">
        <f>IF(TbRegistroEntradas[[#This Row],[Data do Caixa Previsto]]="",0,YEAR(TbRegistroEntradas[[#This Row],[Data do Caixa Previsto]]))</f>
        <v>2018</v>
      </c>
      <c r="O56" s="50" t="str">
        <f ca="1">IF(AND(TbRegistroEntradas[[#This Row],[Data do Caixa Previsto]]&lt;TODAY(),TbRegistroEntradas[[#This Row],[Data do Caixa Realizado]]=""),"Vencida","Não Vencida")</f>
        <v>Não Vencida</v>
      </c>
    </row>
    <row r="57" spans="2:15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50">
        <f>IF(TbRegistroEntradas[[#This Row],[Data do Caixa Previsto]]="",0,MONTH(TbRegistroEntradas[[#This Row],[Data do Caixa Previsto]]))</f>
        <v>1</v>
      </c>
      <c r="N57" s="50">
        <f>IF(TbRegistroEntradas[[#This Row],[Data do Caixa Previsto]]="",0,YEAR(TbRegistroEntradas[[#This Row],[Data do Caixa Previsto]]))</f>
        <v>2018</v>
      </c>
      <c r="O57" s="50" t="str">
        <f ca="1">IF(AND(TbRegistroEntradas[[#This Row],[Data do Caixa Previsto]]&lt;TODAY(),TbRegistroEntradas[[#This Row],[Data do Caixa Realizado]]=""),"Vencida","Não Vencida")</f>
        <v>Não Vencida</v>
      </c>
    </row>
    <row r="58" spans="2:15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50">
        <f>IF(TbRegistroEntradas[[#This Row],[Data do Caixa Previsto]]="",0,MONTH(TbRegistroEntradas[[#This Row],[Data do Caixa Previsto]]))</f>
        <v>3</v>
      </c>
      <c r="N58" s="50">
        <f>IF(TbRegistroEntradas[[#This Row],[Data do Caixa Previsto]]="",0,YEAR(TbRegistroEntradas[[#This Row],[Data do Caixa Previsto]]))</f>
        <v>2018</v>
      </c>
      <c r="O58" s="50" t="str">
        <f ca="1">IF(AND(TbRegistroEntradas[[#This Row],[Data do Caixa Previsto]]&lt;TODAY(),TbRegistroEntradas[[#This Row],[Data do Caixa Realizado]]=""),"Vencida","Não Vencida")</f>
        <v>Não Vencida</v>
      </c>
    </row>
    <row r="59" spans="2:15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50">
        <f>IF(TbRegistroEntradas[[#This Row],[Data do Caixa Previsto]]="",0,MONTH(TbRegistroEntradas[[#This Row],[Data do Caixa Previsto]]))</f>
        <v>2</v>
      </c>
      <c r="N59" s="50">
        <f>IF(TbRegistroEntradas[[#This Row],[Data do Caixa Previsto]]="",0,YEAR(TbRegistroEntradas[[#This Row],[Data do Caixa Previsto]]))</f>
        <v>2018</v>
      </c>
      <c r="O59" s="50" t="str">
        <f ca="1">IF(AND(TbRegistroEntradas[[#This Row],[Data do Caixa Previsto]]&lt;TODAY(),TbRegistroEntradas[[#This Row],[Data do Caixa Realizado]]=""),"Vencida","Não Vencida")</f>
        <v>Não Vencida</v>
      </c>
    </row>
    <row r="60" spans="2:15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50">
        <f>IF(TbRegistroEntradas[[#This Row],[Data do Caixa Previsto]]="",0,MONTH(TbRegistroEntradas[[#This Row],[Data do Caixa Previsto]]))</f>
        <v>2</v>
      </c>
      <c r="N60" s="50">
        <f>IF(TbRegistroEntradas[[#This Row],[Data do Caixa Previsto]]="",0,YEAR(TbRegistroEntradas[[#This Row],[Data do Caixa Previsto]]))</f>
        <v>2018</v>
      </c>
      <c r="O60" s="50" t="str">
        <f ca="1">IF(AND(TbRegistroEntradas[[#This Row],[Data do Caixa Previsto]]&lt;TODAY(),TbRegistroEntradas[[#This Row],[Data do Caixa Realizado]]=""),"Vencida","Não Vencida")</f>
        <v>Não Vencida</v>
      </c>
    </row>
    <row r="61" spans="2:15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50">
        <f>IF(TbRegistroEntradas[[#This Row],[Data do Caixa Previsto]]="",0,MONTH(TbRegistroEntradas[[#This Row],[Data do Caixa Previsto]]))</f>
        <v>1</v>
      </c>
      <c r="N61" s="50">
        <f>IF(TbRegistroEntradas[[#This Row],[Data do Caixa Previsto]]="",0,YEAR(TbRegistroEntradas[[#This Row],[Data do Caixa Previsto]]))</f>
        <v>2018</v>
      </c>
      <c r="O61" s="50" t="str">
        <f ca="1">IF(AND(TbRegistroEntradas[[#This Row],[Data do Caixa Previsto]]&lt;TODAY(),TbRegistroEntradas[[#This Row],[Data do Caixa Realizado]]=""),"Vencida","Não Vencida")</f>
        <v>Não Vencida</v>
      </c>
    </row>
    <row r="62" spans="2:15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50">
        <f>IF(TbRegistroEntradas[[#This Row],[Data do Caixa Previsto]]="",0,MONTH(TbRegistroEntradas[[#This Row],[Data do Caixa Previsto]]))</f>
        <v>1</v>
      </c>
      <c r="N62" s="50">
        <f>IF(TbRegistroEntradas[[#This Row],[Data do Caixa Previsto]]="",0,YEAR(TbRegistroEntradas[[#This Row],[Data do Caixa Previsto]]))</f>
        <v>2018</v>
      </c>
      <c r="O62" s="50" t="str">
        <f ca="1">IF(AND(TbRegistroEntradas[[#This Row],[Data do Caixa Previsto]]&lt;TODAY(),TbRegistroEntradas[[#This Row],[Data do Caixa Realizado]]=""),"Vencida","Não Vencida")</f>
        <v>Não Vencida</v>
      </c>
    </row>
    <row r="63" spans="2:15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50">
        <f>IF(TbRegistroEntradas[[#This Row],[Data do Caixa Previsto]]="",0,MONTH(TbRegistroEntradas[[#This Row],[Data do Caixa Previsto]]))</f>
        <v>3</v>
      </c>
      <c r="N63" s="50">
        <f>IF(TbRegistroEntradas[[#This Row],[Data do Caixa Previsto]]="",0,YEAR(TbRegistroEntradas[[#This Row],[Data do Caixa Previsto]]))</f>
        <v>2018</v>
      </c>
      <c r="O63" s="50" t="str">
        <f ca="1">IF(AND(TbRegistroEntradas[[#This Row],[Data do Caixa Previsto]]&lt;TODAY(),TbRegistroEntradas[[#This Row],[Data do Caixa Realizado]]=""),"Vencida","Não Vencida")</f>
        <v>Não Vencida</v>
      </c>
    </row>
    <row r="64" spans="2:15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50">
        <f>IF(TbRegistroEntradas[[#This Row],[Data do Caixa Previsto]]="",0,MONTH(TbRegistroEntradas[[#This Row],[Data do Caixa Previsto]]))</f>
        <v>3</v>
      </c>
      <c r="N64" s="50">
        <f>IF(TbRegistroEntradas[[#This Row],[Data do Caixa Previsto]]="",0,YEAR(TbRegistroEntradas[[#This Row],[Data do Caixa Previsto]]))</f>
        <v>2018</v>
      </c>
      <c r="O64" s="50" t="str">
        <f ca="1">IF(AND(TbRegistroEntradas[[#This Row],[Data do Caixa Previsto]]&lt;TODAY(),TbRegistroEntradas[[#This Row],[Data do Caixa Realizado]]=""),"Vencida","Não Vencida")</f>
        <v>Não Vencida</v>
      </c>
    </row>
    <row r="65" spans="2:15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50">
        <f>IF(TbRegistroEntradas[[#This Row],[Data do Caixa Previsto]]="",0,MONTH(TbRegistroEntradas[[#This Row],[Data do Caixa Previsto]]))</f>
        <v>2</v>
      </c>
      <c r="N65" s="50">
        <f>IF(TbRegistroEntradas[[#This Row],[Data do Caixa Previsto]]="",0,YEAR(TbRegistroEntradas[[#This Row],[Data do Caixa Previsto]]))</f>
        <v>2018</v>
      </c>
      <c r="O65" s="50" t="str">
        <f ca="1">IF(AND(TbRegistroEntradas[[#This Row],[Data do Caixa Previsto]]&lt;TODAY(),TbRegistroEntradas[[#This Row],[Data do Caixa Realizado]]=""),"Vencida","Não Vencida")</f>
        <v>Não Vencida</v>
      </c>
    </row>
    <row r="66" spans="2:15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50">
        <f>IF(TbRegistroEntradas[[#This Row],[Data do Caixa Previsto]]="",0,MONTH(TbRegistroEntradas[[#This Row],[Data do Caixa Previsto]]))</f>
        <v>3</v>
      </c>
      <c r="N66" s="50">
        <f>IF(TbRegistroEntradas[[#This Row],[Data do Caixa Previsto]]="",0,YEAR(TbRegistroEntradas[[#This Row],[Data do Caixa Previsto]]))</f>
        <v>2018</v>
      </c>
      <c r="O66" s="50" t="str">
        <f ca="1">IF(AND(TbRegistroEntradas[[#This Row],[Data do Caixa Previsto]]&lt;TODAY(),TbRegistroEntradas[[#This Row],[Data do Caixa Realizado]]=""),"Vencida","Não Vencida")</f>
        <v>Vencida</v>
      </c>
    </row>
    <row r="67" spans="2:15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50">
        <f>IF(TbRegistroEntradas[[#This Row],[Data do Caixa Previsto]]="",0,MONTH(TbRegistroEntradas[[#This Row],[Data do Caixa Previsto]]))</f>
        <v>2</v>
      </c>
      <c r="N67" s="50">
        <f>IF(TbRegistroEntradas[[#This Row],[Data do Caixa Previsto]]="",0,YEAR(TbRegistroEntradas[[#This Row],[Data do Caixa Previsto]]))</f>
        <v>2018</v>
      </c>
      <c r="O67" s="50" t="str">
        <f ca="1">IF(AND(TbRegistroEntradas[[#This Row],[Data do Caixa Previsto]]&lt;TODAY(),TbRegistroEntradas[[#This Row],[Data do Caixa Realizado]]=""),"Vencida","Não Vencida")</f>
        <v>Não Vencida</v>
      </c>
    </row>
    <row r="68" spans="2:15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50">
        <f>IF(TbRegistroEntradas[[#This Row],[Data do Caixa Previsto]]="",0,MONTH(TbRegistroEntradas[[#This Row],[Data do Caixa Previsto]]))</f>
        <v>2</v>
      </c>
      <c r="N68" s="50">
        <f>IF(TbRegistroEntradas[[#This Row],[Data do Caixa Previsto]]="",0,YEAR(TbRegistroEntradas[[#This Row],[Data do Caixa Previsto]]))</f>
        <v>2018</v>
      </c>
      <c r="O68" s="50" t="str">
        <f ca="1">IF(AND(TbRegistroEntradas[[#This Row],[Data do Caixa Previsto]]&lt;TODAY(),TbRegistroEntradas[[#This Row],[Data do Caixa Realizado]]=""),"Vencida","Não Vencida")</f>
        <v>Não Vencida</v>
      </c>
    </row>
    <row r="69" spans="2:15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50">
        <f>IF(TbRegistroEntradas[[#This Row],[Data do Caixa Previsto]]="",0,MONTH(TbRegistroEntradas[[#This Row],[Data do Caixa Previsto]]))</f>
        <v>4</v>
      </c>
      <c r="N69" s="50">
        <f>IF(TbRegistroEntradas[[#This Row],[Data do Caixa Previsto]]="",0,YEAR(TbRegistroEntradas[[#This Row],[Data do Caixa Previsto]]))</f>
        <v>2018</v>
      </c>
      <c r="O69" s="50" t="str">
        <f ca="1">IF(AND(TbRegistroEntradas[[#This Row],[Data do Caixa Previsto]]&lt;TODAY(),TbRegistroEntradas[[#This Row],[Data do Caixa Realizado]]=""),"Vencida","Não Vencida")</f>
        <v>Não Vencida</v>
      </c>
    </row>
    <row r="70" spans="2:15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50">
        <f>IF(TbRegistroEntradas[[#This Row],[Data do Caixa Previsto]]="",0,MONTH(TbRegistroEntradas[[#This Row],[Data do Caixa Previsto]]))</f>
        <v>4</v>
      </c>
      <c r="N70" s="50">
        <f>IF(TbRegistroEntradas[[#This Row],[Data do Caixa Previsto]]="",0,YEAR(TbRegistroEntradas[[#This Row],[Data do Caixa Previsto]]))</f>
        <v>2018</v>
      </c>
      <c r="O70" s="50" t="str">
        <f ca="1">IF(AND(TbRegistroEntradas[[#This Row],[Data do Caixa Previsto]]&lt;TODAY(),TbRegistroEntradas[[#This Row],[Data do Caixa Realizado]]=""),"Vencida","Não Vencida")</f>
        <v>Não Vencida</v>
      </c>
    </row>
    <row r="71" spans="2:15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50">
        <f>IF(TbRegistroEntradas[[#This Row],[Data do Caixa Previsto]]="",0,MONTH(TbRegistroEntradas[[#This Row],[Data do Caixa Previsto]]))</f>
        <v>2</v>
      </c>
      <c r="N71" s="50">
        <f>IF(TbRegistroEntradas[[#This Row],[Data do Caixa Previsto]]="",0,YEAR(TbRegistroEntradas[[#This Row],[Data do Caixa Previsto]]))</f>
        <v>2018</v>
      </c>
      <c r="O71" s="50" t="str">
        <f ca="1">IF(AND(TbRegistroEntradas[[#This Row],[Data do Caixa Previsto]]&lt;TODAY(),TbRegistroEntradas[[#This Row],[Data do Caixa Realizado]]=""),"Vencida","Não Vencida")</f>
        <v>Não Vencida</v>
      </c>
    </row>
    <row r="72" spans="2:15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50">
        <f>IF(TbRegistroEntradas[[#This Row],[Data do Caixa Previsto]]="",0,MONTH(TbRegistroEntradas[[#This Row],[Data do Caixa Previsto]]))</f>
        <v>4</v>
      </c>
      <c r="N72" s="50">
        <f>IF(TbRegistroEntradas[[#This Row],[Data do Caixa Previsto]]="",0,YEAR(TbRegistroEntradas[[#This Row],[Data do Caixa Previsto]]))</f>
        <v>2018</v>
      </c>
      <c r="O72" s="50" t="str">
        <f ca="1">IF(AND(TbRegistroEntradas[[#This Row],[Data do Caixa Previsto]]&lt;TODAY(),TbRegistroEntradas[[#This Row],[Data do Caixa Realizado]]=""),"Vencida","Não Vencida")</f>
        <v>Vencida</v>
      </c>
    </row>
    <row r="73" spans="2:15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50">
        <f>IF(TbRegistroEntradas[[#This Row],[Data do Caixa Previsto]]="",0,MONTH(TbRegistroEntradas[[#This Row],[Data do Caixa Previsto]]))</f>
        <v>3</v>
      </c>
      <c r="N73" s="50">
        <f>IF(TbRegistroEntradas[[#This Row],[Data do Caixa Previsto]]="",0,YEAR(TbRegistroEntradas[[#This Row],[Data do Caixa Previsto]]))</f>
        <v>2018</v>
      </c>
      <c r="O73" s="50" t="str">
        <f ca="1">IF(AND(TbRegistroEntradas[[#This Row],[Data do Caixa Previsto]]&lt;TODAY(),TbRegistroEntradas[[#This Row],[Data do Caixa Realizado]]=""),"Vencida","Não Vencida")</f>
        <v>Não Vencida</v>
      </c>
    </row>
    <row r="74" spans="2:15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50">
        <f>IF(TbRegistroEntradas[[#This Row],[Data do Caixa Previsto]]="",0,MONTH(TbRegistroEntradas[[#This Row],[Data do Caixa Previsto]]))</f>
        <v>3</v>
      </c>
      <c r="N74" s="50">
        <f>IF(TbRegistroEntradas[[#This Row],[Data do Caixa Previsto]]="",0,YEAR(TbRegistroEntradas[[#This Row],[Data do Caixa Previsto]]))</f>
        <v>2018</v>
      </c>
      <c r="O74" s="50" t="str">
        <f ca="1">IF(AND(TbRegistroEntradas[[#This Row],[Data do Caixa Previsto]]&lt;TODAY(),TbRegistroEntradas[[#This Row],[Data do Caixa Realizado]]=""),"Vencida","Não Vencida")</f>
        <v>Não Vencida</v>
      </c>
    </row>
    <row r="75" spans="2:15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50">
        <f>IF(TbRegistroEntradas[[#This Row],[Data do Caixa Previsto]]="",0,MONTH(TbRegistroEntradas[[#This Row],[Data do Caixa Previsto]]))</f>
        <v>4</v>
      </c>
      <c r="N75" s="50">
        <f>IF(TbRegistroEntradas[[#This Row],[Data do Caixa Previsto]]="",0,YEAR(TbRegistroEntradas[[#This Row],[Data do Caixa Previsto]]))</f>
        <v>2018</v>
      </c>
      <c r="O75" s="50" t="str">
        <f ca="1">IF(AND(TbRegistroEntradas[[#This Row],[Data do Caixa Previsto]]&lt;TODAY(),TbRegistroEntradas[[#This Row],[Data do Caixa Realizado]]=""),"Vencida","Não Vencida")</f>
        <v>Vencida</v>
      </c>
    </row>
    <row r="76" spans="2:15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50">
        <f>IF(TbRegistroEntradas[[#This Row],[Data do Caixa Previsto]]="",0,MONTH(TbRegistroEntradas[[#This Row],[Data do Caixa Previsto]]))</f>
        <v>4</v>
      </c>
      <c r="N76" s="50">
        <f>IF(TbRegistroEntradas[[#This Row],[Data do Caixa Previsto]]="",0,YEAR(TbRegistroEntradas[[#This Row],[Data do Caixa Previsto]]))</f>
        <v>2018</v>
      </c>
      <c r="O76" s="50" t="str">
        <f ca="1">IF(AND(TbRegistroEntradas[[#This Row],[Data do Caixa Previsto]]&lt;TODAY(),TbRegistroEntradas[[#This Row],[Data do Caixa Realizado]]=""),"Vencida","Não Vencida")</f>
        <v>Não Vencida</v>
      </c>
    </row>
    <row r="77" spans="2:15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50">
        <f>IF(TbRegistroEntradas[[#This Row],[Data do Caixa Previsto]]="",0,MONTH(TbRegistroEntradas[[#This Row],[Data do Caixa Previsto]]))</f>
        <v>4</v>
      </c>
      <c r="N77" s="50">
        <f>IF(TbRegistroEntradas[[#This Row],[Data do Caixa Previsto]]="",0,YEAR(TbRegistroEntradas[[#This Row],[Data do Caixa Previsto]]))</f>
        <v>2018</v>
      </c>
      <c r="O77" s="50" t="str">
        <f ca="1">IF(AND(TbRegistroEntradas[[#This Row],[Data do Caixa Previsto]]&lt;TODAY(),TbRegistroEntradas[[#This Row],[Data do Caixa Realizado]]=""),"Vencida","Não Vencida")</f>
        <v>Não Vencida</v>
      </c>
    </row>
    <row r="78" spans="2:15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50">
        <f>IF(TbRegistroEntradas[[#This Row],[Data do Caixa Previsto]]="",0,MONTH(TbRegistroEntradas[[#This Row],[Data do Caixa Previsto]]))</f>
        <v>3</v>
      </c>
      <c r="N78" s="50">
        <f>IF(TbRegistroEntradas[[#This Row],[Data do Caixa Previsto]]="",0,YEAR(TbRegistroEntradas[[#This Row],[Data do Caixa Previsto]]))</f>
        <v>2018</v>
      </c>
      <c r="O78" s="50" t="str">
        <f ca="1">IF(AND(TbRegistroEntradas[[#This Row],[Data do Caixa Previsto]]&lt;TODAY(),TbRegistroEntradas[[#This Row],[Data do Caixa Realizado]]=""),"Vencida","Não Vencida")</f>
        <v>Não Vencida</v>
      </c>
    </row>
    <row r="79" spans="2:15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50">
        <f>IF(TbRegistroEntradas[[#This Row],[Data do Caixa Previsto]]="",0,MONTH(TbRegistroEntradas[[#This Row],[Data do Caixa Previsto]]))</f>
        <v>4</v>
      </c>
      <c r="N79" s="50">
        <f>IF(TbRegistroEntradas[[#This Row],[Data do Caixa Previsto]]="",0,YEAR(TbRegistroEntradas[[#This Row],[Data do Caixa Previsto]]))</f>
        <v>2018</v>
      </c>
      <c r="O79" s="50" t="str">
        <f ca="1">IF(AND(TbRegistroEntradas[[#This Row],[Data do Caixa Previsto]]&lt;TODAY(),TbRegistroEntradas[[#This Row],[Data do Caixa Realizado]]=""),"Vencida","Não Vencida")</f>
        <v>Não Vencida</v>
      </c>
    </row>
    <row r="80" spans="2:15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50">
        <f>IF(TbRegistroEntradas[[#This Row],[Data do Caixa Previsto]]="",0,MONTH(TbRegistroEntradas[[#This Row],[Data do Caixa Previsto]]))</f>
        <v>3</v>
      </c>
      <c r="N80" s="50">
        <f>IF(TbRegistroEntradas[[#This Row],[Data do Caixa Previsto]]="",0,YEAR(TbRegistroEntradas[[#This Row],[Data do Caixa Previsto]]))</f>
        <v>2018</v>
      </c>
      <c r="O80" s="50" t="str">
        <f ca="1">IF(AND(TbRegistroEntradas[[#This Row],[Data do Caixa Previsto]]&lt;TODAY(),TbRegistroEntradas[[#This Row],[Data do Caixa Realizado]]=""),"Vencida","Não Vencida")</f>
        <v>Não Vencida</v>
      </c>
    </row>
    <row r="81" spans="2:15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50">
        <f>IF(TbRegistroEntradas[[#This Row],[Data do Caixa Previsto]]="",0,MONTH(TbRegistroEntradas[[#This Row],[Data do Caixa Previsto]]))</f>
        <v>3</v>
      </c>
      <c r="N81" s="50">
        <f>IF(TbRegistroEntradas[[#This Row],[Data do Caixa Previsto]]="",0,YEAR(TbRegistroEntradas[[#This Row],[Data do Caixa Previsto]]))</f>
        <v>2018</v>
      </c>
      <c r="O81" s="50" t="str">
        <f ca="1">IF(AND(TbRegistroEntradas[[#This Row],[Data do Caixa Previsto]]&lt;TODAY(),TbRegistroEntradas[[#This Row],[Data do Caixa Realizado]]=""),"Vencida","Não Vencida")</f>
        <v>Não Vencida</v>
      </c>
    </row>
    <row r="82" spans="2:15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50">
        <f>IF(TbRegistroEntradas[[#This Row],[Data do Caixa Previsto]]="",0,MONTH(TbRegistroEntradas[[#This Row],[Data do Caixa Previsto]]))</f>
        <v>3</v>
      </c>
      <c r="N82" s="50">
        <f>IF(TbRegistroEntradas[[#This Row],[Data do Caixa Previsto]]="",0,YEAR(TbRegistroEntradas[[#This Row],[Data do Caixa Previsto]]))</f>
        <v>2018</v>
      </c>
      <c r="O82" s="50" t="str">
        <f ca="1">IF(AND(TbRegistroEntradas[[#This Row],[Data do Caixa Previsto]]&lt;TODAY(),TbRegistroEntradas[[#This Row],[Data do Caixa Realizado]]=""),"Vencida","Não Vencida")</f>
        <v>Não Vencida</v>
      </c>
    </row>
    <row r="83" spans="2:15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50">
        <f>IF(TbRegistroEntradas[[#This Row],[Data do Caixa Previsto]]="",0,MONTH(TbRegistroEntradas[[#This Row],[Data do Caixa Previsto]]))</f>
        <v>4</v>
      </c>
      <c r="N83" s="50">
        <f>IF(TbRegistroEntradas[[#This Row],[Data do Caixa Previsto]]="",0,YEAR(TbRegistroEntradas[[#This Row],[Data do Caixa Previsto]]))</f>
        <v>2018</v>
      </c>
      <c r="O83" s="50" t="str">
        <f ca="1">IF(AND(TbRegistroEntradas[[#This Row],[Data do Caixa Previsto]]&lt;TODAY(),TbRegistroEntradas[[#This Row],[Data do Caixa Realizado]]=""),"Vencida","Não Vencida")</f>
        <v>Não Vencida</v>
      </c>
    </row>
    <row r="84" spans="2:15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50">
        <f>IF(TbRegistroEntradas[[#This Row],[Data do Caixa Previsto]]="",0,MONTH(TbRegistroEntradas[[#This Row],[Data do Caixa Previsto]]))</f>
        <v>3</v>
      </c>
      <c r="N84" s="50">
        <f>IF(TbRegistroEntradas[[#This Row],[Data do Caixa Previsto]]="",0,YEAR(TbRegistroEntradas[[#This Row],[Data do Caixa Previsto]]))</f>
        <v>2018</v>
      </c>
      <c r="O84" s="50" t="str">
        <f ca="1">IF(AND(TbRegistroEntradas[[#This Row],[Data do Caixa Previsto]]&lt;TODAY(),TbRegistroEntradas[[#This Row],[Data do Caixa Realizado]]=""),"Vencida","Não Vencida")</f>
        <v>Não Vencida</v>
      </c>
    </row>
    <row r="85" spans="2:15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50">
        <f>IF(TbRegistroEntradas[[#This Row],[Data do Caixa Previsto]]="",0,MONTH(TbRegistroEntradas[[#This Row],[Data do Caixa Previsto]]))</f>
        <v>4</v>
      </c>
      <c r="N85" s="50">
        <f>IF(TbRegistroEntradas[[#This Row],[Data do Caixa Previsto]]="",0,YEAR(TbRegistroEntradas[[#This Row],[Data do Caixa Previsto]]))</f>
        <v>2018</v>
      </c>
      <c r="O85" s="50" t="str">
        <f ca="1">IF(AND(TbRegistroEntradas[[#This Row],[Data do Caixa Previsto]]&lt;TODAY(),TbRegistroEntradas[[#This Row],[Data do Caixa Realizado]]=""),"Vencida","Não Vencida")</f>
        <v>Não Vencida</v>
      </c>
    </row>
    <row r="86" spans="2:15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50">
        <f>IF(TbRegistroEntradas[[#This Row],[Data do Caixa Previsto]]="",0,MONTH(TbRegistroEntradas[[#This Row],[Data do Caixa Previsto]]))</f>
        <v>3</v>
      </c>
      <c r="N86" s="50">
        <f>IF(TbRegistroEntradas[[#This Row],[Data do Caixa Previsto]]="",0,YEAR(TbRegistroEntradas[[#This Row],[Data do Caixa Previsto]]))</f>
        <v>2018</v>
      </c>
      <c r="O86" s="50" t="str">
        <f ca="1">IF(AND(TbRegistroEntradas[[#This Row],[Data do Caixa Previsto]]&lt;TODAY(),TbRegistroEntradas[[#This Row],[Data do Caixa Realizado]]=""),"Vencida","Não Vencida")</f>
        <v>Não Vencida</v>
      </c>
    </row>
    <row r="87" spans="2:15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50">
        <f>IF(TbRegistroEntradas[[#This Row],[Data do Caixa Previsto]]="",0,MONTH(TbRegistroEntradas[[#This Row],[Data do Caixa Previsto]]))</f>
        <v>5</v>
      </c>
      <c r="N87" s="50">
        <f>IF(TbRegistroEntradas[[#This Row],[Data do Caixa Previsto]]="",0,YEAR(TbRegistroEntradas[[#This Row],[Data do Caixa Previsto]]))</f>
        <v>2018</v>
      </c>
      <c r="O87" s="50" t="str">
        <f ca="1">IF(AND(TbRegistroEntradas[[#This Row],[Data do Caixa Previsto]]&lt;TODAY(),TbRegistroEntradas[[#This Row],[Data do Caixa Realizado]]=""),"Vencida","Não Vencida")</f>
        <v>Não Vencida</v>
      </c>
    </row>
    <row r="88" spans="2:15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50">
        <f>IF(TbRegistroEntradas[[#This Row],[Data do Caixa Previsto]]="",0,MONTH(TbRegistroEntradas[[#This Row],[Data do Caixa Previsto]]))</f>
        <v>4</v>
      </c>
      <c r="N88" s="50">
        <f>IF(TbRegistroEntradas[[#This Row],[Data do Caixa Previsto]]="",0,YEAR(TbRegistroEntradas[[#This Row],[Data do Caixa Previsto]]))</f>
        <v>2018</v>
      </c>
      <c r="O88" s="50" t="str">
        <f ca="1">IF(AND(TbRegistroEntradas[[#This Row],[Data do Caixa Previsto]]&lt;TODAY(),TbRegistroEntradas[[#This Row],[Data do Caixa Realizado]]=""),"Vencida","Não Vencida")</f>
        <v>Não Vencida</v>
      </c>
    </row>
    <row r="89" spans="2:15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50">
        <f>IF(TbRegistroEntradas[[#This Row],[Data do Caixa Previsto]]="",0,MONTH(TbRegistroEntradas[[#This Row],[Data do Caixa Previsto]]))</f>
        <v>4</v>
      </c>
      <c r="N89" s="50">
        <f>IF(TbRegistroEntradas[[#This Row],[Data do Caixa Previsto]]="",0,YEAR(TbRegistroEntradas[[#This Row],[Data do Caixa Previsto]]))</f>
        <v>2018</v>
      </c>
      <c r="O89" s="50" t="str">
        <f ca="1">IF(AND(TbRegistroEntradas[[#This Row],[Data do Caixa Previsto]]&lt;TODAY(),TbRegistroEntradas[[#This Row],[Data do Caixa Realizado]]=""),"Vencida","Não Vencida")</f>
        <v>Não Vencida</v>
      </c>
    </row>
    <row r="90" spans="2:15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50">
        <f>IF(TbRegistroEntradas[[#This Row],[Data do Caixa Previsto]]="",0,MONTH(TbRegistroEntradas[[#This Row],[Data do Caixa Previsto]]))</f>
        <v>5</v>
      </c>
      <c r="N90" s="50">
        <f>IF(TbRegistroEntradas[[#This Row],[Data do Caixa Previsto]]="",0,YEAR(TbRegistroEntradas[[#This Row],[Data do Caixa Previsto]]))</f>
        <v>2018</v>
      </c>
      <c r="O90" s="50" t="str">
        <f ca="1">IF(AND(TbRegistroEntradas[[#This Row],[Data do Caixa Previsto]]&lt;TODAY(),TbRegistroEntradas[[#This Row],[Data do Caixa Realizado]]=""),"Vencida","Não Vencida")</f>
        <v>Não Vencida</v>
      </c>
    </row>
    <row r="91" spans="2:15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50">
        <f>IF(TbRegistroEntradas[[#This Row],[Data do Caixa Previsto]]="",0,MONTH(TbRegistroEntradas[[#This Row],[Data do Caixa Previsto]]))</f>
        <v>6</v>
      </c>
      <c r="N91" s="50">
        <f>IF(TbRegistroEntradas[[#This Row],[Data do Caixa Previsto]]="",0,YEAR(TbRegistroEntradas[[#This Row],[Data do Caixa Previsto]]))</f>
        <v>2018</v>
      </c>
      <c r="O91" s="50" t="str">
        <f ca="1">IF(AND(TbRegistroEntradas[[#This Row],[Data do Caixa Previsto]]&lt;TODAY(),TbRegistroEntradas[[#This Row],[Data do Caixa Realizado]]=""),"Vencida","Não Vencida")</f>
        <v>Vencida</v>
      </c>
    </row>
    <row r="92" spans="2:15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50">
        <f>IF(TbRegistroEntradas[[#This Row],[Data do Caixa Previsto]]="",0,MONTH(TbRegistroEntradas[[#This Row],[Data do Caixa Previsto]]))</f>
        <v>5</v>
      </c>
      <c r="N92" s="50">
        <f>IF(TbRegistroEntradas[[#This Row],[Data do Caixa Previsto]]="",0,YEAR(TbRegistroEntradas[[#This Row],[Data do Caixa Previsto]]))</f>
        <v>2018</v>
      </c>
      <c r="O92" s="50" t="str">
        <f ca="1">IF(AND(TbRegistroEntradas[[#This Row],[Data do Caixa Previsto]]&lt;TODAY(),TbRegistroEntradas[[#This Row],[Data do Caixa Realizado]]=""),"Vencida","Não Vencida")</f>
        <v>Não Vencida</v>
      </c>
    </row>
    <row r="93" spans="2:15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50">
        <f>IF(TbRegistroEntradas[[#This Row],[Data do Caixa Previsto]]="",0,MONTH(TbRegistroEntradas[[#This Row],[Data do Caixa Previsto]]))</f>
        <v>4</v>
      </c>
      <c r="N93" s="50">
        <f>IF(TbRegistroEntradas[[#This Row],[Data do Caixa Previsto]]="",0,YEAR(TbRegistroEntradas[[#This Row],[Data do Caixa Previsto]]))</f>
        <v>2018</v>
      </c>
      <c r="O93" s="50" t="str">
        <f ca="1">IF(AND(TbRegistroEntradas[[#This Row],[Data do Caixa Previsto]]&lt;TODAY(),TbRegistroEntradas[[#This Row],[Data do Caixa Realizado]]=""),"Vencida","Não Vencida")</f>
        <v>Não Vencida</v>
      </c>
    </row>
    <row r="94" spans="2:15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50">
        <f>IF(TbRegistroEntradas[[#This Row],[Data do Caixa Previsto]]="",0,MONTH(TbRegistroEntradas[[#This Row],[Data do Caixa Previsto]]))</f>
        <v>5</v>
      </c>
      <c r="N94" s="50">
        <f>IF(TbRegistroEntradas[[#This Row],[Data do Caixa Previsto]]="",0,YEAR(TbRegistroEntradas[[#This Row],[Data do Caixa Previsto]]))</f>
        <v>2018</v>
      </c>
      <c r="O94" s="50" t="str">
        <f ca="1">IF(AND(TbRegistroEntradas[[#This Row],[Data do Caixa Previsto]]&lt;TODAY(),TbRegistroEntradas[[#This Row],[Data do Caixa Realizado]]=""),"Vencida","Não Vencida")</f>
        <v>Não Vencida</v>
      </c>
    </row>
    <row r="95" spans="2:15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50">
        <f>IF(TbRegistroEntradas[[#This Row],[Data do Caixa Previsto]]="",0,MONTH(TbRegistroEntradas[[#This Row],[Data do Caixa Previsto]]))</f>
        <v>4</v>
      </c>
      <c r="N95" s="50">
        <f>IF(TbRegistroEntradas[[#This Row],[Data do Caixa Previsto]]="",0,YEAR(TbRegistroEntradas[[#This Row],[Data do Caixa Previsto]]))</f>
        <v>2018</v>
      </c>
      <c r="O95" s="50" t="str">
        <f ca="1">IF(AND(TbRegistroEntradas[[#This Row],[Data do Caixa Previsto]]&lt;TODAY(),TbRegistroEntradas[[#This Row],[Data do Caixa Realizado]]=""),"Vencida","Não Vencida")</f>
        <v>Não Vencida</v>
      </c>
    </row>
    <row r="96" spans="2:15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50">
        <f>IF(TbRegistroEntradas[[#This Row],[Data do Caixa Previsto]]="",0,MONTH(TbRegistroEntradas[[#This Row],[Data do Caixa Previsto]]))</f>
        <v>4</v>
      </c>
      <c r="N96" s="50">
        <f>IF(TbRegistroEntradas[[#This Row],[Data do Caixa Previsto]]="",0,YEAR(TbRegistroEntradas[[#This Row],[Data do Caixa Previsto]]))</f>
        <v>2018</v>
      </c>
      <c r="O96" s="50" t="str">
        <f ca="1">IF(AND(TbRegistroEntradas[[#This Row],[Data do Caixa Previsto]]&lt;TODAY(),TbRegistroEntradas[[#This Row],[Data do Caixa Realizado]]=""),"Vencida","Não Vencida")</f>
        <v>Não Vencida</v>
      </c>
    </row>
    <row r="97" spans="2:15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50">
        <f>IF(TbRegistroEntradas[[#This Row],[Data do Caixa Previsto]]="",0,MONTH(TbRegistroEntradas[[#This Row],[Data do Caixa Previsto]]))</f>
        <v>7</v>
      </c>
      <c r="N97" s="50">
        <f>IF(TbRegistroEntradas[[#This Row],[Data do Caixa Previsto]]="",0,YEAR(TbRegistroEntradas[[#This Row],[Data do Caixa Previsto]]))</f>
        <v>2018</v>
      </c>
      <c r="O97" s="50" t="str">
        <f ca="1">IF(AND(TbRegistroEntradas[[#This Row],[Data do Caixa Previsto]]&lt;TODAY(),TbRegistroEntradas[[#This Row],[Data do Caixa Realizado]]=""),"Vencida","Não Vencida")</f>
        <v>Não Vencida</v>
      </c>
    </row>
    <row r="98" spans="2:15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50">
        <f>IF(TbRegistroEntradas[[#This Row],[Data do Caixa Previsto]]="",0,MONTH(TbRegistroEntradas[[#This Row],[Data do Caixa Previsto]]))</f>
        <v>6</v>
      </c>
      <c r="N98" s="50">
        <f>IF(TbRegistroEntradas[[#This Row],[Data do Caixa Previsto]]="",0,YEAR(TbRegistroEntradas[[#This Row],[Data do Caixa Previsto]]))</f>
        <v>2018</v>
      </c>
      <c r="O98" s="50" t="str">
        <f ca="1">IF(AND(TbRegistroEntradas[[#This Row],[Data do Caixa Previsto]]&lt;TODAY(),TbRegistroEntradas[[#This Row],[Data do Caixa Realizado]]=""),"Vencida","Não Vencida")</f>
        <v>Não Vencida</v>
      </c>
    </row>
    <row r="99" spans="2:15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50">
        <f>IF(TbRegistroEntradas[[#This Row],[Data do Caixa Previsto]]="",0,MONTH(TbRegistroEntradas[[#This Row],[Data do Caixa Previsto]]))</f>
        <v>5</v>
      </c>
      <c r="N99" s="50">
        <f>IF(TbRegistroEntradas[[#This Row],[Data do Caixa Previsto]]="",0,YEAR(TbRegistroEntradas[[#This Row],[Data do Caixa Previsto]]))</f>
        <v>2018</v>
      </c>
      <c r="O99" s="50" t="str">
        <f ca="1">IF(AND(TbRegistroEntradas[[#This Row],[Data do Caixa Previsto]]&lt;TODAY(),TbRegistroEntradas[[#This Row],[Data do Caixa Realizado]]=""),"Vencida","Não Vencida")</f>
        <v>Não Vencida</v>
      </c>
    </row>
    <row r="100" spans="2:15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50">
        <f>IF(TbRegistroEntradas[[#This Row],[Data do Caixa Previsto]]="",0,MONTH(TbRegistroEntradas[[#This Row],[Data do Caixa Previsto]]))</f>
        <v>6</v>
      </c>
      <c r="N100" s="50">
        <f>IF(TbRegistroEntradas[[#This Row],[Data do Caixa Previsto]]="",0,YEAR(TbRegistroEntradas[[#This Row],[Data do Caixa Previsto]]))</f>
        <v>2018</v>
      </c>
      <c r="O100" s="50" t="str">
        <f ca="1">IF(AND(TbRegistroEntradas[[#This Row],[Data do Caixa Previsto]]&lt;TODAY(),TbRegistroEntradas[[#This Row],[Data do Caixa Realizado]]=""),"Vencida","Não Vencida")</f>
        <v>Não Vencida</v>
      </c>
    </row>
    <row r="101" spans="2:15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50">
        <f>IF(TbRegistroEntradas[[#This Row],[Data do Caixa Previsto]]="",0,MONTH(TbRegistroEntradas[[#This Row],[Data do Caixa Previsto]]))</f>
        <v>6</v>
      </c>
      <c r="N101" s="50">
        <f>IF(TbRegistroEntradas[[#This Row],[Data do Caixa Previsto]]="",0,YEAR(TbRegistroEntradas[[#This Row],[Data do Caixa Previsto]]))</f>
        <v>2018</v>
      </c>
      <c r="O101" s="50" t="str">
        <f ca="1">IF(AND(TbRegistroEntradas[[#This Row],[Data do Caixa Previsto]]&lt;TODAY(),TbRegistroEntradas[[#This Row],[Data do Caixa Realizado]]=""),"Vencida","Não Vencida")</f>
        <v>Não Vencida</v>
      </c>
    </row>
    <row r="102" spans="2:15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50">
        <f>IF(TbRegistroEntradas[[#This Row],[Data do Caixa Previsto]]="",0,MONTH(TbRegistroEntradas[[#This Row],[Data do Caixa Previsto]]))</f>
        <v>6</v>
      </c>
      <c r="N102" s="50">
        <f>IF(TbRegistroEntradas[[#This Row],[Data do Caixa Previsto]]="",0,YEAR(TbRegistroEntradas[[#This Row],[Data do Caixa Previsto]]))</f>
        <v>2018</v>
      </c>
      <c r="O102" s="50" t="str">
        <f ca="1">IF(AND(TbRegistroEntradas[[#This Row],[Data do Caixa Previsto]]&lt;TODAY(),TbRegistroEntradas[[#This Row],[Data do Caixa Realizado]]=""),"Vencida","Não Vencida")</f>
        <v>Não Vencida</v>
      </c>
    </row>
    <row r="103" spans="2:15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50">
        <f>IF(TbRegistroEntradas[[#This Row],[Data do Caixa Previsto]]="",0,MONTH(TbRegistroEntradas[[#This Row],[Data do Caixa Previsto]]))</f>
        <v>6</v>
      </c>
      <c r="N103" s="50">
        <f>IF(TbRegistroEntradas[[#This Row],[Data do Caixa Previsto]]="",0,YEAR(TbRegistroEntradas[[#This Row],[Data do Caixa Previsto]]))</f>
        <v>2018</v>
      </c>
      <c r="O103" s="50" t="str">
        <f ca="1">IF(AND(TbRegistroEntradas[[#This Row],[Data do Caixa Previsto]]&lt;TODAY(),TbRegistroEntradas[[#This Row],[Data do Caixa Realizado]]=""),"Vencida","Não Vencida")</f>
        <v>Não Vencida</v>
      </c>
    </row>
    <row r="104" spans="2:15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50">
        <f>IF(TbRegistroEntradas[[#This Row],[Data do Caixa Previsto]]="",0,MONTH(TbRegistroEntradas[[#This Row],[Data do Caixa Previsto]]))</f>
        <v>8</v>
      </c>
      <c r="N104" s="50">
        <f>IF(TbRegistroEntradas[[#This Row],[Data do Caixa Previsto]]="",0,YEAR(TbRegistroEntradas[[#This Row],[Data do Caixa Previsto]]))</f>
        <v>2018</v>
      </c>
      <c r="O104" s="50" t="str">
        <f ca="1">IF(AND(TbRegistroEntradas[[#This Row],[Data do Caixa Previsto]]&lt;TODAY(),TbRegistroEntradas[[#This Row],[Data do Caixa Realizado]]=""),"Vencida","Não Vencida")</f>
        <v>Não Vencida</v>
      </c>
    </row>
    <row r="105" spans="2:15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50">
        <f>IF(TbRegistroEntradas[[#This Row],[Data do Caixa Previsto]]="",0,MONTH(TbRegistroEntradas[[#This Row],[Data do Caixa Previsto]]))</f>
        <v>6</v>
      </c>
      <c r="N105" s="50">
        <f>IF(TbRegistroEntradas[[#This Row],[Data do Caixa Previsto]]="",0,YEAR(TbRegistroEntradas[[#This Row],[Data do Caixa Previsto]]))</f>
        <v>2018</v>
      </c>
      <c r="O105" s="50" t="str">
        <f ca="1">IF(AND(TbRegistroEntradas[[#This Row],[Data do Caixa Previsto]]&lt;TODAY(),TbRegistroEntradas[[#This Row],[Data do Caixa Realizado]]=""),"Vencida","Não Vencida")</f>
        <v>Não Vencida</v>
      </c>
    </row>
    <row r="106" spans="2:15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50">
        <f>IF(TbRegistroEntradas[[#This Row],[Data do Caixa Previsto]]="",0,MONTH(TbRegistroEntradas[[#This Row],[Data do Caixa Previsto]]))</f>
        <v>6</v>
      </c>
      <c r="N106" s="50">
        <f>IF(TbRegistroEntradas[[#This Row],[Data do Caixa Previsto]]="",0,YEAR(TbRegistroEntradas[[#This Row],[Data do Caixa Previsto]]))</f>
        <v>2018</v>
      </c>
      <c r="O106" s="50" t="str">
        <f ca="1">IF(AND(TbRegistroEntradas[[#This Row],[Data do Caixa Previsto]]&lt;TODAY(),TbRegistroEntradas[[#This Row],[Data do Caixa Realizado]]=""),"Vencida","Não Vencida")</f>
        <v>Não Vencida</v>
      </c>
    </row>
    <row r="107" spans="2:15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50">
        <f>IF(TbRegistroEntradas[[#This Row],[Data do Caixa Previsto]]="",0,MONTH(TbRegistroEntradas[[#This Row],[Data do Caixa Previsto]]))</f>
        <v>6</v>
      </c>
      <c r="N107" s="50">
        <f>IF(TbRegistroEntradas[[#This Row],[Data do Caixa Previsto]]="",0,YEAR(TbRegistroEntradas[[#This Row],[Data do Caixa Previsto]]))</f>
        <v>2018</v>
      </c>
      <c r="O107" s="50" t="str">
        <f ca="1">IF(AND(TbRegistroEntradas[[#This Row],[Data do Caixa Previsto]]&lt;TODAY(),TbRegistroEntradas[[#This Row],[Data do Caixa Realizado]]=""),"Vencida","Não Vencida")</f>
        <v>Não Vencida</v>
      </c>
    </row>
    <row r="108" spans="2:15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50">
        <f>IF(TbRegistroEntradas[[#This Row],[Data do Caixa Previsto]]="",0,MONTH(TbRegistroEntradas[[#This Row],[Data do Caixa Previsto]]))</f>
        <v>6</v>
      </c>
      <c r="N108" s="50">
        <f>IF(TbRegistroEntradas[[#This Row],[Data do Caixa Previsto]]="",0,YEAR(TbRegistroEntradas[[#This Row],[Data do Caixa Previsto]]))</f>
        <v>2018</v>
      </c>
      <c r="O108" s="50" t="str">
        <f ca="1">IF(AND(TbRegistroEntradas[[#This Row],[Data do Caixa Previsto]]&lt;TODAY(),TbRegistroEntradas[[#This Row],[Data do Caixa Realizado]]=""),"Vencida","Não Vencida")</f>
        <v>Não Vencida</v>
      </c>
    </row>
    <row r="109" spans="2:15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50">
        <f>IF(TbRegistroEntradas[[#This Row],[Data do Caixa Previsto]]="",0,MONTH(TbRegistroEntradas[[#This Row],[Data do Caixa Previsto]]))</f>
        <v>8</v>
      </c>
      <c r="N109" s="50">
        <f>IF(TbRegistroEntradas[[#This Row],[Data do Caixa Previsto]]="",0,YEAR(TbRegistroEntradas[[#This Row],[Data do Caixa Previsto]]))</f>
        <v>2018</v>
      </c>
      <c r="O109" s="50" t="str">
        <f ca="1">IF(AND(TbRegistroEntradas[[#This Row],[Data do Caixa Previsto]]&lt;TODAY(),TbRegistroEntradas[[#This Row],[Data do Caixa Realizado]]=""),"Vencida","Não Vencida")</f>
        <v>Não Vencida</v>
      </c>
    </row>
    <row r="110" spans="2:15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50">
        <f>IF(TbRegistroEntradas[[#This Row],[Data do Caixa Previsto]]="",0,MONTH(TbRegistroEntradas[[#This Row],[Data do Caixa Previsto]]))</f>
        <v>7</v>
      </c>
      <c r="N110" s="50">
        <f>IF(TbRegistroEntradas[[#This Row],[Data do Caixa Previsto]]="",0,YEAR(TbRegistroEntradas[[#This Row],[Data do Caixa Previsto]]))</f>
        <v>2018</v>
      </c>
      <c r="O110" s="50" t="str">
        <f ca="1">IF(AND(TbRegistroEntradas[[#This Row],[Data do Caixa Previsto]]&lt;TODAY(),TbRegistroEntradas[[#This Row],[Data do Caixa Realizado]]=""),"Vencida","Não Vencida")</f>
        <v>Não Vencida</v>
      </c>
    </row>
    <row r="111" spans="2:15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50">
        <f>IF(TbRegistroEntradas[[#This Row],[Data do Caixa Previsto]]="",0,MONTH(TbRegistroEntradas[[#This Row],[Data do Caixa Previsto]]))</f>
        <v>7</v>
      </c>
      <c r="N111" s="50">
        <f>IF(TbRegistroEntradas[[#This Row],[Data do Caixa Previsto]]="",0,YEAR(TbRegistroEntradas[[#This Row],[Data do Caixa Previsto]]))</f>
        <v>2018</v>
      </c>
      <c r="O111" s="50" t="str">
        <f ca="1">IF(AND(TbRegistroEntradas[[#This Row],[Data do Caixa Previsto]]&lt;TODAY(),TbRegistroEntradas[[#This Row],[Data do Caixa Realizado]]=""),"Vencida","Não Vencida")</f>
        <v>Não Vencida</v>
      </c>
    </row>
    <row r="112" spans="2:15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50">
        <f>IF(TbRegistroEntradas[[#This Row],[Data do Caixa Previsto]]="",0,MONTH(TbRegistroEntradas[[#This Row],[Data do Caixa Previsto]]))</f>
        <v>6</v>
      </c>
      <c r="N112" s="50">
        <f>IF(TbRegistroEntradas[[#This Row],[Data do Caixa Previsto]]="",0,YEAR(TbRegistroEntradas[[#This Row],[Data do Caixa Previsto]]))</f>
        <v>2018</v>
      </c>
      <c r="O112" s="50" t="str">
        <f ca="1">IF(AND(TbRegistroEntradas[[#This Row],[Data do Caixa Previsto]]&lt;TODAY(),TbRegistroEntradas[[#This Row],[Data do Caixa Realizado]]=""),"Vencida","Não Vencida")</f>
        <v>Não Vencida</v>
      </c>
    </row>
    <row r="113" spans="2:15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50">
        <f>IF(TbRegistroEntradas[[#This Row],[Data do Caixa Previsto]]="",0,MONTH(TbRegistroEntradas[[#This Row],[Data do Caixa Previsto]]))</f>
        <v>7</v>
      </c>
      <c r="N113" s="50">
        <f>IF(TbRegistroEntradas[[#This Row],[Data do Caixa Previsto]]="",0,YEAR(TbRegistroEntradas[[#This Row],[Data do Caixa Previsto]]))</f>
        <v>2018</v>
      </c>
      <c r="O113" s="50" t="str">
        <f ca="1">IF(AND(TbRegistroEntradas[[#This Row],[Data do Caixa Previsto]]&lt;TODAY(),TbRegistroEntradas[[#This Row],[Data do Caixa Realizado]]=""),"Vencida","Não Vencida")</f>
        <v>Não Vencida</v>
      </c>
    </row>
    <row r="114" spans="2:15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50">
        <f>IF(TbRegistroEntradas[[#This Row],[Data do Caixa Previsto]]="",0,MONTH(TbRegistroEntradas[[#This Row],[Data do Caixa Previsto]]))</f>
        <v>8</v>
      </c>
      <c r="N114" s="50">
        <f>IF(TbRegistroEntradas[[#This Row],[Data do Caixa Previsto]]="",0,YEAR(TbRegistroEntradas[[#This Row],[Data do Caixa Previsto]]))</f>
        <v>2018</v>
      </c>
      <c r="O114" s="50" t="str">
        <f ca="1">IF(AND(TbRegistroEntradas[[#This Row],[Data do Caixa Previsto]]&lt;TODAY(),TbRegistroEntradas[[#This Row],[Data do Caixa Realizado]]=""),"Vencida","Não Vencida")</f>
        <v>Não Vencida</v>
      </c>
    </row>
    <row r="115" spans="2:15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50">
        <f>IF(TbRegistroEntradas[[#This Row],[Data do Caixa Previsto]]="",0,MONTH(TbRegistroEntradas[[#This Row],[Data do Caixa Previsto]]))</f>
        <v>8</v>
      </c>
      <c r="N115" s="50">
        <f>IF(TbRegistroEntradas[[#This Row],[Data do Caixa Previsto]]="",0,YEAR(TbRegistroEntradas[[#This Row],[Data do Caixa Previsto]]))</f>
        <v>2018</v>
      </c>
      <c r="O115" s="50" t="str">
        <f ca="1">IF(AND(TbRegistroEntradas[[#This Row],[Data do Caixa Previsto]]&lt;TODAY(),TbRegistroEntradas[[#This Row],[Data do Caixa Realizado]]=""),"Vencida","Não Vencida")</f>
        <v>Não Vencida</v>
      </c>
    </row>
    <row r="116" spans="2:15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50">
        <f>IF(TbRegistroEntradas[[#This Row],[Data do Caixa Previsto]]="",0,MONTH(TbRegistroEntradas[[#This Row],[Data do Caixa Previsto]]))</f>
        <v>8</v>
      </c>
      <c r="N116" s="50">
        <f>IF(TbRegistroEntradas[[#This Row],[Data do Caixa Previsto]]="",0,YEAR(TbRegistroEntradas[[#This Row],[Data do Caixa Previsto]]))</f>
        <v>2018</v>
      </c>
      <c r="O116" s="50" t="str">
        <f ca="1">IF(AND(TbRegistroEntradas[[#This Row],[Data do Caixa Previsto]]&lt;TODAY(),TbRegistroEntradas[[#This Row],[Data do Caixa Realizado]]=""),"Vencida","Não Vencida")</f>
        <v>Não Vencida</v>
      </c>
    </row>
    <row r="117" spans="2:15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50">
        <f>IF(TbRegistroEntradas[[#This Row],[Data do Caixa Previsto]]="",0,MONTH(TbRegistroEntradas[[#This Row],[Data do Caixa Previsto]]))</f>
        <v>7</v>
      </c>
      <c r="N117" s="50">
        <f>IF(TbRegistroEntradas[[#This Row],[Data do Caixa Previsto]]="",0,YEAR(TbRegistroEntradas[[#This Row],[Data do Caixa Previsto]]))</f>
        <v>2018</v>
      </c>
      <c r="O117" s="50" t="str">
        <f ca="1">IF(AND(TbRegistroEntradas[[#This Row],[Data do Caixa Previsto]]&lt;TODAY(),TbRegistroEntradas[[#This Row],[Data do Caixa Realizado]]=""),"Vencida","Não Vencida")</f>
        <v>Não Vencida</v>
      </c>
    </row>
    <row r="118" spans="2:15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50">
        <f>IF(TbRegistroEntradas[[#This Row],[Data do Caixa Previsto]]="",0,MONTH(TbRegistroEntradas[[#This Row],[Data do Caixa Previsto]]))</f>
        <v>8</v>
      </c>
      <c r="N118" s="50">
        <f>IF(TbRegistroEntradas[[#This Row],[Data do Caixa Previsto]]="",0,YEAR(TbRegistroEntradas[[#This Row],[Data do Caixa Previsto]]))</f>
        <v>2018</v>
      </c>
      <c r="O118" s="50" t="str">
        <f ca="1">IF(AND(TbRegistroEntradas[[#This Row],[Data do Caixa Previsto]]&lt;TODAY(),TbRegistroEntradas[[#This Row],[Data do Caixa Realizado]]=""),"Vencida","Não Vencida")</f>
        <v>Não Vencida</v>
      </c>
    </row>
    <row r="119" spans="2:15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50">
        <f>IF(TbRegistroEntradas[[#This Row],[Data do Caixa Previsto]]="",0,MONTH(TbRegistroEntradas[[#This Row],[Data do Caixa Previsto]]))</f>
        <v>8</v>
      </c>
      <c r="N119" s="50">
        <f>IF(TbRegistroEntradas[[#This Row],[Data do Caixa Previsto]]="",0,YEAR(TbRegistroEntradas[[#This Row],[Data do Caixa Previsto]]))</f>
        <v>2018</v>
      </c>
      <c r="O119" s="50" t="str">
        <f ca="1">IF(AND(TbRegistroEntradas[[#This Row],[Data do Caixa Previsto]]&lt;TODAY(),TbRegistroEntradas[[#This Row],[Data do Caixa Realizado]]=""),"Vencida","Não Vencida")</f>
        <v>Não Vencida</v>
      </c>
    </row>
    <row r="120" spans="2:15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50">
        <f>IF(TbRegistroEntradas[[#This Row],[Data do Caixa Previsto]]="",0,MONTH(TbRegistroEntradas[[#This Row],[Data do Caixa Previsto]]))</f>
        <v>8</v>
      </c>
      <c r="N120" s="50">
        <f>IF(TbRegistroEntradas[[#This Row],[Data do Caixa Previsto]]="",0,YEAR(TbRegistroEntradas[[#This Row],[Data do Caixa Previsto]]))</f>
        <v>2018</v>
      </c>
      <c r="O120" s="50" t="str">
        <f ca="1">IF(AND(TbRegistroEntradas[[#This Row],[Data do Caixa Previsto]]&lt;TODAY(),TbRegistroEntradas[[#This Row],[Data do Caixa Realizado]]=""),"Vencida","Não Vencida")</f>
        <v>Não Vencida</v>
      </c>
    </row>
    <row r="121" spans="2:15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50">
        <f>IF(TbRegistroEntradas[[#This Row],[Data do Caixa Previsto]]="",0,MONTH(TbRegistroEntradas[[#This Row],[Data do Caixa Previsto]]))</f>
        <v>8</v>
      </c>
      <c r="N121" s="50">
        <f>IF(TbRegistroEntradas[[#This Row],[Data do Caixa Previsto]]="",0,YEAR(TbRegistroEntradas[[#This Row],[Data do Caixa Previsto]]))</f>
        <v>2018</v>
      </c>
      <c r="O121" s="50" t="str">
        <f ca="1">IF(AND(TbRegistroEntradas[[#This Row],[Data do Caixa Previsto]]&lt;TODAY(),TbRegistroEntradas[[#This Row],[Data do Caixa Realizado]]=""),"Vencida","Não Vencida")</f>
        <v>Não Vencida</v>
      </c>
    </row>
    <row r="122" spans="2:15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50">
        <f>IF(TbRegistroEntradas[[#This Row],[Data do Caixa Previsto]]="",0,MONTH(TbRegistroEntradas[[#This Row],[Data do Caixa Previsto]]))</f>
        <v>7</v>
      </c>
      <c r="N122" s="50">
        <f>IF(TbRegistroEntradas[[#This Row],[Data do Caixa Previsto]]="",0,YEAR(TbRegistroEntradas[[#This Row],[Data do Caixa Previsto]]))</f>
        <v>2018</v>
      </c>
      <c r="O122" s="50" t="str">
        <f ca="1">IF(AND(TbRegistroEntradas[[#This Row],[Data do Caixa Previsto]]&lt;TODAY(),TbRegistroEntradas[[#This Row],[Data do Caixa Realizado]]=""),"Vencida","Não Vencida")</f>
        <v>Não Vencida</v>
      </c>
    </row>
    <row r="123" spans="2:15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50">
        <f>IF(TbRegistroEntradas[[#This Row],[Data do Caixa Previsto]]="",0,MONTH(TbRegistroEntradas[[#This Row],[Data do Caixa Previsto]]))</f>
        <v>7</v>
      </c>
      <c r="N123" s="50">
        <f>IF(TbRegistroEntradas[[#This Row],[Data do Caixa Previsto]]="",0,YEAR(TbRegistroEntradas[[#This Row],[Data do Caixa Previsto]]))</f>
        <v>2018</v>
      </c>
      <c r="O123" s="50" t="str">
        <f ca="1">IF(AND(TbRegistroEntradas[[#This Row],[Data do Caixa Previsto]]&lt;TODAY(),TbRegistroEntradas[[#This Row],[Data do Caixa Realizado]]=""),"Vencida","Não Vencida")</f>
        <v>Não Vencida</v>
      </c>
    </row>
    <row r="124" spans="2:15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50">
        <f>IF(TbRegistroEntradas[[#This Row],[Data do Caixa Previsto]]="",0,MONTH(TbRegistroEntradas[[#This Row],[Data do Caixa Previsto]]))</f>
        <v>9</v>
      </c>
      <c r="N124" s="50">
        <f>IF(TbRegistroEntradas[[#This Row],[Data do Caixa Previsto]]="",0,YEAR(TbRegistroEntradas[[#This Row],[Data do Caixa Previsto]]))</f>
        <v>2018</v>
      </c>
      <c r="O124" s="50" t="str">
        <f ca="1">IF(AND(TbRegistroEntradas[[#This Row],[Data do Caixa Previsto]]&lt;TODAY(),TbRegistroEntradas[[#This Row],[Data do Caixa Realizado]]=""),"Vencida","Não Vencida")</f>
        <v>Vencida</v>
      </c>
    </row>
    <row r="125" spans="2:15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50">
        <f>IF(TbRegistroEntradas[[#This Row],[Data do Caixa Previsto]]="",0,MONTH(TbRegistroEntradas[[#This Row],[Data do Caixa Previsto]]))</f>
        <v>7</v>
      </c>
      <c r="N125" s="50">
        <f>IF(TbRegistroEntradas[[#This Row],[Data do Caixa Previsto]]="",0,YEAR(TbRegistroEntradas[[#This Row],[Data do Caixa Previsto]]))</f>
        <v>2018</v>
      </c>
      <c r="O125" s="50" t="str">
        <f ca="1">IF(AND(TbRegistroEntradas[[#This Row],[Data do Caixa Previsto]]&lt;TODAY(),TbRegistroEntradas[[#This Row],[Data do Caixa Realizado]]=""),"Vencida","Não Vencida")</f>
        <v>Vencida</v>
      </c>
    </row>
    <row r="126" spans="2:15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50">
        <f>IF(TbRegistroEntradas[[#This Row],[Data do Caixa Previsto]]="",0,MONTH(TbRegistroEntradas[[#This Row],[Data do Caixa Previsto]]))</f>
        <v>9</v>
      </c>
      <c r="N126" s="50">
        <f>IF(TbRegistroEntradas[[#This Row],[Data do Caixa Previsto]]="",0,YEAR(TbRegistroEntradas[[#This Row],[Data do Caixa Previsto]]))</f>
        <v>2018</v>
      </c>
      <c r="O126" s="50" t="str">
        <f ca="1">IF(AND(TbRegistroEntradas[[#This Row],[Data do Caixa Previsto]]&lt;TODAY(),TbRegistroEntradas[[#This Row],[Data do Caixa Realizado]]=""),"Vencida","Não Vencida")</f>
        <v>Não Vencida</v>
      </c>
    </row>
    <row r="127" spans="2:15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50">
        <f>IF(TbRegistroEntradas[[#This Row],[Data do Caixa Previsto]]="",0,MONTH(TbRegistroEntradas[[#This Row],[Data do Caixa Previsto]]))</f>
        <v>7</v>
      </c>
      <c r="N127" s="50">
        <f>IF(TbRegistroEntradas[[#This Row],[Data do Caixa Previsto]]="",0,YEAR(TbRegistroEntradas[[#This Row],[Data do Caixa Previsto]]))</f>
        <v>2018</v>
      </c>
      <c r="O127" s="50" t="str">
        <f ca="1">IF(AND(TbRegistroEntradas[[#This Row],[Data do Caixa Previsto]]&lt;TODAY(),TbRegistroEntradas[[#This Row],[Data do Caixa Realizado]]=""),"Vencida","Não Vencida")</f>
        <v>Vencida</v>
      </c>
    </row>
    <row r="128" spans="2:15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50">
        <f>IF(TbRegistroEntradas[[#This Row],[Data do Caixa Previsto]]="",0,MONTH(TbRegistroEntradas[[#This Row],[Data do Caixa Previsto]]))</f>
        <v>9</v>
      </c>
      <c r="N128" s="50">
        <f>IF(TbRegistroEntradas[[#This Row],[Data do Caixa Previsto]]="",0,YEAR(TbRegistroEntradas[[#This Row],[Data do Caixa Previsto]]))</f>
        <v>2018</v>
      </c>
      <c r="O128" s="50" t="str">
        <f ca="1">IF(AND(TbRegistroEntradas[[#This Row],[Data do Caixa Previsto]]&lt;TODAY(),TbRegistroEntradas[[#This Row],[Data do Caixa Realizado]]=""),"Vencida","Não Vencida")</f>
        <v>Não Vencida</v>
      </c>
    </row>
    <row r="129" spans="2:15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50">
        <f>IF(TbRegistroEntradas[[#This Row],[Data do Caixa Previsto]]="",0,MONTH(TbRegistroEntradas[[#This Row],[Data do Caixa Previsto]]))</f>
        <v>8</v>
      </c>
      <c r="N129" s="50">
        <f>IF(TbRegistroEntradas[[#This Row],[Data do Caixa Previsto]]="",0,YEAR(TbRegistroEntradas[[#This Row],[Data do Caixa Previsto]]))</f>
        <v>2018</v>
      </c>
      <c r="O129" s="50" t="str">
        <f ca="1">IF(AND(TbRegistroEntradas[[#This Row],[Data do Caixa Previsto]]&lt;TODAY(),TbRegistroEntradas[[#This Row],[Data do Caixa Realizado]]=""),"Vencida","Não Vencida")</f>
        <v>Não Vencida</v>
      </c>
    </row>
    <row r="130" spans="2:15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50">
        <f>IF(TbRegistroEntradas[[#This Row],[Data do Caixa Previsto]]="",0,MONTH(TbRegistroEntradas[[#This Row],[Data do Caixa Previsto]]))</f>
        <v>8</v>
      </c>
      <c r="N130" s="50">
        <f>IF(TbRegistroEntradas[[#This Row],[Data do Caixa Previsto]]="",0,YEAR(TbRegistroEntradas[[#This Row],[Data do Caixa Previsto]]))</f>
        <v>2018</v>
      </c>
      <c r="O130" s="50" t="str">
        <f ca="1">IF(AND(TbRegistroEntradas[[#This Row],[Data do Caixa Previsto]]&lt;TODAY(),TbRegistroEntradas[[#This Row],[Data do Caixa Realizado]]=""),"Vencida","Não Vencida")</f>
        <v>Não Vencida</v>
      </c>
    </row>
    <row r="131" spans="2:15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50">
        <f>IF(TbRegistroEntradas[[#This Row],[Data do Caixa Previsto]]="",0,MONTH(TbRegistroEntradas[[#This Row],[Data do Caixa Previsto]]))</f>
        <v>8</v>
      </c>
      <c r="N131" s="50">
        <f>IF(TbRegistroEntradas[[#This Row],[Data do Caixa Previsto]]="",0,YEAR(TbRegistroEntradas[[#This Row],[Data do Caixa Previsto]]))</f>
        <v>2018</v>
      </c>
      <c r="O131" s="50" t="str">
        <f ca="1">IF(AND(TbRegistroEntradas[[#This Row],[Data do Caixa Previsto]]&lt;TODAY(),TbRegistroEntradas[[#This Row],[Data do Caixa Realizado]]=""),"Vencida","Não Vencida")</f>
        <v>Não Vencida</v>
      </c>
    </row>
    <row r="132" spans="2:15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50">
        <f>IF(TbRegistroEntradas[[#This Row],[Data do Caixa Previsto]]="",0,MONTH(TbRegistroEntradas[[#This Row],[Data do Caixa Previsto]]))</f>
        <v>9</v>
      </c>
      <c r="N132" s="50">
        <f>IF(TbRegistroEntradas[[#This Row],[Data do Caixa Previsto]]="",0,YEAR(TbRegistroEntradas[[#This Row],[Data do Caixa Previsto]]))</f>
        <v>2018</v>
      </c>
      <c r="O132" s="50" t="str">
        <f ca="1">IF(AND(TbRegistroEntradas[[#This Row],[Data do Caixa Previsto]]&lt;TODAY(),TbRegistroEntradas[[#This Row],[Data do Caixa Realizado]]=""),"Vencida","Não Vencida")</f>
        <v>Não Vencida</v>
      </c>
    </row>
    <row r="133" spans="2:15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50">
        <f>IF(TbRegistroEntradas[[#This Row],[Data do Caixa Previsto]]="",0,MONTH(TbRegistroEntradas[[#This Row],[Data do Caixa Previsto]]))</f>
        <v>8</v>
      </c>
      <c r="N133" s="50">
        <f>IF(TbRegistroEntradas[[#This Row],[Data do Caixa Previsto]]="",0,YEAR(TbRegistroEntradas[[#This Row],[Data do Caixa Previsto]]))</f>
        <v>2018</v>
      </c>
      <c r="O133" s="50" t="str">
        <f ca="1">IF(AND(TbRegistroEntradas[[#This Row],[Data do Caixa Previsto]]&lt;TODAY(),TbRegistroEntradas[[#This Row],[Data do Caixa Realizado]]=""),"Vencida","Não Vencida")</f>
        <v>Não Vencida</v>
      </c>
    </row>
    <row r="134" spans="2:15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50">
        <f>IF(TbRegistroEntradas[[#This Row],[Data do Caixa Previsto]]="",0,MONTH(TbRegistroEntradas[[#This Row],[Data do Caixa Previsto]]))</f>
        <v>8</v>
      </c>
      <c r="N134" s="50">
        <f>IF(TbRegistroEntradas[[#This Row],[Data do Caixa Previsto]]="",0,YEAR(TbRegistroEntradas[[#This Row],[Data do Caixa Previsto]]))</f>
        <v>2018</v>
      </c>
      <c r="O134" s="50" t="str">
        <f ca="1">IF(AND(TbRegistroEntradas[[#This Row],[Data do Caixa Previsto]]&lt;TODAY(),TbRegistroEntradas[[#This Row],[Data do Caixa Realizado]]=""),"Vencida","Não Vencida")</f>
        <v>Não Vencida</v>
      </c>
    </row>
    <row r="135" spans="2:15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50">
        <f>IF(TbRegistroEntradas[[#This Row],[Data do Caixa Previsto]]="",0,MONTH(TbRegistroEntradas[[#This Row],[Data do Caixa Previsto]]))</f>
        <v>10</v>
      </c>
      <c r="N135" s="50">
        <f>IF(TbRegistroEntradas[[#This Row],[Data do Caixa Previsto]]="",0,YEAR(TbRegistroEntradas[[#This Row],[Data do Caixa Previsto]]))</f>
        <v>2018</v>
      </c>
      <c r="O135" s="50" t="str">
        <f ca="1">IF(AND(TbRegistroEntradas[[#This Row],[Data do Caixa Previsto]]&lt;TODAY(),TbRegistroEntradas[[#This Row],[Data do Caixa Realizado]]=""),"Vencida","Não Vencida")</f>
        <v>Não Vencida</v>
      </c>
    </row>
    <row r="136" spans="2:15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50">
        <f>IF(TbRegistroEntradas[[#This Row],[Data do Caixa Previsto]]="",0,MONTH(TbRegistroEntradas[[#This Row],[Data do Caixa Previsto]]))</f>
        <v>10</v>
      </c>
      <c r="N136" s="50">
        <f>IF(TbRegistroEntradas[[#This Row],[Data do Caixa Previsto]]="",0,YEAR(TbRegistroEntradas[[#This Row],[Data do Caixa Previsto]]))</f>
        <v>2018</v>
      </c>
      <c r="O136" s="50" t="str">
        <f ca="1">IF(AND(TbRegistroEntradas[[#This Row],[Data do Caixa Previsto]]&lt;TODAY(),TbRegistroEntradas[[#This Row],[Data do Caixa Realizado]]=""),"Vencida","Não Vencida")</f>
        <v>Não Vencida</v>
      </c>
    </row>
    <row r="137" spans="2:15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50">
        <f>IF(TbRegistroEntradas[[#This Row],[Data do Caixa Previsto]]="",0,MONTH(TbRegistroEntradas[[#This Row],[Data do Caixa Previsto]]))</f>
        <v>9</v>
      </c>
      <c r="N137" s="50">
        <f>IF(TbRegistroEntradas[[#This Row],[Data do Caixa Previsto]]="",0,YEAR(TbRegistroEntradas[[#This Row],[Data do Caixa Previsto]]))</f>
        <v>2018</v>
      </c>
      <c r="O137" s="50" t="str">
        <f ca="1">IF(AND(TbRegistroEntradas[[#This Row],[Data do Caixa Previsto]]&lt;TODAY(),TbRegistroEntradas[[#This Row],[Data do Caixa Realizado]]=""),"Vencida","Não Vencida")</f>
        <v>Não Vencida</v>
      </c>
    </row>
    <row r="138" spans="2:15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50">
        <f>IF(TbRegistroEntradas[[#This Row],[Data do Caixa Previsto]]="",0,MONTH(TbRegistroEntradas[[#This Row],[Data do Caixa Previsto]]))</f>
        <v>9</v>
      </c>
      <c r="N138" s="50">
        <f>IF(TbRegistroEntradas[[#This Row],[Data do Caixa Previsto]]="",0,YEAR(TbRegistroEntradas[[#This Row],[Data do Caixa Previsto]]))</f>
        <v>2018</v>
      </c>
      <c r="O138" s="50" t="str">
        <f ca="1">IF(AND(TbRegistroEntradas[[#This Row],[Data do Caixa Previsto]]&lt;TODAY(),TbRegistroEntradas[[#This Row],[Data do Caixa Realizado]]=""),"Vencida","Não Vencida")</f>
        <v>Não Vencida</v>
      </c>
    </row>
    <row r="139" spans="2:15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50">
        <f>IF(TbRegistroEntradas[[#This Row],[Data do Caixa Previsto]]="",0,MONTH(TbRegistroEntradas[[#This Row],[Data do Caixa Previsto]]))</f>
        <v>9</v>
      </c>
      <c r="N139" s="50">
        <f>IF(TbRegistroEntradas[[#This Row],[Data do Caixa Previsto]]="",0,YEAR(TbRegistroEntradas[[#This Row],[Data do Caixa Previsto]]))</f>
        <v>2018</v>
      </c>
      <c r="O139" s="50" t="str">
        <f ca="1">IF(AND(TbRegistroEntradas[[#This Row],[Data do Caixa Previsto]]&lt;TODAY(),TbRegistroEntradas[[#This Row],[Data do Caixa Realizado]]=""),"Vencida","Não Vencida")</f>
        <v>Não Vencida</v>
      </c>
    </row>
    <row r="140" spans="2:15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50">
        <f>IF(TbRegistroEntradas[[#This Row],[Data do Caixa Previsto]]="",0,MONTH(TbRegistroEntradas[[#This Row],[Data do Caixa Previsto]]))</f>
        <v>9</v>
      </c>
      <c r="N140" s="50">
        <f>IF(TbRegistroEntradas[[#This Row],[Data do Caixa Previsto]]="",0,YEAR(TbRegistroEntradas[[#This Row],[Data do Caixa Previsto]]))</f>
        <v>2018</v>
      </c>
      <c r="O140" s="50" t="str">
        <f ca="1">IF(AND(TbRegistroEntradas[[#This Row],[Data do Caixa Previsto]]&lt;TODAY(),TbRegistroEntradas[[#This Row],[Data do Caixa Realizado]]=""),"Vencida","Não Vencida")</f>
        <v>Não Vencida</v>
      </c>
    </row>
    <row r="141" spans="2:15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50">
        <f>IF(TbRegistroEntradas[[#This Row],[Data do Caixa Previsto]]="",0,MONTH(TbRegistroEntradas[[#This Row],[Data do Caixa Previsto]]))</f>
        <v>10</v>
      </c>
      <c r="N141" s="50">
        <f>IF(TbRegistroEntradas[[#This Row],[Data do Caixa Previsto]]="",0,YEAR(TbRegistroEntradas[[#This Row],[Data do Caixa Previsto]]))</f>
        <v>2018</v>
      </c>
      <c r="O141" s="50" t="str">
        <f ca="1">IF(AND(TbRegistroEntradas[[#This Row],[Data do Caixa Previsto]]&lt;TODAY(),TbRegistroEntradas[[#This Row],[Data do Caixa Realizado]]=""),"Vencida","Não Vencida")</f>
        <v>Não Vencida</v>
      </c>
    </row>
    <row r="142" spans="2:15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50">
        <f>IF(TbRegistroEntradas[[#This Row],[Data do Caixa Previsto]]="",0,MONTH(TbRegistroEntradas[[#This Row],[Data do Caixa Previsto]]))</f>
        <v>11</v>
      </c>
      <c r="N142" s="50">
        <f>IF(TbRegistroEntradas[[#This Row],[Data do Caixa Previsto]]="",0,YEAR(TbRegistroEntradas[[#This Row],[Data do Caixa Previsto]]))</f>
        <v>2018</v>
      </c>
      <c r="O142" s="50" t="str">
        <f ca="1">IF(AND(TbRegistroEntradas[[#This Row],[Data do Caixa Previsto]]&lt;TODAY(),TbRegistroEntradas[[#This Row],[Data do Caixa Realizado]]=""),"Vencida","Não Vencida")</f>
        <v>Não Vencida</v>
      </c>
    </row>
    <row r="143" spans="2:15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50">
        <f>IF(TbRegistroEntradas[[#This Row],[Data do Caixa Previsto]]="",0,MONTH(TbRegistroEntradas[[#This Row],[Data do Caixa Previsto]]))</f>
        <v>10</v>
      </c>
      <c r="N143" s="50">
        <f>IF(TbRegistroEntradas[[#This Row],[Data do Caixa Previsto]]="",0,YEAR(TbRegistroEntradas[[#This Row],[Data do Caixa Previsto]]))</f>
        <v>2018</v>
      </c>
      <c r="O143" s="50" t="str">
        <f ca="1">IF(AND(TbRegistroEntradas[[#This Row],[Data do Caixa Previsto]]&lt;TODAY(),TbRegistroEntradas[[#This Row],[Data do Caixa Realizado]]=""),"Vencida","Não Vencida")</f>
        <v>Não Vencida</v>
      </c>
    </row>
    <row r="144" spans="2:15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50">
        <f>IF(TbRegistroEntradas[[#This Row],[Data do Caixa Previsto]]="",0,MONTH(TbRegistroEntradas[[#This Row],[Data do Caixa Previsto]]))</f>
        <v>9</v>
      </c>
      <c r="N144" s="50">
        <f>IF(TbRegistroEntradas[[#This Row],[Data do Caixa Previsto]]="",0,YEAR(TbRegistroEntradas[[#This Row],[Data do Caixa Previsto]]))</f>
        <v>2018</v>
      </c>
      <c r="O144" s="50" t="str">
        <f ca="1">IF(AND(TbRegistroEntradas[[#This Row],[Data do Caixa Previsto]]&lt;TODAY(),TbRegistroEntradas[[#This Row],[Data do Caixa Realizado]]=""),"Vencida","Não Vencida")</f>
        <v>Não Vencida</v>
      </c>
    </row>
    <row r="145" spans="2:15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50">
        <f>IF(TbRegistroEntradas[[#This Row],[Data do Caixa Previsto]]="",0,MONTH(TbRegistroEntradas[[#This Row],[Data do Caixa Previsto]]))</f>
        <v>11</v>
      </c>
      <c r="N145" s="50">
        <f>IF(TbRegistroEntradas[[#This Row],[Data do Caixa Previsto]]="",0,YEAR(TbRegistroEntradas[[#This Row],[Data do Caixa Previsto]]))</f>
        <v>2018</v>
      </c>
      <c r="O145" s="50" t="str">
        <f ca="1">IF(AND(TbRegistroEntradas[[#This Row],[Data do Caixa Previsto]]&lt;TODAY(),TbRegistroEntradas[[#This Row],[Data do Caixa Realizado]]=""),"Vencida","Não Vencida")</f>
        <v>Não Vencida</v>
      </c>
    </row>
    <row r="146" spans="2:15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50">
        <f>IF(TbRegistroEntradas[[#This Row],[Data do Caixa Previsto]]="",0,MONTH(TbRegistroEntradas[[#This Row],[Data do Caixa Previsto]]))</f>
        <v>9</v>
      </c>
      <c r="N146" s="50">
        <f>IF(TbRegistroEntradas[[#This Row],[Data do Caixa Previsto]]="",0,YEAR(TbRegistroEntradas[[#This Row],[Data do Caixa Previsto]]))</f>
        <v>2018</v>
      </c>
      <c r="O146" s="50" t="str">
        <f ca="1">IF(AND(TbRegistroEntradas[[#This Row],[Data do Caixa Previsto]]&lt;TODAY(),TbRegistroEntradas[[#This Row],[Data do Caixa Realizado]]=""),"Vencida","Não Vencida")</f>
        <v>Não Vencida</v>
      </c>
    </row>
    <row r="147" spans="2:15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50">
        <f>IF(TbRegistroEntradas[[#This Row],[Data do Caixa Previsto]]="",0,MONTH(TbRegistroEntradas[[#This Row],[Data do Caixa Previsto]]))</f>
        <v>10</v>
      </c>
      <c r="N147" s="50">
        <f>IF(TbRegistroEntradas[[#This Row],[Data do Caixa Previsto]]="",0,YEAR(TbRegistroEntradas[[#This Row],[Data do Caixa Previsto]]))</f>
        <v>2018</v>
      </c>
      <c r="O147" s="50" t="str">
        <f ca="1">IF(AND(TbRegistroEntradas[[#This Row],[Data do Caixa Previsto]]&lt;TODAY(),TbRegistroEntradas[[#This Row],[Data do Caixa Realizado]]=""),"Vencida","Não Vencida")</f>
        <v>Não Vencida</v>
      </c>
    </row>
    <row r="148" spans="2:15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50">
        <f>IF(TbRegistroEntradas[[#This Row],[Data do Caixa Previsto]]="",0,MONTH(TbRegistroEntradas[[#This Row],[Data do Caixa Previsto]]))</f>
        <v>10</v>
      </c>
      <c r="N148" s="50">
        <f>IF(TbRegistroEntradas[[#This Row],[Data do Caixa Previsto]]="",0,YEAR(TbRegistroEntradas[[#This Row],[Data do Caixa Previsto]]))</f>
        <v>2018</v>
      </c>
      <c r="O148" s="50" t="str">
        <f ca="1">IF(AND(TbRegistroEntradas[[#This Row],[Data do Caixa Previsto]]&lt;TODAY(),TbRegistroEntradas[[#This Row],[Data do Caixa Realizado]]=""),"Vencida","Não Vencida")</f>
        <v>Não Vencida</v>
      </c>
    </row>
    <row r="149" spans="2:15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50">
        <f>IF(TbRegistroEntradas[[#This Row],[Data do Caixa Previsto]]="",0,MONTH(TbRegistroEntradas[[#This Row],[Data do Caixa Previsto]]))</f>
        <v>11</v>
      </c>
      <c r="N149" s="50">
        <f>IF(TbRegistroEntradas[[#This Row],[Data do Caixa Previsto]]="",0,YEAR(TbRegistroEntradas[[#This Row],[Data do Caixa Previsto]]))</f>
        <v>2018</v>
      </c>
      <c r="O149" s="50" t="str">
        <f ca="1">IF(AND(TbRegistroEntradas[[#This Row],[Data do Caixa Previsto]]&lt;TODAY(),TbRegistroEntradas[[#This Row],[Data do Caixa Realizado]]=""),"Vencida","Não Vencida")</f>
        <v>Não Vencida</v>
      </c>
    </row>
    <row r="150" spans="2:15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50">
        <f>IF(TbRegistroEntradas[[#This Row],[Data do Caixa Previsto]]="",0,MONTH(TbRegistroEntradas[[#This Row],[Data do Caixa Previsto]]))</f>
        <v>10</v>
      </c>
      <c r="N150" s="50">
        <f>IF(TbRegistroEntradas[[#This Row],[Data do Caixa Previsto]]="",0,YEAR(TbRegistroEntradas[[#This Row],[Data do Caixa Previsto]]))</f>
        <v>2018</v>
      </c>
      <c r="O150" s="50" t="str">
        <f ca="1">IF(AND(TbRegistroEntradas[[#This Row],[Data do Caixa Previsto]]&lt;TODAY(),TbRegistroEntradas[[#This Row],[Data do Caixa Realizado]]=""),"Vencida","Não Vencida")</f>
        <v>Não Vencida</v>
      </c>
    </row>
    <row r="151" spans="2:15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50">
        <f>IF(TbRegistroEntradas[[#This Row],[Data do Caixa Previsto]]="",0,MONTH(TbRegistroEntradas[[#This Row],[Data do Caixa Previsto]]))</f>
        <v>10</v>
      </c>
      <c r="N151" s="50">
        <f>IF(TbRegistroEntradas[[#This Row],[Data do Caixa Previsto]]="",0,YEAR(TbRegistroEntradas[[#This Row],[Data do Caixa Previsto]]))</f>
        <v>2018</v>
      </c>
      <c r="O151" s="50" t="str">
        <f ca="1">IF(AND(TbRegistroEntradas[[#This Row],[Data do Caixa Previsto]]&lt;TODAY(),TbRegistroEntradas[[#This Row],[Data do Caixa Realizado]]=""),"Vencida","Não Vencida")</f>
        <v>Não Vencida</v>
      </c>
    </row>
    <row r="152" spans="2:15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50">
        <f>IF(TbRegistroEntradas[[#This Row],[Data do Caixa Previsto]]="",0,MONTH(TbRegistroEntradas[[#This Row],[Data do Caixa Previsto]]))</f>
        <v>12</v>
      </c>
      <c r="N152" s="50">
        <f>IF(TbRegistroEntradas[[#This Row],[Data do Caixa Previsto]]="",0,YEAR(TbRegistroEntradas[[#This Row],[Data do Caixa Previsto]]))</f>
        <v>2018</v>
      </c>
      <c r="O152" s="50" t="str">
        <f ca="1">IF(AND(TbRegistroEntradas[[#This Row],[Data do Caixa Previsto]]&lt;TODAY(),TbRegistroEntradas[[#This Row],[Data do Caixa Realizado]]=""),"Vencida","Não Vencida")</f>
        <v>Vencida</v>
      </c>
    </row>
    <row r="153" spans="2:15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50">
        <f>IF(TbRegistroEntradas[[#This Row],[Data do Caixa Previsto]]="",0,MONTH(TbRegistroEntradas[[#This Row],[Data do Caixa Previsto]]))</f>
        <v>12</v>
      </c>
      <c r="N153" s="50">
        <f>IF(TbRegistroEntradas[[#This Row],[Data do Caixa Previsto]]="",0,YEAR(TbRegistroEntradas[[#This Row],[Data do Caixa Previsto]]))</f>
        <v>2018</v>
      </c>
      <c r="O153" s="50" t="str">
        <f ca="1">IF(AND(TbRegistroEntradas[[#This Row],[Data do Caixa Previsto]]&lt;TODAY(),TbRegistroEntradas[[#This Row],[Data do Caixa Realizado]]=""),"Vencida","Não Vencida")</f>
        <v>Não Vencida</v>
      </c>
    </row>
    <row r="154" spans="2:15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50">
        <f>IF(TbRegistroEntradas[[#This Row],[Data do Caixa Previsto]]="",0,MONTH(TbRegistroEntradas[[#This Row],[Data do Caixa Previsto]]))</f>
        <v>11</v>
      </c>
      <c r="N154" s="50">
        <f>IF(TbRegistroEntradas[[#This Row],[Data do Caixa Previsto]]="",0,YEAR(TbRegistroEntradas[[#This Row],[Data do Caixa Previsto]]))</f>
        <v>2018</v>
      </c>
      <c r="O154" s="50" t="str">
        <f ca="1">IF(AND(TbRegistroEntradas[[#This Row],[Data do Caixa Previsto]]&lt;TODAY(),TbRegistroEntradas[[#This Row],[Data do Caixa Realizado]]=""),"Vencida","Não Vencida")</f>
        <v>Não Vencida</v>
      </c>
    </row>
    <row r="155" spans="2:15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50">
        <f>IF(TbRegistroEntradas[[#This Row],[Data do Caixa Previsto]]="",0,MONTH(TbRegistroEntradas[[#This Row],[Data do Caixa Previsto]]))</f>
        <v>10</v>
      </c>
      <c r="N155" s="50">
        <f>IF(TbRegistroEntradas[[#This Row],[Data do Caixa Previsto]]="",0,YEAR(TbRegistroEntradas[[#This Row],[Data do Caixa Previsto]]))</f>
        <v>2018</v>
      </c>
      <c r="O155" s="50" t="str">
        <f ca="1">IF(AND(TbRegistroEntradas[[#This Row],[Data do Caixa Previsto]]&lt;TODAY(),TbRegistroEntradas[[#This Row],[Data do Caixa Realizado]]=""),"Vencida","Não Vencida")</f>
        <v>Não Vencida</v>
      </c>
    </row>
    <row r="156" spans="2:15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50">
        <f>IF(TbRegistroEntradas[[#This Row],[Data do Caixa Previsto]]="",0,MONTH(TbRegistroEntradas[[#This Row],[Data do Caixa Previsto]]))</f>
        <v>10</v>
      </c>
      <c r="N156" s="50">
        <f>IF(TbRegistroEntradas[[#This Row],[Data do Caixa Previsto]]="",0,YEAR(TbRegistroEntradas[[#This Row],[Data do Caixa Previsto]]))</f>
        <v>2018</v>
      </c>
      <c r="O156" s="50" t="str">
        <f ca="1">IF(AND(TbRegistroEntradas[[#This Row],[Data do Caixa Previsto]]&lt;TODAY(),TbRegistroEntradas[[#This Row],[Data do Caixa Realizado]]=""),"Vencida","Não Vencida")</f>
        <v>Vencida</v>
      </c>
    </row>
    <row r="157" spans="2:15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50">
        <f>IF(TbRegistroEntradas[[#This Row],[Data do Caixa Previsto]]="",0,MONTH(TbRegistroEntradas[[#This Row],[Data do Caixa Previsto]]))</f>
        <v>12</v>
      </c>
      <c r="N157" s="50">
        <f>IF(TbRegistroEntradas[[#This Row],[Data do Caixa Previsto]]="",0,YEAR(TbRegistroEntradas[[#This Row],[Data do Caixa Previsto]]))</f>
        <v>2018</v>
      </c>
      <c r="O157" s="50" t="str">
        <f ca="1">IF(AND(TbRegistroEntradas[[#This Row],[Data do Caixa Previsto]]&lt;TODAY(),TbRegistroEntradas[[#This Row],[Data do Caixa Realizado]]=""),"Vencida","Não Vencida")</f>
        <v>Não Vencida</v>
      </c>
    </row>
    <row r="158" spans="2:15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50">
        <f>IF(TbRegistroEntradas[[#This Row],[Data do Caixa Previsto]]="",0,MONTH(TbRegistroEntradas[[#This Row],[Data do Caixa Previsto]]))</f>
        <v>11</v>
      </c>
      <c r="N158" s="50">
        <f>IF(TbRegistroEntradas[[#This Row],[Data do Caixa Previsto]]="",0,YEAR(TbRegistroEntradas[[#This Row],[Data do Caixa Previsto]]))</f>
        <v>2018</v>
      </c>
      <c r="O158" s="50" t="str">
        <f ca="1">IF(AND(TbRegistroEntradas[[#This Row],[Data do Caixa Previsto]]&lt;TODAY(),TbRegistroEntradas[[#This Row],[Data do Caixa Realizado]]=""),"Vencida","Não Vencida")</f>
        <v>Não Vencida</v>
      </c>
    </row>
    <row r="159" spans="2:15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50">
        <f>IF(TbRegistroEntradas[[#This Row],[Data do Caixa Previsto]]="",0,MONTH(TbRegistroEntradas[[#This Row],[Data do Caixa Previsto]]))</f>
        <v>11</v>
      </c>
      <c r="N159" s="50">
        <f>IF(TbRegistroEntradas[[#This Row],[Data do Caixa Previsto]]="",0,YEAR(TbRegistroEntradas[[#This Row],[Data do Caixa Previsto]]))</f>
        <v>2018</v>
      </c>
      <c r="O159" s="50" t="str">
        <f ca="1">IF(AND(TbRegistroEntradas[[#This Row],[Data do Caixa Previsto]]&lt;TODAY(),TbRegistroEntradas[[#This Row],[Data do Caixa Realizado]]=""),"Vencida","Não Vencida")</f>
        <v>Não Vencida</v>
      </c>
    </row>
    <row r="160" spans="2:15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50">
        <f>IF(TbRegistroEntradas[[#This Row],[Data do Caixa Previsto]]="",0,MONTH(TbRegistroEntradas[[#This Row],[Data do Caixa Previsto]]))</f>
        <v>11</v>
      </c>
      <c r="N160" s="50">
        <f>IF(TbRegistroEntradas[[#This Row],[Data do Caixa Previsto]]="",0,YEAR(TbRegistroEntradas[[#This Row],[Data do Caixa Previsto]]))</f>
        <v>2018</v>
      </c>
      <c r="O160" s="50" t="str">
        <f ca="1">IF(AND(TbRegistroEntradas[[#This Row],[Data do Caixa Previsto]]&lt;TODAY(),TbRegistroEntradas[[#This Row],[Data do Caixa Realizado]]=""),"Vencida","Não Vencida")</f>
        <v>Não Vencida</v>
      </c>
    </row>
    <row r="161" spans="2:15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50">
        <f>IF(TbRegistroEntradas[[#This Row],[Data do Caixa Previsto]]="",0,MONTH(TbRegistroEntradas[[#This Row],[Data do Caixa Previsto]]))</f>
        <v>12</v>
      </c>
      <c r="N161" s="50">
        <f>IF(TbRegistroEntradas[[#This Row],[Data do Caixa Previsto]]="",0,YEAR(TbRegistroEntradas[[#This Row],[Data do Caixa Previsto]]))</f>
        <v>2018</v>
      </c>
      <c r="O161" s="50" t="str">
        <f ca="1">IF(AND(TbRegistroEntradas[[#This Row],[Data do Caixa Previsto]]&lt;TODAY(),TbRegistroEntradas[[#This Row],[Data do Caixa Realizado]]=""),"Vencida","Não Vencida")</f>
        <v>Não Vencida</v>
      </c>
    </row>
    <row r="162" spans="2:15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50">
        <f>IF(TbRegistroEntradas[[#This Row],[Data do Caixa Previsto]]="",0,MONTH(TbRegistroEntradas[[#This Row],[Data do Caixa Previsto]]))</f>
        <v>11</v>
      </c>
      <c r="N162" s="50">
        <f>IF(TbRegistroEntradas[[#This Row],[Data do Caixa Previsto]]="",0,YEAR(TbRegistroEntradas[[#This Row],[Data do Caixa Previsto]]))</f>
        <v>2018</v>
      </c>
      <c r="O162" s="50" t="str">
        <f ca="1">IF(AND(TbRegistroEntradas[[#This Row],[Data do Caixa Previsto]]&lt;TODAY(),TbRegistroEntradas[[#This Row],[Data do Caixa Realizado]]=""),"Vencida","Não Vencida")</f>
        <v>Não Vencida</v>
      </c>
    </row>
    <row r="163" spans="2:15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50">
        <f>IF(TbRegistroEntradas[[#This Row],[Data do Caixa Previsto]]="",0,MONTH(TbRegistroEntradas[[#This Row],[Data do Caixa Previsto]]))</f>
        <v>12</v>
      </c>
      <c r="N163" s="50">
        <f>IF(TbRegistroEntradas[[#This Row],[Data do Caixa Previsto]]="",0,YEAR(TbRegistroEntradas[[#This Row],[Data do Caixa Previsto]]))</f>
        <v>2018</v>
      </c>
      <c r="O163" s="50" t="str">
        <f ca="1">IF(AND(TbRegistroEntradas[[#This Row],[Data do Caixa Previsto]]&lt;TODAY(),TbRegistroEntradas[[#This Row],[Data do Caixa Realizado]]=""),"Vencida","Não Vencida")</f>
        <v>Não Vencida</v>
      </c>
    </row>
    <row r="164" spans="2:15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50">
        <f>IF(TbRegistroEntradas[[#This Row],[Data do Caixa Previsto]]="",0,MONTH(TbRegistroEntradas[[#This Row],[Data do Caixa Previsto]]))</f>
        <v>12</v>
      </c>
      <c r="N164" s="50">
        <f>IF(TbRegistroEntradas[[#This Row],[Data do Caixa Previsto]]="",0,YEAR(TbRegistroEntradas[[#This Row],[Data do Caixa Previsto]]))</f>
        <v>2018</v>
      </c>
      <c r="O164" s="50" t="str">
        <f ca="1">IF(AND(TbRegistroEntradas[[#This Row],[Data do Caixa Previsto]]&lt;TODAY(),TbRegistroEntradas[[#This Row],[Data do Caixa Realizado]]=""),"Vencida","Não Vencida")</f>
        <v>Não Vencida</v>
      </c>
    </row>
    <row r="165" spans="2:15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50">
        <f>IF(TbRegistroEntradas[[#This Row],[Data do Caixa Previsto]]="",0,MONTH(TbRegistroEntradas[[#This Row],[Data do Caixa Previsto]]))</f>
        <v>11</v>
      </c>
      <c r="N165" s="50">
        <f>IF(TbRegistroEntradas[[#This Row],[Data do Caixa Previsto]]="",0,YEAR(TbRegistroEntradas[[#This Row],[Data do Caixa Previsto]]))</f>
        <v>2018</v>
      </c>
      <c r="O165" s="50" t="str">
        <f ca="1">IF(AND(TbRegistroEntradas[[#This Row],[Data do Caixa Previsto]]&lt;TODAY(),TbRegistroEntradas[[#This Row],[Data do Caixa Realizado]]=""),"Vencida","Não Vencida")</f>
        <v>Não Vencida</v>
      </c>
    </row>
    <row r="166" spans="2:15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50">
        <f>IF(TbRegistroEntradas[[#This Row],[Data do Caixa Previsto]]="",0,MONTH(TbRegistroEntradas[[#This Row],[Data do Caixa Previsto]]))</f>
        <v>11</v>
      </c>
      <c r="N166" s="50">
        <f>IF(TbRegistroEntradas[[#This Row],[Data do Caixa Previsto]]="",0,YEAR(TbRegistroEntradas[[#This Row],[Data do Caixa Previsto]]))</f>
        <v>2018</v>
      </c>
      <c r="O166" s="50" t="str">
        <f ca="1">IF(AND(TbRegistroEntradas[[#This Row],[Data do Caixa Previsto]]&lt;TODAY(),TbRegistroEntradas[[#This Row],[Data do Caixa Realizado]]=""),"Vencida","Não Vencida")</f>
        <v>Não Vencida</v>
      </c>
    </row>
    <row r="167" spans="2:15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50">
        <f>IF(TbRegistroEntradas[[#This Row],[Data do Caixa Previsto]]="",0,MONTH(TbRegistroEntradas[[#This Row],[Data do Caixa Previsto]]))</f>
        <v>1</v>
      </c>
      <c r="N167" s="50">
        <f>IF(TbRegistroEntradas[[#This Row],[Data do Caixa Previsto]]="",0,YEAR(TbRegistroEntradas[[#This Row],[Data do Caixa Previsto]]))</f>
        <v>2019</v>
      </c>
      <c r="O167" s="50" t="str">
        <f ca="1">IF(AND(TbRegistroEntradas[[#This Row],[Data do Caixa Previsto]]&lt;TODAY(),TbRegistroEntradas[[#This Row],[Data do Caixa Realizado]]=""),"Vencida","Não Vencida")</f>
        <v>Vencida</v>
      </c>
    </row>
    <row r="168" spans="2:15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50">
        <f>IF(TbRegistroEntradas[[#This Row],[Data do Caixa Previsto]]="",0,MONTH(TbRegistroEntradas[[#This Row],[Data do Caixa Previsto]]))</f>
        <v>1</v>
      </c>
      <c r="N168" s="50">
        <f>IF(TbRegistroEntradas[[#This Row],[Data do Caixa Previsto]]="",0,YEAR(TbRegistroEntradas[[#This Row],[Data do Caixa Previsto]]))</f>
        <v>2019</v>
      </c>
      <c r="O168" s="50" t="str">
        <f ca="1">IF(AND(TbRegistroEntradas[[#This Row],[Data do Caixa Previsto]]&lt;TODAY(),TbRegistroEntradas[[#This Row],[Data do Caixa Realizado]]=""),"Vencida","Não Vencida")</f>
        <v>Não Vencida</v>
      </c>
    </row>
    <row r="169" spans="2:15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50">
        <f>IF(TbRegistroEntradas[[#This Row],[Data do Caixa Previsto]]="",0,MONTH(TbRegistroEntradas[[#This Row],[Data do Caixa Previsto]]))</f>
        <v>1</v>
      </c>
      <c r="N169" s="50">
        <f>IF(TbRegistroEntradas[[#This Row],[Data do Caixa Previsto]]="",0,YEAR(TbRegistroEntradas[[#This Row],[Data do Caixa Previsto]]))</f>
        <v>2019</v>
      </c>
      <c r="O169" s="50" t="str">
        <f ca="1">IF(AND(TbRegistroEntradas[[#This Row],[Data do Caixa Previsto]]&lt;TODAY(),TbRegistroEntradas[[#This Row],[Data do Caixa Realizado]]=""),"Vencida","Não Vencida")</f>
        <v>Não Vencida</v>
      </c>
    </row>
    <row r="170" spans="2:15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50">
        <f>IF(TbRegistroEntradas[[#This Row],[Data do Caixa Previsto]]="",0,MONTH(TbRegistroEntradas[[#This Row],[Data do Caixa Previsto]]))</f>
        <v>12</v>
      </c>
      <c r="N170" s="50">
        <f>IF(TbRegistroEntradas[[#This Row],[Data do Caixa Previsto]]="",0,YEAR(TbRegistroEntradas[[#This Row],[Data do Caixa Previsto]]))</f>
        <v>2018</v>
      </c>
      <c r="O170" s="50" t="str">
        <f ca="1">IF(AND(TbRegistroEntradas[[#This Row],[Data do Caixa Previsto]]&lt;TODAY(),TbRegistroEntradas[[#This Row],[Data do Caixa Realizado]]=""),"Vencida","Não Vencida")</f>
        <v>Não Vencida</v>
      </c>
    </row>
    <row r="171" spans="2:15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50">
        <f>IF(TbRegistroEntradas[[#This Row],[Data do Caixa Previsto]]="",0,MONTH(TbRegistroEntradas[[#This Row],[Data do Caixa Previsto]]))</f>
        <v>2</v>
      </c>
      <c r="N171" s="50">
        <f>IF(TbRegistroEntradas[[#This Row],[Data do Caixa Previsto]]="",0,YEAR(TbRegistroEntradas[[#This Row],[Data do Caixa Previsto]]))</f>
        <v>2019</v>
      </c>
      <c r="O171" s="50" t="str">
        <f ca="1">IF(AND(TbRegistroEntradas[[#This Row],[Data do Caixa Previsto]]&lt;TODAY(),TbRegistroEntradas[[#This Row],[Data do Caixa Realizado]]=""),"Vencida","Não Vencida")</f>
        <v>Não Vencida</v>
      </c>
    </row>
    <row r="172" spans="2:15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50">
        <f>IF(TbRegistroEntradas[[#This Row],[Data do Caixa Previsto]]="",0,MONTH(TbRegistroEntradas[[#This Row],[Data do Caixa Previsto]]))</f>
        <v>12</v>
      </c>
      <c r="N172" s="50">
        <f>IF(TbRegistroEntradas[[#This Row],[Data do Caixa Previsto]]="",0,YEAR(TbRegistroEntradas[[#This Row],[Data do Caixa Previsto]]))</f>
        <v>2018</v>
      </c>
      <c r="O172" s="50" t="str">
        <f ca="1">IF(AND(TbRegistroEntradas[[#This Row],[Data do Caixa Previsto]]&lt;TODAY(),TbRegistroEntradas[[#This Row],[Data do Caixa Realizado]]=""),"Vencida","Não Vencida")</f>
        <v>Não Vencida</v>
      </c>
    </row>
    <row r="173" spans="2:15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50">
        <f>IF(TbRegistroEntradas[[#This Row],[Data do Caixa Previsto]]="",0,MONTH(TbRegistroEntradas[[#This Row],[Data do Caixa Previsto]]))</f>
        <v>2</v>
      </c>
      <c r="N173" s="50">
        <f>IF(TbRegistroEntradas[[#This Row],[Data do Caixa Previsto]]="",0,YEAR(TbRegistroEntradas[[#This Row],[Data do Caixa Previsto]]))</f>
        <v>2019</v>
      </c>
      <c r="O173" s="50" t="str">
        <f ca="1">IF(AND(TbRegistroEntradas[[#This Row],[Data do Caixa Previsto]]&lt;TODAY(),TbRegistroEntradas[[#This Row],[Data do Caixa Realizado]]=""),"Vencida","Não Vencida")</f>
        <v>Não Vencida</v>
      </c>
    </row>
    <row r="174" spans="2:15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50">
        <f>IF(TbRegistroEntradas[[#This Row],[Data do Caixa Previsto]]="",0,MONTH(TbRegistroEntradas[[#This Row],[Data do Caixa Previsto]]))</f>
        <v>1</v>
      </c>
      <c r="N174" s="50">
        <f>IF(TbRegistroEntradas[[#This Row],[Data do Caixa Previsto]]="",0,YEAR(TbRegistroEntradas[[#This Row],[Data do Caixa Previsto]]))</f>
        <v>2019</v>
      </c>
      <c r="O174" s="50" t="str">
        <f ca="1">IF(AND(TbRegistroEntradas[[#This Row],[Data do Caixa Previsto]]&lt;TODAY(),TbRegistroEntradas[[#This Row],[Data do Caixa Realizado]]=""),"Vencida","Não Vencida")</f>
        <v>Não Vencida</v>
      </c>
    </row>
    <row r="175" spans="2:15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50">
        <f>IF(TbRegistroEntradas[[#This Row],[Data do Caixa Previsto]]="",0,MONTH(TbRegistroEntradas[[#This Row],[Data do Caixa Previsto]]))</f>
        <v>2</v>
      </c>
      <c r="N175" s="50">
        <f>IF(TbRegistroEntradas[[#This Row],[Data do Caixa Previsto]]="",0,YEAR(TbRegistroEntradas[[#This Row],[Data do Caixa Previsto]]))</f>
        <v>2019</v>
      </c>
      <c r="O175" s="50" t="str">
        <f ca="1">IF(AND(TbRegistroEntradas[[#This Row],[Data do Caixa Previsto]]&lt;TODAY(),TbRegistroEntradas[[#This Row],[Data do Caixa Realizado]]=""),"Vencida","Não Vencida")</f>
        <v>Não Vencida</v>
      </c>
    </row>
    <row r="176" spans="2:15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50">
        <f>IF(TbRegistroEntradas[[#This Row],[Data do Caixa Previsto]]="",0,MONTH(TbRegistroEntradas[[#This Row],[Data do Caixa Previsto]]))</f>
        <v>1</v>
      </c>
      <c r="N176" s="50">
        <f>IF(TbRegistroEntradas[[#This Row],[Data do Caixa Previsto]]="",0,YEAR(TbRegistroEntradas[[#This Row],[Data do Caixa Previsto]]))</f>
        <v>2019</v>
      </c>
      <c r="O176" s="50" t="str">
        <f ca="1">IF(AND(TbRegistroEntradas[[#This Row],[Data do Caixa Previsto]]&lt;TODAY(),TbRegistroEntradas[[#This Row],[Data do Caixa Realizado]]=""),"Vencida","Não Vencida")</f>
        <v>Não Vencida</v>
      </c>
    </row>
    <row r="177" spans="2:15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50">
        <f>IF(TbRegistroEntradas[[#This Row],[Data do Caixa Previsto]]="",0,MONTH(TbRegistroEntradas[[#This Row],[Data do Caixa Previsto]]))</f>
        <v>1</v>
      </c>
      <c r="N177" s="50">
        <f>IF(TbRegistroEntradas[[#This Row],[Data do Caixa Previsto]]="",0,YEAR(TbRegistroEntradas[[#This Row],[Data do Caixa Previsto]]))</f>
        <v>2019</v>
      </c>
      <c r="O177" s="50" t="str">
        <f ca="1">IF(AND(TbRegistroEntradas[[#This Row],[Data do Caixa Previsto]]&lt;TODAY(),TbRegistroEntradas[[#This Row],[Data do Caixa Realizado]]=""),"Vencida","Não Vencida")</f>
        <v>Não Vencida</v>
      </c>
    </row>
    <row r="178" spans="2:15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50">
        <f>IF(TbRegistroEntradas[[#This Row],[Data do Caixa Previsto]]="",0,MONTH(TbRegistroEntradas[[#This Row],[Data do Caixa Previsto]]))</f>
        <v>3</v>
      </c>
      <c r="N178" s="50">
        <f>IF(TbRegistroEntradas[[#This Row],[Data do Caixa Previsto]]="",0,YEAR(TbRegistroEntradas[[#This Row],[Data do Caixa Previsto]]))</f>
        <v>2019</v>
      </c>
      <c r="O178" s="50" t="str">
        <f ca="1">IF(AND(TbRegistroEntradas[[#This Row],[Data do Caixa Previsto]]&lt;TODAY(),TbRegistroEntradas[[#This Row],[Data do Caixa Realizado]]=""),"Vencida","Não Vencida")</f>
        <v>Não Vencida</v>
      </c>
    </row>
    <row r="179" spans="2:15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50">
        <f>IF(TbRegistroEntradas[[#This Row],[Data do Caixa Previsto]]="",0,MONTH(TbRegistroEntradas[[#This Row],[Data do Caixa Previsto]]))</f>
        <v>1</v>
      </c>
      <c r="N179" s="50">
        <f>IF(TbRegistroEntradas[[#This Row],[Data do Caixa Previsto]]="",0,YEAR(TbRegistroEntradas[[#This Row],[Data do Caixa Previsto]]))</f>
        <v>2019</v>
      </c>
      <c r="O179" s="50" t="str">
        <f ca="1">IF(AND(TbRegistroEntradas[[#This Row],[Data do Caixa Previsto]]&lt;TODAY(),TbRegistroEntradas[[#This Row],[Data do Caixa Realizado]]=""),"Vencida","Não Vencida")</f>
        <v>Não Vencida</v>
      </c>
    </row>
    <row r="180" spans="2:15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50">
        <f>IF(TbRegistroEntradas[[#This Row],[Data do Caixa Previsto]]="",0,MONTH(TbRegistroEntradas[[#This Row],[Data do Caixa Previsto]]))</f>
        <v>2</v>
      </c>
      <c r="N180" s="50">
        <f>IF(TbRegistroEntradas[[#This Row],[Data do Caixa Previsto]]="",0,YEAR(TbRegistroEntradas[[#This Row],[Data do Caixa Previsto]]))</f>
        <v>2019</v>
      </c>
      <c r="O180" s="50" t="str">
        <f ca="1">IF(AND(TbRegistroEntradas[[#This Row],[Data do Caixa Previsto]]&lt;TODAY(),TbRegistroEntradas[[#This Row],[Data do Caixa Realizado]]=""),"Vencida","Não Vencida")</f>
        <v>Vencida</v>
      </c>
    </row>
    <row r="181" spans="2:15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50">
        <f>IF(TbRegistroEntradas[[#This Row],[Data do Caixa Previsto]]="",0,MONTH(TbRegistroEntradas[[#This Row],[Data do Caixa Previsto]]))</f>
        <v>2</v>
      </c>
      <c r="N181" s="50">
        <f>IF(TbRegistroEntradas[[#This Row],[Data do Caixa Previsto]]="",0,YEAR(TbRegistroEntradas[[#This Row],[Data do Caixa Previsto]]))</f>
        <v>2019</v>
      </c>
      <c r="O181" s="50" t="str">
        <f ca="1">IF(AND(TbRegistroEntradas[[#This Row],[Data do Caixa Previsto]]&lt;TODAY(),TbRegistroEntradas[[#This Row],[Data do Caixa Realizado]]=""),"Vencida","Não Vencida")</f>
        <v>Não Vencida</v>
      </c>
    </row>
    <row r="182" spans="2:15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50">
        <f>IF(TbRegistroEntradas[[#This Row],[Data do Caixa Previsto]]="",0,MONTH(TbRegistroEntradas[[#This Row],[Data do Caixa Previsto]]))</f>
        <v>2</v>
      </c>
      <c r="N182" s="50">
        <f>IF(TbRegistroEntradas[[#This Row],[Data do Caixa Previsto]]="",0,YEAR(TbRegistroEntradas[[#This Row],[Data do Caixa Previsto]]))</f>
        <v>2019</v>
      </c>
      <c r="O182" s="50" t="str">
        <f ca="1">IF(AND(TbRegistroEntradas[[#This Row],[Data do Caixa Previsto]]&lt;TODAY(),TbRegistroEntradas[[#This Row],[Data do Caixa Realizado]]=""),"Vencida","Não Vencida")</f>
        <v>Vencida</v>
      </c>
    </row>
    <row r="183" spans="2:15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50">
        <f>IF(TbRegistroEntradas[[#This Row],[Data do Caixa Previsto]]="",0,MONTH(TbRegistroEntradas[[#This Row],[Data do Caixa Previsto]]))</f>
        <v>1</v>
      </c>
      <c r="N183" s="50">
        <f>IF(TbRegistroEntradas[[#This Row],[Data do Caixa Previsto]]="",0,YEAR(TbRegistroEntradas[[#This Row],[Data do Caixa Previsto]]))</f>
        <v>2019</v>
      </c>
      <c r="O183" s="50" t="str">
        <f ca="1">IF(AND(TbRegistroEntradas[[#This Row],[Data do Caixa Previsto]]&lt;TODAY(),TbRegistroEntradas[[#This Row],[Data do Caixa Realizado]]=""),"Vencida","Não Vencida")</f>
        <v>Não Vencida</v>
      </c>
    </row>
    <row r="184" spans="2:15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50">
        <f>IF(TbRegistroEntradas[[#This Row],[Data do Caixa Previsto]]="",0,MONTH(TbRegistroEntradas[[#This Row],[Data do Caixa Previsto]]))</f>
        <v>3</v>
      </c>
      <c r="N184" s="50">
        <f>IF(TbRegistroEntradas[[#This Row],[Data do Caixa Previsto]]="",0,YEAR(TbRegistroEntradas[[#This Row],[Data do Caixa Previsto]]))</f>
        <v>2019</v>
      </c>
      <c r="O184" s="50" t="str">
        <f ca="1">IF(AND(TbRegistroEntradas[[#This Row],[Data do Caixa Previsto]]&lt;TODAY(),TbRegistroEntradas[[#This Row],[Data do Caixa Realizado]]=""),"Vencida","Não Vencida")</f>
        <v>Não Vencida</v>
      </c>
    </row>
    <row r="185" spans="2:15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50">
        <f>IF(TbRegistroEntradas[[#This Row],[Data do Caixa Previsto]]="",0,MONTH(TbRegistroEntradas[[#This Row],[Data do Caixa Previsto]]))</f>
        <v>2</v>
      </c>
      <c r="N185" s="50">
        <f>IF(TbRegistroEntradas[[#This Row],[Data do Caixa Previsto]]="",0,YEAR(TbRegistroEntradas[[#This Row],[Data do Caixa Previsto]]))</f>
        <v>2019</v>
      </c>
      <c r="O185" s="50" t="str">
        <f ca="1">IF(AND(TbRegistroEntradas[[#This Row],[Data do Caixa Previsto]]&lt;TODAY(),TbRegistroEntradas[[#This Row],[Data do Caixa Realizado]]=""),"Vencida","Não Vencida")</f>
        <v>Não Vencida</v>
      </c>
    </row>
    <row r="186" spans="2:15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50">
        <f>IF(TbRegistroEntradas[[#This Row],[Data do Caixa Previsto]]="",0,MONTH(TbRegistroEntradas[[#This Row],[Data do Caixa Previsto]]))</f>
        <v>3</v>
      </c>
      <c r="N186" s="50">
        <f>IF(TbRegistroEntradas[[#This Row],[Data do Caixa Previsto]]="",0,YEAR(TbRegistroEntradas[[#This Row],[Data do Caixa Previsto]]))</f>
        <v>2019</v>
      </c>
      <c r="O186" s="50" t="str">
        <f ca="1">IF(AND(TbRegistroEntradas[[#This Row],[Data do Caixa Previsto]]&lt;TODAY(),TbRegistroEntradas[[#This Row],[Data do Caixa Realizado]]=""),"Vencida","Não Vencida")</f>
        <v>Não Vencida</v>
      </c>
    </row>
    <row r="187" spans="2:15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50">
        <f>IF(TbRegistroEntradas[[#This Row],[Data do Caixa Previsto]]="",0,MONTH(TbRegistroEntradas[[#This Row],[Data do Caixa Previsto]]))</f>
        <v>3</v>
      </c>
      <c r="N187" s="50">
        <f>IF(TbRegistroEntradas[[#This Row],[Data do Caixa Previsto]]="",0,YEAR(TbRegistroEntradas[[#This Row],[Data do Caixa Previsto]]))</f>
        <v>2019</v>
      </c>
      <c r="O187" s="50" t="str">
        <f ca="1">IF(AND(TbRegistroEntradas[[#This Row],[Data do Caixa Previsto]]&lt;TODAY(),TbRegistroEntradas[[#This Row],[Data do Caixa Realizado]]=""),"Vencida","Não Vencida")</f>
        <v>Não Vencida</v>
      </c>
    </row>
    <row r="188" spans="2:15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50">
        <f>IF(TbRegistroEntradas[[#This Row],[Data do Caixa Previsto]]="",0,MONTH(TbRegistroEntradas[[#This Row],[Data do Caixa Previsto]]))</f>
        <v>3</v>
      </c>
      <c r="N188" s="50">
        <f>IF(TbRegistroEntradas[[#This Row],[Data do Caixa Previsto]]="",0,YEAR(TbRegistroEntradas[[#This Row],[Data do Caixa Previsto]]))</f>
        <v>2019</v>
      </c>
      <c r="O188" s="50" t="str">
        <f ca="1">IF(AND(TbRegistroEntradas[[#This Row],[Data do Caixa Previsto]]&lt;TODAY(),TbRegistroEntradas[[#This Row],[Data do Caixa Realizado]]=""),"Vencida","Não Vencida")</f>
        <v>Não Vencida</v>
      </c>
    </row>
    <row r="189" spans="2:15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50">
        <f>IF(TbRegistroEntradas[[#This Row],[Data do Caixa Previsto]]="",0,MONTH(TbRegistroEntradas[[#This Row],[Data do Caixa Previsto]]))</f>
        <v>2</v>
      </c>
      <c r="N189" s="50">
        <f>IF(TbRegistroEntradas[[#This Row],[Data do Caixa Previsto]]="",0,YEAR(TbRegistroEntradas[[#This Row],[Data do Caixa Previsto]]))</f>
        <v>2019</v>
      </c>
      <c r="O189" s="50" t="str">
        <f ca="1">IF(AND(TbRegistroEntradas[[#This Row],[Data do Caixa Previsto]]&lt;TODAY(),TbRegistroEntradas[[#This Row],[Data do Caixa Realizado]]=""),"Vencida","Não Vencida")</f>
        <v>Não Vencida</v>
      </c>
    </row>
    <row r="190" spans="2:15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50">
        <f>IF(TbRegistroEntradas[[#This Row],[Data do Caixa Previsto]]="",0,MONTH(TbRegistroEntradas[[#This Row],[Data do Caixa Previsto]]))</f>
        <v>2</v>
      </c>
      <c r="N190" s="50">
        <f>IF(TbRegistroEntradas[[#This Row],[Data do Caixa Previsto]]="",0,YEAR(TbRegistroEntradas[[#This Row],[Data do Caixa Previsto]]))</f>
        <v>2019</v>
      </c>
      <c r="O190" s="50" t="str">
        <f ca="1">IF(AND(TbRegistroEntradas[[#This Row],[Data do Caixa Previsto]]&lt;TODAY(),TbRegistroEntradas[[#This Row],[Data do Caixa Realizado]]=""),"Vencida","Não Vencida")</f>
        <v>Não Vencida</v>
      </c>
    </row>
    <row r="191" spans="2:15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50">
        <f>IF(TbRegistroEntradas[[#This Row],[Data do Caixa Previsto]]="",0,MONTH(TbRegistroEntradas[[#This Row],[Data do Caixa Previsto]]))</f>
        <v>2</v>
      </c>
      <c r="N191" s="50">
        <f>IF(TbRegistroEntradas[[#This Row],[Data do Caixa Previsto]]="",0,YEAR(TbRegistroEntradas[[#This Row],[Data do Caixa Previsto]]))</f>
        <v>2019</v>
      </c>
      <c r="O191" s="50" t="str">
        <f ca="1">IF(AND(TbRegistroEntradas[[#This Row],[Data do Caixa Previsto]]&lt;TODAY(),TbRegistroEntradas[[#This Row],[Data do Caixa Realizado]]=""),"Vencida","Não Vencida")</f>
        <v>Não Vencida</v>
      </c>
    </row>
    <row r="192" spans="2:15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50">
        <f>IF(TbRegistroEntradas[[#This Row],[Data do Caixa Previsto]]="",0,MONTH(TbRegistroEntradas[[#This Row],[Data do Caixa Previsto]]))</f>
        <v>2</v>
      </c>
      <c r="N192" s="50">
        <f>IF(TbRegistroEntradas[[#This Row],[Data do Caixa Previsto]]="",0,YEAR(TbRegistroEntradas[[#This Row],[Data do Caixa Previsto]]))</f>
        <v>2019</v>
      </c>
      <c r="O192" s="50" t="str">
        <f ca="1">IF(AND(TbRegistroEntradas[[#This Row],[Data do Caixa Previsto]]&lt;TODAY(),TbRegistroEntradas[[#This Row],[Data do Caixa Realizado]]=""),"Vencida","Não Vencida")</f>
        <v>Não Vencida</v>
      </c>
    </row>
    <row r="193" spans="2:15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50">
        <f>IF(TbRegistroEntradas[[#This Row],[Data do Caixa Previsto]]="",0,MONTH(TbRegistroEntradas[[#This Row],[Data do Caixa Previsto]]))</f>
        <v>3</v>
      </c>
      <c r="N193" s="50">
        <f>IF(TbRegistroEntradas[[#This Row],[Data do Caixa Previsto]]="",0,YEAR(TbRegistroEntradas[[#This Row],[Data do Caixa Previsto]]))</f>
        <v>2019</v>
      </c>
      <c r="O193" s="50" t="str">
        <f ca="1">IF(AND(TbRegistroEntradas[[#This Row],[Data do Caixa Previsto]]&lt;TODAY(),TbRegistroEntradas[[#This Row],[Data do Caixa Realizado]]=""),"Vencida","Não Vencida")</f>
        <v>Não Vencida</v>
      </c>
    </row>
    <row r="194" spans="2:15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50">
        <f>IF(TbRegistroEntradas[[#This Row],[Data do Caixa Previsto]]="",0,MONTH(TbRegistroEntradas[[#This Row],[Data do Caixa Previsto]]))</f>
        <v>3</v>
      </c>
      <c r="N194" s="50">
        <f>IF(TbRegistroEntradas[[#This Row],[Data do Caixa Previsto]]="",0,YEAR(TbRegistroEntradas[[#This Row],[Data do Caixa Previsto]]))</f>
        <v>2019</v>
      </c>
      <c r="O194" s="50" t="str">
        <f ca="1">IF(AND(TbRegistroEntradas[[#This Row],[Data do Caixa Previsto]]&lt;TODAY(),TbRegistroEntradas[[#This Row],[Data do Caixa Realizado]]=""),"Vencida","Não Vencida")</f>
        <v>Não Vencida</v>
      </c>
    </row>
    <row r="195" spans="2:15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50">
        <f>IF(TbRegistroEntradas[[#This Row],[Data do Caixa Previsto]]="",0,MONTH(TbRegistroEntradas[[#This Row],[Data do Caixa Previsto]]))</f>
        <v>2</v>
      </c>
      <c r="N195" s="50">
        <f>IF(TbRegistroEntradas[[#This Row],[Data do Caixa Previsto]]="",0,YEAR(TbRegistroEntradas[[#This Row],[Data do Caixa Previsto]]))</f>
        <v>2019</v>
      </c>
      <c r="O195" s="50" t="str">
        <f ca="1">IF(AND(TbRegistroEntradas[[#This Row],[Data do Caixa Previsto]]&lt;TODAY(),TbRegistroEntradas[[#This Row],[Data do Caixa Realizado]]=""),"Vencida","Não Vencida")</f>
        <v>Não Vencida</v>
      </c>
    </row>
    <row r="196" spans="2:15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50">
        <f>IF(TbRegistroEntradas[[#This Row],[Data do Caixa Previsto]]="",0,MONTH(TbRegistroEntradas[[#This Row],[Data do Caixa Previsto]]))</f>
        <v>3</v>
      </c>
      <c r="N196" s="50">
        <f>IF(TbRegistroEntradas[[#This Row],[Data do Caixa Previsto]]="",0,YEAR(TbRegistroEntradas[[#This Row],[Data do Caixa Previsto]]))</f>
        <v>2019</v>
      </c>
      <c r="O196" s="50" t="str">
        <f ca="1">IF(AND(TbRegistroEntradas[[#This Row],[Data do Caixa Previsto]]&lt;TODAY(),TbRegistroEntradas[[#This Row],[Data do Caixa Realizado]]=""),"Vencida","Não Vencida")</f>
        <v>Não Vencida</v>
      </c>
    </row>
    <row r="197" spans="2:15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50">
        <f>IF(TbRegistroEntradas[[#This Row],[Data do Caixa Previsto]]="",0,MONTH(TbRegistroEntradas[[#This Row],[Data do Caixa Previsto]]))</f>
        <v>3</v>
      </c>
      <c r="N197" s="50">
        <f>IF(TbRegistroEntradas[[#This Row],[Data do Caixa Previsto]]="",0,YEAR(TbRegistroEntradas[[#This Row],[Data do Caixa Previsto]]))</f>
        <v>2019</v>
      </c>
      <c r="O197" s="50" t="str">
        <f ca="1">IF(AND(TbRegistroEntradas[[#This Row],[Data do Caixa Previsto]]&lt;TODAY(),TbRegistroEntradas[[#This Row],[Data do Caixa Realizado]]=""),"Vencida","Não Vencida")</f>
        <v>Não Vencida</v>
      </c>
    </row>
    <row r="198" spans="2:15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50">
        <f>IF(TbRegistroEntradas[[#This Row],[Data do Caixa Previsto]]="",0,MONTH(TbRegistroEntradas[[#This Row],[Data do Caixa Previsto]]))</f>
        <v>4</v>
      </c>
      <c r="N198" s="50">
        <f>IF(TbRegistroEntradas[[#This Row],[Data do Caixa Previsto]]="",0,YEAR(TbRegistroEntradas[[#This Row],[Data do Caixa Previsto]]))</f>
        <v>2019</v>
      </c>
      <c r="O198" s="50" t="str">
        <f ca="1">IF(AND(TbRegistroEntradas[[#This Row],[Data do Caixa Previsto]]&lt;TODAY(),TbRegistroEntradas[[#This Row],[Data do Caixa Realizado]]=""),"Vencida","Não Vencida")</f>
        <v>Não Vencida</v>
      </c>
    </row>
    <row r="199" spans="2:15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50">
        <f>IF(TbRegistroEntradas[[#This Row],[Data do Caixa Previsto]]="",0,MONTH(TbRegistroEntradas[[#This Row],[Data do Caixa Previsto]]))</f>
        <v>4</v>
      </c>
      <c r="N199" s="50">
        <f>IF(TbRegistroEntradas[[#This Row],[Data do Caixa Previsto]]="",0,YEAR(TbRegistroEntradas[[#This Row],[Data do Caixa Previsto]]))</f>
        <v>2019</v>
      </c>
      <c r="O199" s="50" t="str">
        <f ca="1">IF(AND(TbRegistroEntradas[[#This Row],[Data do Caixa Previsto]]&lt;TODAY(),TbRegistroEntradas[[#This Row],[Data do Caixa Realizado]]=""),"Vencida","Não Vencida")</f>
        <v>Não Vencida</v>
      </c>
    </row>
    <row r="200" spans="2:15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50">
        <f>IF(TbRegistroEntradas[[#This Row],[Data do Caixa Previsto]]="",0,MONTH(TbRegistroEntradas[[#This Row],[Data do Caixa Previsto]]))</f>
        <v>3</v>
      </c>
      <c r="N200" s="50">
        <f>IF(TbRegistroEntradas[[#This Row],[Data do Caixa Previsto]]="",0,YEAR(TbRegistroEntradas[[#This Row],[Data do Caixa Previsto]]))</f>
        <v>2019</v>
      </c>
      <c r="O200" s="50" t="str">
        <f ca="1">IF(AND(TbRegistroEntradas[[#This Row],[Data do Caixa Previsto]]&lt;TODAY(),TbRegistroEntradas[[#This Row],[Data do Caixa Realizado]]=""),"Vencida","Não Vencida")</f>
        <v>Não Vencida</v>
      </c>
    </row>
    <row r="201" spans="2:15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50">
        <f>IF(TbRegistroEntradas[[#This Row],[Data do Caixa Previsto]]="",0,MONTH(TbRegistroEntradas[[#This Row],[Data do Caixa Previsto]]))</f>
        <v>3</v>
      </c>
      <c r="N201" s="50">
        <f>IF(TbRegistroEntradas[[#This Row],[Data do Caixa Previsto]]="",0,YEAR(TbRegistroEntradas[[#This Row],[Data do Caixa Previsto]]))</f>
        <v>2019</v>
      </c>
      <c r="O201" s="50" t="str">
        <f ca="1">IF(AND(TbRegistroEntradas[[#This Row],[Data do Caixa Previsto]]&lt;TODAY(),TbRegistroEntradas[[#This Row],[Data do Caixa Realizado]]=""),"Vencida","Não Vencida")</f>
        <v>Não Vencida</v>
      </c>
    </row>
    <row r="202" spans="2:15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50">
        <f>IF(TbRegistroEntradas[[#This Row],[Data do Caixa Previsto]]="",0,MONTH(TbRegistroEntradas[[#This Row],[Data do Caixa Previsto]]))</f>
        <v>5</v>
      </c>
      <c r="N202" s="50">
        <f>IF(TbRegistroEntradas[[#This Row],[Data do Caixa Previsto]]="",0,YEAR(TbRegistroEntradas[[#This Row],[Data do Caixa Previsto]]))</f>
        <v>2019</v>
      </c>
      <c r="O202" s="50" t="str">
        <f ca="1">IF(AND(TbRegistroEntradas[[#This Row],[Data do Caixa Previsto]]&lt;TODAY(),TbRegistroEntradas[[#This Row],[Data do Caixa Realizado]]=""),"Vencida","Não Vencida")</f>
        <v>Vencida</v>
      </c>
    </row>
    <row r="203" spans="2:15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50">
        <f>IF(TbRegistroEntradas[[#This Row],[Data do Caixa Previsto]]="",0,MONTH(TbRegistroEntradas[[#This Row],[Data do Caixa Previsto]]))</f>
        <v>5</v>
      </c>
      <c r="N203" s="50">
        <f>IF(TbRegistroEntradas[[#This Row],[Data do Caixa Previsto]]="",0,YEAR(TbRegistroEntradas[[#This Row],[Data do Caixa Previsto]]))</f>
        <v>2019</v>
      </c>
      <c r="O203" s="50" t="str">
        <f ca="1">IF(AND(TbRegistroEntradas[[#This Row],[Data do Caixa Previsto]]&lt;TODAY(),TbRegistroEntradas[[#This Row],[Data do Caixa Realizado]]=""),"Vencida","Não Vencida")</f>
        <v>Não Vencida</v>
      </c>
    </row>
    <row r="204" spans="2:15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50">
        <f>IF(TbRegistroEntradas[[#This Row],[Data do Caixa Previsto]]="",0,MONTH(TbRegistroEntradas[[#This Row],[Data do Caixa Previsto]]))</f>
        <v>4</v>
      </c>
      <c r="N204" s="50">
        <f>IF(TbRegistroEntradas[[#This Row],[Data do Caixa Previsto]]="",0,YEAR(TbRegistroEntradas[[#This Row],[Data do Caixa Previsto]]))</f>
        <v>2019</v>
      </c>
      <c r="O204" s="50" t="str">
        <f ca="1">IF(AND(TbRegistroEntradas[[#This Row],[Data do Caixa Previsto]]&lt;TODAY(),TbRegistroEntradas[[#This Row],[Data do Caixa Realizado]]=""),"Vencida","Não Vencida")</f>
        <v>Não Vencida</v>
      </c>
    </row>
    <row r="205" spans="2:15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50">
        <f>IF(TbRegistroEntradas[[#This Row],[Data do Caixa Previsto]]="",0,MONTH(TbRegistroEntradas[[#This Row],[Data do Caixa Previsto]]))</f>
        <v>4</v>
      </c>
      <c r="N205" s="50">
        <f>IF(TbRegistroEntradas[[#This Row],[Data do Caixa Previsto]]="",0,YEAR(TbRegistroEntradas[[#This Row],[Data do Caixa Previsto]]))</f>
        <v>2019</v>
      </c>
      <c r="O205" s="50" t="str">
        <f ca="1">IF(AND(TbRegistroEntradas[[#This Row],[Data do Caixa Previsto]]&lt;TODAY(),TbRegistroEntradas[[#This Row],[Data do Caixa Realizado]]=""),"Vencida","Não Vencida")</f>
        <v>Não Vencida</v>
      </c>
    </row>
    <row r="206" spans="2:15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50">
        <f>IF(TbRegistroEntradas[[#This Row],[Data do Caixa Previsto]]="",0,MONTH(TbRegistroEntradas[[#This Row],[Data do Caixa Previsto]]))</f>
        <v>5</v>
      </c>
      <c r="N206" s="50">
        <f>IF(TbRegistroEntradas[[#This Row],[Data do Caixa Previsto]]="",0,YEAR(TbRegistroEntradas[[#This Row],[Data do Caixa Previsto]]))</f>
        <v>2019</v>
      </c>
      <c r="O206" s="50" t="str">
        <f ca="1">IF(AND(TbRegistroEntradas[[#This Row],[Data do Caixa Previsto]]&lt;TODAY(),TbRegistroEntradas[[#This Row],[Data do Caixa Realizado]]=""),"Vencida","Não Vencida")</f>
        <v>Não Vencida</v>
      </c>
    </row>
    <row r="207" spans="2:15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50">
        <f>IF(TbRegistroEntradas[[#This Row],[Data do Caixa Previsto]]="",0,MONTH(TbRegistroEntradas[[#This Row],[Data do Caixa Previsto]]))</f>
        <v>5</v>
      </c>
      <c r="N207" s="50">
        <f>IF(TbRegistroEntradas[[#This Row],[Data do Caixa Previsto]]="",0,YEAR(TbRegistroEntradas[[#This Row],[Data do Caixa Previsto]]))</f>
        <v>2019</v>
      </c>
      <c r="O207" s="50" t="str">
        <f ca="1">IF(AND(TbRegistroEntradas[[#This Row],[Data do Caixa Previsto]]&lt;TODAY(),TbRegistroEntradas[[#This Row],[Data do Caixa Realizado]]=""),"Vencida","Não Vencida")</f>
        <v>Não Vencida</v>
      </c>
    </row>
    <row r="208" spans="2:15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50">
        <f>IF(TbRegistroEntradas[[#This Row],[Data do Caixa Previsto]]="",0,MONTH(TbRegistroEntradas[[#This Row],[Data do Caixa Previsto]]))</f>
        <v>5</v>
      </c>
      <c r="N208" s="50">
        <f>IF(TbRegistroEntradas[[#This Row],[Data do Caixa Previsto]]="",0,YEAR(TbRegistroEntradas[[#This Row],[Data do Caixa Previsto]]))</f>
        <v>2019</v>
      </c>
      <c r="O208" s="50" t="str">
        <f ca="1">IF(AND(TbRegistroEntradas[[#This Row],[Data do Caixa Previsto]]&lt;TODAY(),TbRegistroEntradas[[#This Row],[Data do Caixa Realizado]]=""),"Vencida","Não Vencida")</f>
        <v>Não Vencida</v>
      </c>
    </row>
    <row r="209" spans="2:15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50">
        <f>IF(TbRegistroEntradas[[#This Row],[Data do Caixa Previsto]]="",0,MONTH(TbRegistroEntradas[[#This Row],[Data do Caixa Previsto]]))</f>
        <v>4</v>
      </c>
      <c r="N209" s="50">
        <f>IF(TbRegistroEntradas[[#This Row],[Data do Caixa Previsto]]="",0,YEAR(TbRegistroEntradas[[#This Row],[Data do Caixa Previsto]]))</f>
        <v>2019</v>
      </c>
      <c r="O209" s="50" t="str">
        <f ca="1">IF(AND(TbRegistroEntradas[[#This Row],[Data do Caixa Previsto]]&lt;TODAY(),TbRegistroEntradas[[#This Row],[Data do Caixa Realizado]]=""),"Vencida","Não Vencida")</f>
        <v>Não Vencida</v>
      </c>
    </row>
    <row r="210" spans="2:15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50">
        <f>IF(TbRegistroEntradas[[#This Row],[Data do Caixa Previsto]]="",0,MONTH(TbRegistroEntradas[[#This Row],[Data do Caixa Previsto]]))</f>
        <v>4</v>
      </c>
      <c r="N210" s="50">
        <f>IF(TbRegistroEntradas[[#This Row],[Data do Caixa Previsto]]="",0,YEAR(TbRegistroEntradas[[#This Row],[Data do Caixa Previsto]]))</f>
        <v>2019</v>
      </c>
      <c r="O210" s="50" t="str">
        <f ca="1">IF(AND(TbRegistroEntradas[[#This Row],[Data do Caixa Previsto]]&lt;TODAY(),TbRegistroEntradas[[#This Row],[Data do Caixa Realizado]]=""),"Vencida","Não Vencida")</f>
        <v>Vencida</v>
      </c>
    </row>
    <row r="211" spans="2:15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50">
        <f>IF(TbRegistroEntradas[[#This Row],[Data do Caixa Previsto]]="",0,MONTH(TbRegistroEntradas[[#This Row],[Data do Caixa Previsto]]))</f>
        <v>5</v>
      </c>
      <c r="N211" s="50">
        <f>IF(TbRegistroEntradas[[#This Row],[Data do Caixa Previsto]]="",0,YEAR(TbRegistroEntradas[[#This Row],[Data do Caixa Previsto]]))</f>
        <v>2019</v>
      </c>
      <c r="O211" s="50" t="str">
        <f ca="1">IF(AND(TbRegistroEntradas[[#This Row],[Data do Caixa Previsto]]&lt;TODAY(),TbRegistroEntradas[[#This Row],[Data do Caixa Realizado]]=""),"Vencida","Não Vencida")</f>
        <v>Não Vencida</v>
      </c>
    </row>
    <row r="212" spans="2:15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50">
        <f>IF(TbRegistroEntradas[[#This Row],[Data do Caixa Previsto]]="",0,MONTH(TbRegistroEntradas[[#This Row],[Data do Caixa Previsto]]))</f>
        <v>6</v>
      </c>
      <c r="N212" s="50">
        <f>IF(TbRegistroEntradas[[#This Row],[Data do Caixa Previsto]]="",0,YEAR(TbRegistroEntradas[[#This Row],[Data do Caixa Previsto]]))</f>
        <v>2019</v>
      </c>
      <c r="O212" s="50" t="str">
        <f ca="1">IF(AND(TbRegistroEntradas[[#This Row],[Data do Caixa Previsto]]&lt;TODAY(),TbRegistroEntradas[[#This Row],[Data do Caixa Realizado]]=""),"Vencida","Não Vencida")</f>
        <v>Não Vencida</v>
      </c>
    </row>
    <row r="213" spans="2:15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50">
        <f>IF(TbRegistroEntradas[[#This Row],[Data do Caixa Previsto]]="",0,MONTH(TbRegistroEntradas[[#This Row],[Data do Caixa Previsto]]))</f>
        <v>5</v>
      </c>
      <c r="N213" s="50">
        <f>IF(TbRegistroEntradas[[#This Row],[Data do Caixa Previsto]]="",0,YEAR(TbRegistroEntradas[[#This Row],[Data do Caixa Previsto]]))</f>
        <v>2019</v>
      </c>
      <c r="O213" s="50" t="str">
        <f ca="1">IF(AND(TbRegistroEntradas[[#This Row],[Data do Caixa Previsto]]&lt;TODAY(),TbRegistroEntradas[[#This Row],[Data do Caixa Realizado]]=""),"Vencida","Não Vencida")</f>
        <v>Não Vencida</v>
      </c>
    </row>
    <row r="214" spans="2:15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50">
        <f>IF(TbRegistroEntradas[[#This Row],[Data do Caixa Previsto]]="",0,MONTH(TbRegistroEntradas[[#This Row],[Data do Caixa Previsto]]))</f>
        <v>5</v>
      </c>
      <c r="N214" s="50">
        <f>IF(TbRegistroEntradas[[#This Row],[Data do Caixa Previsto]]="",0,YEAR(TbRegistroEntradas[[#This Row],[Data do Caixa Previsto]]))</f>
        <v>2019</v>
      </c>
      <c r="O214" s="50" t="str">
        <f ca="1">IF(AND(TbRegistroEntradas[[#This Row],[Data do Caixa Previsto]]&lt;TODAY(),TbRegistroEntradas[[#This Row],[Data do Caixa Realizado]]=""),"Vencida","Não Vencida")</f>
        <v>Não Vencida</v>
      </c>
    </row>
    <row r="215" spans="2:15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50">
        <f>IF(TbRegistroEntradas[[#This Row],[Data do Caixa Previsto]]="",0,MONTH(TbRegistroEntradas[[#This Row],[Data do Caixa Previsto]]))</f>
        <v>5</v>
      </c>
      <c r="N215" s="50">
        <f>IF(TbRegistroEntradas[[#This Row],[Data do Caixa Previsto]]="",0,YEAR(TbRegistroEntradas[[#This Row],[Data do Caixa Previsto]]))</f>
        <v>2019</v>
      </c>
      <c r="O215" s="50" t="str">
        <f ca="1">IF(AND(TbRegistroEntradas[[#This Row],[Data do Caixa Previsto]]&lt;TODAY(),TbRegistroEntradas[[#This Row],[Data do Caixa Realizado]]=""),"Vencida","Não Vencida")</f>
        <v>Não Vencida</v>
      </c>
    </row>
    <row r="216" spans="2:15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50">
        <f>IF(TbRegistroEntradas[[#This Row],[Data do Caixa Previsto]]="",0,MONTH(TbRegistroEntradas[[#This Row],[Data do Caixa Previsto]]))</f>
        <v>6</v>
      </c>
      <c r="N216" s="50">
        <f>IF(TbRegistroEntradas[[#This Row],[Data do Caixa Previsto]]="",0,YEAR(TbRegistroEntradas[[#This Row],[Data do Caixa Previsto]]))</f>
        <v>2019</v>
      </c>
      <c r="O216" s="50" t="str">
        <f ca="1">IF(AND(TbRegistroEntradas[[#This Row],[Data do Caixa Previsto]]&lt;TODAY(),TbRegistroEntradas[[#This Row],[Data do Caixa Realizado]]=""),"Vencida","Não Vencida")</f>
        <v>Não Vencida</v>
      </c>
    </row>
    <row r="217" spans="2:15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50">
        <f>IF(TbRegistroEntradas[[#This Row],[Data do Caixa Previsto]]="",0,MONTH(TbRegistroEntradas[[#This Row],[Data do Caixa Previsto]]))</f>
        <v>5</v>
      </c>
      <c r="N217" s="50">
        <f>IF(TbRegistroEntradas[[#This Row],[Data do Caixa Previsto]]="",0,YEAR(TbRegistroEntradas[[#This Row],[Data do Caixa Previsto]]))</f>
        <v>2019</v>
      </c>
      <c r="O217" s="50" t="str">
        <f ca="1">IF(AND(TbRegistroEntradas[[#This Row],[Data do Caixa Previsto]]&lt;TODAY(),TbRegistroEntradas[[#This Row],[Data do Caixa Realizado]]=""),"Vencida","Não Vencida")</f>
        <v>Não Vencida</v>
      </c>
    </row>
    <row r="218" spans="2:15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50">
        <f>IF(TbRegistroEntradas[[#This Row],[Data do Caixa Previsto]]="",0,MONTH(TbRegistroEntradas[[#This Row],[Data do Caixa Previsto]]))</f>
        <v>5</v>
      </c>
      <c r="N218" s="50">
        <f>IF(TbRegistroEntradas[[#This Row],[Data do Caixa Previsto]]="",0,YEAR(TbRegistroEntradas[[#This Row],[Data do Caixa Previsto]]))</f>
        <v>2019</v>
      </c>
      <c r="O218" s="50" t="str">
        <f ca="1">IF(AND(TbRegistroEntradas[[#This Row],[Data do Caixa Previsto]]&lt;TODAY(),TbRegistroEntradas[[#This Row],[Data do Caixa Realizado]]=""),"Vencida","Não Vencida")</f>
        <v>Não Vencida</v>
      </c>
    </row>
    <row r="219" spans="2:15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50">
        <f>IF(TbRegistroEntradas[[#This Row],[Data do Caixa Previsto]]="",0,MONTH(TbRegistroEntradas[[#This Row],[Data do Caixa Previsto]]))</f>
        <v>5</v>
      </c>
      <c r="N219" s="50">
        <f>IF(TbRegistroEntradas[[#This Row],[Data do Caixa Previsto]]="",0,YEAR(TbRegistroEntradas[[#This Row],[Data do Caixa Previsto]]))</f>
        <v>2019</v>
      </c>
      <c r="O219" s="50" t="str">
        <f ca="1">IF(AND(TbRegistroEntradas[[#This Row],[Data do Caixa Previsto]]&lt;TODAY(),TbRegistroEntradas[[#This Row],[Data do Caixa Realizado]]=""),"Vencida","Não Vencida")</f>
        <v>Não Vencida</v>
      </c>
    </row>
    <row r="220" spans="2:15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50">
        <f>IF(TbRegistroEntradas[[#This Row],[Data do Caixa Previsto]]="",0,MONTH(TbRegistroEntradas[[#This Row],[Data do Caixa Previsto]]))</f>
        <v>6</v>
      </c>
      <c r="N220" s="50">
        <f>IF(TbRegistroEntradas[[#This Row],[Data do Caixa Previsto]]="",0,YEAR(TbRegistroEntradas[[#This Row],[Data do Caixa Previsto]]))</f>
        <v>2019</v>
      </c>
      <c r="O220" s="50" t="str">
        <f ca="1">IF(AND(TbRegistroEntradas[[#This Row],[Data do Caixa Previsto]]&lt;TODAY(),TbRegistroEntradas[[#This Row],[Data do Caixa Realizado]]=""),"Vencida","Não Vencida")</f>
        <v>Não Vencida</v>
      </c>
    </row>
    <row r="221" spans="2:15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50">
        <f>IF(TbRegistroEntradas[[#This Row],[Data do Caixa Previsto]]="",0,MONTH(TbRegistroEntradas[[#This Row],[Data do Caixa Previsto]]))</f>
        <v>6</v>
      </c>
      <c r="N221" s="50">
        <f>IF(TbRegistroEntradas[[#This Row],[Data do Caixa Previsto]]="",0,YEAR(TbRegistroEntradas[[#This Row],[Data do Caixa Previsto]]))</f>
        <v>2019</v>
      </c>
      <c r="O221" s="50" t="str">
        <f ca="1">IF(AND(TbRegistroEntradas[[#This Row],[Data do Caixa Previsto]]&lt;TODAY(),TbRegistroEntradas[[#This Row],[Data do Caixa Realizado]]=""),"Vencida","Não Vencida")</f>
        <v>Não Vencida</v>
      </c>
    </row>
    <row r="222" spans="2:15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50">
        <f>IF(TbRegistroEntradas[[#This Row],[Data do Caixa Previsto]]="",0,MONTH(TbRegistroEntradas[[#This Row],[Data do Caixa Previsto]]))</f>
        <v>6</v>
      </c>
      <c r="N222" s="50">
        <f>IF(TbRegistroEntradas[[#This Row],[Data do Caixa Previsto]]="",0,YEAR(TbRegistroEntradas[[#This Row],[Data do Caixa Previsto]]))</f>
        <v>2019</v>
      </c>
      <c r="O222" s="50" t="str">
        <f ca="1">IF(AND(TbRegistroEntradas[[#This Row],[Data do Caixa Previsto]]&lt;TODAY(),TbRegistroEntradas[[#This Row],[Data do Caixa Realizado]]=""),"Vencida","Não Vencida")</f>
        <v>Não Vencida</v>
      </c>
    </row>
    <row r="223" spans="2:15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50">
        <f>IF(TbRegistroEntradas[[#This Row],[Data do Caixa Previsto]]="",0,MONTH(TbRegistroEntradas[[#This Row],[Data do Caixa Previsto]]))</f>
        <v>5</v>
      </c>
      <c r="N223" s="50">
        <f>IF(TbRegistroEntradas[[#This Row],[Data do Caixa Previsto]]="",0,YEAR(TbRegistroEntradas[[#This Row],[Data do Caixa Previsto]]))</f>
        <v>2019</v>
      </c>
      <c r="O223" s="50" t="str">
        <f ca="1">IF(AND(TbRegistroEntradas[[#This Row],[Data do Caixa Previsto]]&lt;TODAY(),TbRegistroEntradas[[#This Row],[Data do Caixa Realizado]]=""),"Vencida","Não Vencida")</f>
        <v>Vencida</v>
      </c>
    </row>
    <row r="224" spans="2:15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50">
        <f>IF(TbRegistroEntradas[[#This Row],[Data do Caixa Previsto]]="",0,MONTH(TbRegistroEntradas[[#This Row],[Data do Caixa Previsto]]))</f>
        <v>7</v>
      </c>
      <c r="N224" s="50">
        <f>IF(TbRegistroEntradas[[#This Row],[Data do Caixa Previsto]]="",0,YEAR(TbRegistroEntradas[[#This Row],[Data do Caixa Previsto]]))</f>
        <v>2019</v>
      </c>
      <c r="O224" s="50" t="str">
        <f ca="1">IF(AND(TbRegistroEntradas[[#This Row],[Data do Caixa Previsto]]&lt;TODAY(),TbRegistroEntradas[[#This Row],[Data do Caixa Realizado]]=""),"Vencida","Não Vencida")</f>
        <v>Não Vencida</v>
      </c>
    </row>
    <row r="225" spans="2:15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50">
        <f>IF(TbRegistroEntradas[[#This Row],[Data do Caixa Previsto]]="",0,MONTH(TbRegistroEntradas[[#This Row],[Data do Caixa Previsto]]))</f>
        <v>7</v>
      </c>
      <c r="N225" s="50">
        <f>IF(TbRegistroEntradas[[#This Row],[Data do Caixa Previsto]]="",0,YEAR(TbRegistroEntradas[[#This Row],[Data do Caixa Previsto]]))</f>
        <v>2019</v>
      </c>
      <c r="O225" s="50" t="str">
        <f ca="1">IF(AND(TbRegistroEntradas[[#This Row],[Data do Caixa Previsto]]&lt;TODAY(),TbRegistroEntradas[[#This Row],[Data do Caixa Realizado]]=""),"Vencida","Não Vencida")</f>
        <v>Vencida</v>
      </c>
    </row>
    <row r="226" spans="2:15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50">
        <f>IF(TbRegistroEntradas[[#This Row],[Data do Caixa Previsto]]="",0,MONTH(TbRegistroEntradas[[#This Row],[Data do Caixa Previsto]]))</f>
        <v>6</v>
      </c>
      <c r="N226" s="50">
        <f>IF(TbRegistroEntradas[[#This Row],[Data do Caixa Previsto]]="",0,YEAR(TbRegistroEntradas[[#This Row],[Data do Caixa Previsto]]))</f>
        <v>2019</v>
      </c>
      <c r="O226" s="50" t="str">
        <f ca="1">IF(AND(TbRegistroEntradas[[#This Row],[Data do Caixa Previsto]]&lt;TODAY(),TbRegistroEntradas[[#This Row],[Data do Caixa Realizado]]=""),"Vencida","Não Vencida")</f>
        <v>Não Vencida</v>
      </c>
    </row>
    <row r="227" spans="2:15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50">
        <f>IF(TbRegistroEntradas[[#This Row],[Data do Caixa Previsto]]="",0,MONTH(TbRegistroEntradas[[#This Row],[Data do Caixa Previsto]]))</f>
        <v>6</v>
      </c>
      <c r="N227" s="50">
        <f>IF(TbRegistroEntradas[[#This Row],[Data do Caixa Previsto]]="",0,YEAR(TbRegistroEntradas[[#This Row],[Data do Caixa Previsto]]))</f>
        <v>2019</v>
      </c>
      <c r="O227" s="50" t="str">
        <f ca="1">IF(AND(TbRegistroEntradas[[#This Row],[Data do Caixa Previsto]]&lt;TODAY(),TbRegistroEntradas[[#This Row],[Data do Caixa Realizado]]=""),"Vencida","Não Vencida")</f>
        <v>Não Vencida</v>
      </c>
    </row>
    <row r="228" spans="2:15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50">
        <f>IF(TbRegistroEntradas[[#This Row],[Data do Caixa Previsto]]="",0,MONTH(TbRegistroEntradas[[#This Row],[Data do Caixa Previsto]]))</f>
        <v>7</v>
      </c>
      <c r="N228" s="50">
        <f>IF(TbRegistroEntradas[[#This Row],[Data do Caixa Previsto]]="",0,YEAR(TbRegistroEntradas[[#This Row],[Data do Caixa Previsto]]))</f>
        <v>2019</v>
      </c>
      <c r="O228" s="50" t="str">
        <f ca="1">IF(AND(TbRegistroEntradas[[#This Row],[Data do Caixa Previsto]]&lt;TODAY(),TbRegistroEntradas[[#This Row],[Data do Caixa Realizado]]=""),"Vencida","Não Vencida")</f>
        <v>Não Vencida</v>
      </c>
    </row>
    <row r="229" spans="2:15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50">
        <f>IF(TbRegistroEntradas[[#This Row],[Data do Caixa Previsto]]="",0,MONTH(TbRegistroEntradas[[#This Row],[Data do Caixa Previsto]]))</f>
        <v>6</v>
      </c>
      <c r="N229" s="50">
        <f>IF(TbRegistroEntradas[[#This Row],[Data do Caixa Previsto]]="",0,YEAR(TbRegistroEntradas[[#This Row],[Data do Caixa Previsto]]))</f>
        <v>2019</v>
      </c>
      <c r="O229" s="50" t="str">
        <f ca="1">IF(AND(TbRegistroEntradas[[#This Row],[Data do Caixa Previsto]]&lt;TODAY(),TbRegistroEntradas[[#This Row],[Data do Caixa Realizado]]=""),"Vencida","Não Vencida")</f>
        <v>Vencida</v>
      </c>
    </row>
    <row r="230" spans="2:15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50">
        <f>IF(TbRegistroEntradas[[#This Row],[Data do Caixa Previsto]]="",0,MONTH(TbRegistroEntradas[[#This Row],[Data do Caixa Previsto]]))</f>
        <v>7</v>
      </c>
      <c r="N230" s="50">
        <f>IF(TbRegistroEntradas[[#This Row],[Data do Caixa Previsto]]="",0,YEAR(TbRegistroEntradas[[#This Row],[Data do Caixa Previsto]]))</f>
        <v>2019</v>
      </c>
      <c r="O230" s="50" t="str">
        <f ca="1">IF(AND(TbRegistroEntradas[[#This Row],[Data do Caixa Previsto]]&lt;TODAY(),TbRegistroEntradas[[#This Row],[Data do Caixa Realizado]]=""),"Vencida","Não Vencida")</f>
        <v>Não Vencida</v>
      </c>
    </row>
    <row r="231" spans="2:15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50">
        <f>IF(TbRegistroEntradas[[#This Row],[Data do Caixa Previsto]]="",0,MONTH(TbRegistroEntradas[[#This Row],[Data do Caixa Previsto]]))</f>
        <v>8</v>
      </c>
      <c r="N231" s="50">
        <f>IF(TbRegistroEntradas[[#This Row],[Data do Caixa Previsto]]="",0,YEAR(TbRegistroEntradas[[#This Row],[Data do Caixa Previsto]]))</f>
        <v>2019</v>
      </c>
      <c r="O231" s="50" t="str">
        <f ca="1">IF(AND(TbRegistroEntradas[[#This Row],[Data do Caixa Previsto]]&lt;TODAY(),TbRegistroEntradas[[#This Row],[Data do Caixa Realizado]]=""),"Vencida","Não Vencida")</f>
        <v>Não Vencida</v>
      </c>
    </row>
    <row r="232" spans="2:15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50">
        <f>IF(TbRegistroEntradas[[#This Row],[Data do Caixa Previsto]]="",0,MONTH(TbRegistroEntradas[[#This Row],[Data do Caixa Previsto]]))</f>
        <v>6</v>
      </c>
      <c r="N232" s="50">
        <f>IF(TbRegistroEntradas[[#This Row],[Data do Caixa Previsto]]="",0,YEAR(TbRegistroEntradas[[#This Row],[Data do Caixa Previsto]]))</f>
        <v>2019</v>
      </c>
      <c r="O232" s="50" t="str">
        <f ca="1">IF(AND(TbRegistroEntradas[[#This Row],[Data do Caixa Previsto]]&lt;TODAY(),TbRegistroEntradas[[#This Row],[Data do Caixa Realizado]]=""),"Vencida","Não Vencida")</f>
        <v>Não Vencida</v>
      </c>
    </row>
    <row r="233" spans="2:15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50">
        <f>IF(TbRegistroEntradas[[#This Row],[Data do Caixa Previsto]]="",0,MONTH(TbRegistroEntradas[[#This Row],[Data do Caixa Previsto]]))</f>
        <v>7</v>
      </c>
      <c r="N233" s="50">
        <f>IF(TbRegistroEntradas[[#This Row],[Data do Caixa Previsto]]="",0,YEAR(TbRegistroEntradas[[#This Row],[Data do Caixa Previsto]]))</f>
        <v>2019</v>
      </c>
      <c r="O233" s="50" t="str">
        <f ca="1">IF(AND(TbRegistroEntradas[[#This Row],[Data do Caixa Previsto]]&lt;TODAY(),TbRegistroEntradas[[#This Row],[Data do Caixa Realizado]]=""),"Vencida","Não Vencida")</f>
        <v>Não Vencida</v>
      </c>
    </row>
    <row r="234" spans="2:15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50">
        <f>IF(TbRegistroEntradas[[#This Row],[Data do Caixa Previsto]]="",0,MONTH(TbRegistroEntradas[[#This Row],[Data do Caixa Previsto]]))</f>
        <v>7</v>
      </c>
      <c r="N234" s="50">
        <f>IF(TbRegistroEntradas[[#This Row],[Data do Caixa Previsto]]="",0,YEAR(TbRegistroEntradas[[#This Row],[Data do Caixa Previsto]]))</f>
        <v>2019</v>
      </c>
      <c r="O234" s="50" t="str">
        <f ca="1">IF(AND(TbRegistroEntradas[[#This Row],[Data do Caixa Previsto]]&lt;TODAY(),TbRegistroEntradas[[#This Row],[Data do Caixa Realizado]]=""),"Vencida","Não Vencida")</f>
        <v>Não Vencida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topLeftCell="B1" zoomScale="70" zoomScaleNormal="70" workbookViewId="0">
      <pane ySplit="3" topLeftCell="A4" activePane="bottomLeft" state="frozen"/>
      <selection pane="bottomLeft" activeCell="H47" sqref="H47:H157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  <c r="K3" s="22" t="s">
        <v>540</v>
      </c>
      <c r="L3" s="22" t="s">
        <v>541</v>
      </c>
      <c r="M3" s="22" t="s">
        <v>546</v>
      </c>
      <c r="N3" s="22" t="s">
        <v>547</v>
      </c>
    </row>
    <row r="4" spans="2:14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hidden="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hidden="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hidden="1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hidden="1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hidden="1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hidden="1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hidden="1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hidden="1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hidden="1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hidden="1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hidden="1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hidden="1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hidden="1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hidden="1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hidden="1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hidden="1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hidden="1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hidden="1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hidden="1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hidden="1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hidden="1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hidden="1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hidden="1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hidden="1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hidden="1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hidden="1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hidden="1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hidden="1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hidden="1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hidden="1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hidden="1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hidden="1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hidden="1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hidden="1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hidden="1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hidden="1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hidden="1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hidden="1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hidden="1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hidden="1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hidden="1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hidden="1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hidden="1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hidden="1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hidden="1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hidden="1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hidden="1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hidden="1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hidden="1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hidden="1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hidden="1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hidden="1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hidden="1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hidden="1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hidden="1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hidden="1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hidden="1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hidden="1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hidden="1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hidden="1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hidden="1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hidden="1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hidden="1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hidden="1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hidden="1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hidden="1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hidden="1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hidden="1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hidden="1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hidden="1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hidden="1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hidden="1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hidden="1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hidden="1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hidden="1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hidden="1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hidden="1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hidden="1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hidden="1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hidden="1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hidden="1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hidden="1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hidden="1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hidden="1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hidden="1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hidden="1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hidden="1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hidden="1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hidden="1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hidden="1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hidden="1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hidden="1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hidden="1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hidden="1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hidden="1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hidden="1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hidden="1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hidden="1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hidden="1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hidden="1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hidden="1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hidden="1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hidden="1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hidden="1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hidden="1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hidden="1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hidden="1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hidden="1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hidden="1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hidden="1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hidden="1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hidden="1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hidden="1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hidden="1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hidden="1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hidden="1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hidden="1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hidden="1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hidden="1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hidden="1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hidden="1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hidden="1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hidden="1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hidden="1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hidden="1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hidden="1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hidden="1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hidden="1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hidden="1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hidden="1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hidden="1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hidden="1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hidden="1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hidden="1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hidden="1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hidden="1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hidden="1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hidden="1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hidden="1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hidden="1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hidden="1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hidden="1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hidden="1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hidden="1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hidden="1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hidden="1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hidden="1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hidden="1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hidden="1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hidden="1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hidden="1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hidden="1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hidden="1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hidden="1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hidden="1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hidden="1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hidden="1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hidden="1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hidden="1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hidden="1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hidden="1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hidden="1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hidden="1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hidden="1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hidden="1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hidden="1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hidden="1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hidden="1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hidden="1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hidden="1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hidden="1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hidden="1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hidden="1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hidden="1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hidden="1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hidden="1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hidden="1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hidden="1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hidden="1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hidden="1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hidden="1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hidden="1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hidden="1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hidden="1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hidden="1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hidden="1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hidden="1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hidden="1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hidden="1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hidden="1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hidden="1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hidden="1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hidden="1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hidden="1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hidden="1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hidden="1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hidden="1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hidden="1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hidden="1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512</v>
      </c>
      <c r="C3" s="24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513</v>
      </c>
    </row>
    <row r="7" spans="2:14" ht="20.100000000000001" customHeight="1" x14ac:dyDescent="0.25">
      <c r="B7" s="29" t="s">
        <v>514</v>
      </c>
      <c r="C7" s="27" t="s">
        <v>517</v>
      </c>
      <c r="D7" s="27" t="s">
        <v>518</v>
      </c>
      <c r="E7" s="27" t="s">
        <v>519</v>
      </c>
      <c r="F7" s="27" t="s">
        <v>520</v>
      </c>
      <c r="G7" s="27" t="s">
        <v>521</v>
      </c>
      <c r="H7" s="27" t="s">
        <v>522</v>
      </c>
      <c r="I7" s="27" t="s">
        <v>523</v>
      </c>
      <c r="J7" s="27" t="s">
        <v>524</v>
      </c>
      <c r="K7" s="27" t="s">
        <v>525</v>
      </c>
      <c r="L7" s="27" t="s">
        <v>526</v>
      </c>
      <c r="M7" s="27" t="s">
        <v>527</v>
      </c>
      <c r="N7" s="28" t="s">
        <v>528</v>
      </c>
    </row>
    <row r="8" spans="2:14" ht="20.100000000000001" customHeight="1" x14ac:dyDescent="0.25">
      <c r="B8" s="31" t="s">
        <v>530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5">
        <f>C11</f>
        <v>966</v>
      </c>
      <c r="E8" s="35">
        <f t="shared" ref="E8:N8" si="0">D11</f>
        <v>5553</v>
      </c>
      <c r="F8" s="35">
        <f t="shared" si="0"/>
        <v>-7</v>
      </c>
      <c r="G8" s="35">
        <f t="shared" si="0"/>
        <v>1894</v>
      </c>
      <c r="H8" s="35">
        <f t="shared" si="0"/>
        <v>22181</v>
      </c>
      <c r="I8" s="35">
        <f t="shared" si="0"/>
        <v>30931</v>
      </c>
      <c r="J8" s="35">
        <f t="shared" si="0"/>
        <v>22856</v>
      </c>
      <c r="K8" s="35">
        <f t="shared" si="0"/>
        <v>38235</v>
      </c>
      <c r="L8" s="35">
        <f t="shared" si="0"/>
        <v>44941</v>
      </c>
      <c r="M8" s="35">
        <f t="shared" si="0"/>
        <v>39552</v>
      </c>
      <c r="N8" s="36">
        <f t="shared" si="0"/>
        <v>58456</v>
      </c>
    </row>
    <row r="9" spans="2:14" ht="20.100000000000001" customHeight="1" x14ac:dyDescent="0.25">
      <c r="B9" s="31" t="s">
        <v>529</v>
      </c>
      <c r="C9" s="35">
        <f>SUMIFS(TbRegistroEntradas[Valor],TbRegistroEntradas[Mês Caixa],C5,TbRegistroEntradas[Ano Caixa],$C$3)</f>
        <v>33220</v>
      </c>
      <c r="D9" s="35">
        <f>SUMIFS(TbRegistroEntradas[Valor],TbRegistroEntradas[Mês Caixa],D5,TbRegistroEntradas[Ano Caixa],$C$3)</f>
        <v>27618</v>
      </c>
      <c r="E9" s="35">
        <f>SUMIFS(TbRegistroEntradas[Valor],TbRegistroEntradas[Mês Caixa],E5,TbRegistroEntradas[Ano Caixa],$C$3)</f>
        <v>21553</v>
      </c>
      <c r="F9" s="35">
        <f>SUMIFS(TbRegistroEntradas[Valor],TbRegistroEntradas[Mês Caixa],F5,TbRegistroEntradas[Ano Caixa],$C$3)</f>
        <v>25910</v>
      </c>
      <c r="G9" s="35">
        <f>SUMIFS(TbRegistroEntradas[Valor],TbRegistroEntradas[Mês Caixa],G5,TbRegistroEntradas[Ano Caixa],$C$3)</f>
        <v>23254</v>
      </c>
      <c r="H9" s="35">
        <f>SUMIFS(TbRegistroEntradas[Valor],TbRegistroEntradas[Mês Caixa],H5,TbRegistroEntradas[Ano Caixa],$C$3)</f>
        <v>29499</v>
      </c>
      <c r="I9" s="35">
        <f>SUMIFS(TbRegistroEntradas[Valor],TbRegistroEntradas[Mês Caixa],I5,TbRegistroEntradas[Ano Caixa],$C$3)</f>
        <v>21232</v>
      </c>
      <c r="J9" s="35">
        <f>SUMIFS(TbRegistroEntradas[Valor],TbRegistroEntradas[Mês Caixa],J5,TbRegistroEntradas[Ano Caixa],$C$3)</f>
        <v>31767</v>
      </c>
      <c r="K9" s="35">
        <f>SUMIFS(TbRegistroEntradas[Valor],TbRegistroEntradas[Mês Caixa],K5,TbRegistroEntradas[Ano Caixa],$C$3)</f>
        <v>24029</v>
      </c>
      <c r="L9" s="35">
        <f>SUMIFS(TbRegistroEntradas[Valor],TbRegistroEntradas[Mês Caixa],L5,TbRegistroEntradas[Ano Caixa],$C$3)</f>
        <v>21580</v>
      </c>
      <c r="M9" s="35">
        <f>SUMIFS(TbRegistroEntradas[Valor],TbRegistroEntradas[Mês Caixa],M5,TbRegistroEntradas[Ano Caixa],$C$3)</f>
        <v>38978</v>
      </c>
      <c r="N9" s="36">
        <f>SUMIFS(TbRegistroEntradas[Valor],TbRegistroEntradas[Mês Caixa],N5,TbRegistroEntradas[Ano Caixa],$C$3)</f>
        <v>15074</v>
      </c>
    </row>
    <row r="10" spans="2:14" ht="20.100000000000001" customHeight="1" x14ac:dyDescent="0.25">
      <c r="B10" s="31" t="s">
        <v>515</v>
      </c>
      <c r="C10" s="35">
        <f>SUMIFS(TbRegistroSaídas[Valor],TbRegistroSaídas[Mês Caixa],C5,TbRegistroSaídas[Ano Caixa],$C$3)</f>
        <v>31213</v>
      </c>
      <c r="D10" s="35">
        <f>SUMIFS(TbRegistroSaídas[Valor],TbRegistroSaídas[Mês Caixa],D5,TbRegistroSaídas[Ano Caixa],$C$3)</f>
        <v>23031</v>
      </c>
      <c r="E10" s="35">
        <f>SUMIFS(TbRegistroSaídas[Valor],TbRegistroSaídas[Mês Caixa],E5,TbRegistroSaídas[Ano Caixa],$C$3)</f>
        <v>27113</v>
      </c>
      <c r="F10" s="35">
        <f>SUMIFS(TbRegistroSaídas[Valor],TbRegistroSaídas[Mês Caixa],F5,TbRegistroSaídas[Ano Caixa],$C$3)</f>
        <v>24009</v>
      </c>
      <c r="G10" s="35">
        <f>SUMIFS(TbRegistroSaídas[Valor],TbRegistroSaídas[Mês Caixa],G5,TbRegistroSaídas[Ano Caixa],$C$3)</f>
        <v>2967</v>
      </c>
      <c r="H10" s="35">
        <f>SUMIFS(TbRegistroSaídas[Valor],TbRegistroSaídas[Mês Caixa],H5,TbRegistroSaídas[Ano Caixa],$C$3)</f>
        <v>20749</v>
      </c>
      <c r="I10" s="35">
        <f>SUMIFS(TbRegistroSaídas[Valor],TbRegistroSaídas[Mês Caixa],I5,TbRegistroSaídas[Ano Caixa],$C$3)</f>
        <v>29307</v>
      </c>
      <c r="J10" s="35">
        <f>SUMIFS(TbRegistroSaídas[Valor],TbRegistroSaídas[Mês Caixa],J5,TbRegistroSaídas[Ano Caixa],$C$3)</f>
        <v>16388</v>
      </c>
      <c r="K10" s="35">
        <f>SUMIFS(TbRegistroSaídas[Valor],TbRegistroSaídas[Mês Caixa],K5,TbRegistroSaídas[Ano Caixa],$C$3)</f>
        <v>17323</v>
      </c>
      <c r="L10" s="35">
        <f>SUMIFS(TbRegistroSaídas[Valor],TbRegistroSaídas[Mês Caixa],L5,TbRegistroSaídas[Ano Caixa],$C$3)</f>
        <v>26969</v>
      </c>
      <c r="M10" s="35">
        <f>SUMIFS(TbRegistroSaídas[Valor],TbRegistroSaídas[Mês Caixa],M5,TbRegistroSaídas[Ano Caixa],$C$3)</f>
        <v>20074</v>
      </c>
      <c r="N10" s="36">
        <f>SUMIFS(TbRegistroSaídas[Valor],TbRegistroSaídas[Mês Caixa],N5,TbRegistroSaídas[Ano Caixa],$C$3)</f>
        <v>18422</v>
      </c>
    </row>
    <row r="11" spans="2:14" ht="20.100000000000001" customHeight="1" x14ac:dyDescent="0.25">
      <c r="B11" s="34" t="s">
        <v>516</v>
      </c>
      <c r="C11" s="37">
        <f>C8+C9-C10</f>
        <v>966</v>
      </c>
      <c r="D11" s="37">
        <f t="shared" ref="D11:N11" si="1">D8+D9-D10</f>
        <v>5553</v>
      </c>
      <c r="E11" s="37">
        <f t="shared" si="1"/>
        <v>-7</v>
      </c>
      <c r="F11" s="37">
        <f t="shared" si="1"/>
        <v>1894</v>
      </c>
      <c r="G11" s="37">
        <f t="shared" si="1"/>
        <v>22181</v>
      </c>
      <c r="H11" s="37">
        <f t="shared" si="1"/>
        <v>30931</v>
      </c>
      <c r="I11" s="37">
        <f t="shared" si="1"/>
        <v>22856</v>
      </c>
      <c r="J11" s="37">
        <f t="shared" si="1"/>
        <v>38235</v>
      </c>
      <c r="K11" s="37">
        <f t="shared" si="1"/>
        <v>44941</v>
      </c>
      <c r="L11" s="37">
        <f t="shared" si="1"/>
        <v>39552</v>
      </c>
      <c r="M11" s="37">
        <f t="shared" si="1"/>
        <v>58456</v>
      </c>
      <c r="N11" s="38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0" t="s">
        <v>531</v>
      </c>
    </row>
    <row r="14" spans="2:14" ht="20.100000000000001" customHeight="1" x14ac:dyDescent="0.25">
      <c r="B14" s="29" t="s">
        <v>514</v>
      </c>
      <c r="C14" s="27" t="s">
        <v>517</v>
      </c>
      <c r="D14" s="27" t="s">
        <v>518</v>
      </c>
      <c r="E14" s="27" t="s">
        <v>519</v>
      </c>
      <c r="F14" s="27" t="s">
        <v>520</v>
      </c>
      <c r="G14" s="27" t="s">
        <v>521</v>
      </c>
      <c r="H14" s="27" t="s">
        <v>522</v>
      </c>
      <c r="I14" s="27" t="s">
        <v>523</v>
      </c>
      <c r="J14" s="27" t="s">
        <v>524</v>
      </c>
      <c r="K14" s="27" t="s">
        <v>525</v>
      </c>
      <c r="L14" s="27" t="s">
        <v>526</v>
      </c>
      <c r="M14" s="27" t="s">
        <v>527</v>
      </c>
      <c r="N14" s="28" t="s">
        <v>528</v>
      </c>
    </row>
    <row r="15" spans="2:14" ht="20.100000000000001" customHeight="1" x14ac:dyDescent="0.25">
      <c r="B15" s="31" t="s">
        <v>530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5">
        <f>C18</f>
        <v>2752</v>
      </c>
      <c r="E15" s="35">
        <f t="shared" ref="E15:N15" si="2">D18</f>
        <v>1935</v>
      </c>
      <c r="F15" s="35">
        <f t="shared" si="2"/>
        <v>15266</v>
      </c>
      <c r="G15" s="35">
        <f t="shared" si="2"/>
        <v>30813</v>
      </c>
      <c r="H15" s="35">
        <f t="shared" si="2"/>
        <v>25040</v>
      </c>
      <c r="I15" s="35">
        <f t="shared" si="2"/>
        <v>28824</v>
      </c>
      <c r="J15" s="35">
        <f t="shared" si="2"/>
        <v>28057</v>
      </c>
      <c r="K15" s="35">
        <f t="shared" si="2"/>
        <v>28632</v>
      </c>
      <c r="L15" s="35">
        <f t="shared" si="2"/>
        <v>34708</v>
      </c>
      <c r="M15" s="35">
        <f t="shared" si="2"/>
        <v>35415</v>
      </c>
      <c r="N15" s="36">
        <f t="shared" si="2"/>
        <v>43688</v>
      </c>
    </row>
    <row r="16" spans="2:14" ht="20.100000000000001" customHeight="1" x14ac:dyDescent="0.25">
      <c r="B16" s="31" t="s">
        <v>529</v>
      </c>
      <c r="C16" s="35">
        <f>SUMIFS(TbRegistroEntradas[Valor],TbRegistroEntradas[Mês Competência],C5,TbRegistroEntradas[Ano Competência],$C$3)</f>
        <v>20582</v>
      </c>
      <c r="D16" s="35">
        <f>SUMIFS(TbRegistroEntradas[Valor],TbRegistroEntradas[Mês Competência],D5,TbRegistroEntradas[Ano Competência],$C$3)</f>
        <v>24761</v>
      </c>
      <c r="E16" s="35">
        <f>SUMIFS(TbRegistroEntradas[Valor],TbRegistroEntradas[Mês Competência],E5,TbRegistroEntradas[Ano Competência],$C$3)</f>
        <v>37458</v>
      </c>
      <c r="F16" s="35">
        <f>SUMIFS(TbRegistroEntradas[Valor],TbRegistroEntradas[Mês Competência],F5,TbRegistroEntradas[Ano Competência],$C$3)</f>
        <v>30226</v>
      </c>
      <c r="G16" s="35">
        <f>SUMIFS(TbRegistroEntradas[Valor],TbRegistroEntradas[Mês Competência],G5,TbRegistroEntradas[Ano Competência],$C$3)</f>
        <v>19009</v>
      </c>
      <c r="H16" s="35">
        <f>SUMIFS(TbRegistroEntradas[Valor],TbRegistroEntradas[Mês Competência],H5,TbRegistroEntradas[Ano Competência],$C$3)</f>
        <v>28711</v>
      </c>
      <c r="I16" s="35">
        <f>SUMIFS(TbRegistroEntradas[Valor],TbRegistroEntradas[Mês Competência],I5,TbRegistroEntradas[Ano Competência],$C$3)</f>
        <v>33298</v>
      </c>
      <c r="J16" s="35">
        <f>SUMIFS(TbRegistroEntradas[Valor],TbRegistroEntradas[Mês Competência],J5,TbRegistroEntradas[Ano Competência],$C$3)</f>
        <v>22302</v>
      </c>
      <c r="K16" s="35">
        <f>SUMIFS(TbRegistroEntradas[Valor],TbRegistroEntradas[Mês Competência],K5,TbRegistroEntradas[Ano Competência],$C$3)</f>
        <v>26024</v>
      </c>
      <c r="L16" s="35">
        <f>SUMIFS(TbRegistroEntradas[Valor],TbRegistroEntradas[Mês Competência],L5,TbRegistroEntradas[Ano Competência],$C$3)</f>
        <v>29400</v>
      </c>
      <c r="M16" s="35">
        <f>SUMIFS(TbRegistroEntradas[Valor],TbRegistroEntradas[Mês Competência],M5,TbRegistroEntradas[Ano Competência],$C$3)</f>
        <v>30897</v>
      </c>
      <c r="N16" s="35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1" t="s">
        <v>515</v>
      </c>
      <c r="C17" s="35">
        <f>SUMIFS(TbRegistroSaídas[Valor],TbRegistroSaídas[Mês Competência],C5,TbRegistroSaídas[Ano Competência],$C$3)</f>
        <v>41773</v>
      </c>
      <c r="D17" s="35">
        <f>SUMIFS(TbRegistroSaídas[Valor],TbRegistroSaídas[Mês Competência],D5,TbRegistroSaídas[Ano Competência],$C$3)</f>
        <v>25578</v>
      </c>
      <c r="E17" s="35">
        <f>SUMIFS(TbRegistroSaídas[Valor],TbRegistroSaídas[Mês Competência],E5,TbRegistroSaídas[Ano Competência],$C$3)</f>
        <v>24127</v>
      </c>
      <c r="F17" s="35">
        <f>SUMIFS(TbRegistroSaídas[Valor],TbRegistroSaídas[Mês Competência],F5,TbRegistroSaídas[Ano Competência],$C$3)</f>
        <v>14679</v>
      </c>
      <c r="G17" s="35">
        <f>SUMIFS(TbRegistroSaídas[Valor],TbRegistroSaídas[Mês Competência],G5,TbRegistroSaídas[Ano Competência],$C$3)</f>
        <v>24782</v>
      </c>
      <c r="H17" s="35">
        <f>SUMIFS(TbRegistroSaídas[Valor],TbRegistroSaídas[Mês Competência],H5,TbRegistroSaídas[Ano Competência],$C$3)</f>
        <v>24927</v>
      </c>
      <c r="I17" s="35">
        <f>SUMIFS(TbRegistroSaídas[Valor],TbRegistroSaídas[Mês Competência],I5,TbRegistroSaídas[Ano Competência],$C$3)</f>
        <v>34065</v>
      </c>
      <c r="J17" s="35">
        <f>SUMIFS(TbRegistroSaídas[Valor],TbRegistroSaídas[Mês Competência],J5,TbRegistroSaídas[Ano Competência],$C$3)</f>
        <v>21727</v>
      </c>
      <c r="K17" s="35">
        <f>SUMIFS(TbRegistroSaídas[Valor],TbRegistroSaídas[Mês Competência],K5,TbRegistroSaídas[Ano Competência],$C$3)</f>
        <v>19948</v>
      </c>
      <c r="L17" s="35">
        <f>SUMIFS(TbRegistroSaídas[Valor],TbRegistroSaídas[Mês Competência],L5,TbRegistroSaídas[Ano Competência],$C$3)</f>
        <v>28693</v>
      </c>
      <c r="M17" s="35">
        <f>SUMIFS(TbRegistroSaídas[Valor],TbRegistroSaídas[Mês Competência],M5,TbRegistroSaídas[Ano Competência],$C$3)</f>
        <v>22624</v>
      </c>
      <c r="N17" s="36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4" t="s">
        <v>516</v>
      </c>
      <c r="C18" s="37">
        <f>C15+C16-C17</f>
        <v>2752</v>
      </c>
      <c r="D18" s="37">
        <f t="shared" ref="D18:N18" si="3">D15+D16-D17</f>
        <v>1935</v>
      </c>
      <c r="E18" s="37">
        <f t="shared" si="3"/>
        <v>15266</v>
      </c>
      <c r="F18" s="37">
        <f t="shared" si="3"/>
        <v>30813</v>
      </c>
      <c r="G18" s="37">
        <f t="shared" si="3"/>
        <v>25040</v>
      </c>
      <c r="H18" s="37">
        <f t="shared" si="3"/>
        <v>28824</v>
      </c>
      <c r="I18" s="37">
        <f t="shared" si="3"/>
        <v>28057</v>
      </c>
      <c r="J18" s="37">
        <f t="shared" si="3"/>
        <v>28632</v>
      </c>
      <c r="K18" s="37">
        <f t="shared" si="3"/>
        <v>34708</v>
      </c>
      <c r="L18" s="37">
        <f t="shared" si="3"/>
        <v>35415</v>
      </c>
      <c r="M18" s="37">
        <f t="shared" si="3"/>
        <v>43688</v>
      </c>
      <c r="N18" s="38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0" t="s">
        <v>532</v>
      </c>
    </row>
    <row r="21" spans="2:14" ht="20.100000000000001" customHeight="1" x14ac:dyDescent="0.25">
      <c r="B21" s="29" t="s">
        <v>514</v>
      </c>
      <c r="C21" s="27" t="s">
        <v>517</v>
      </c>
      <c r="D21" s="27" t="s">
        <v>518</v>
      </c>
      <c r="E21" s="27" t="s">
        <v>519</v>
      </c>
      <c r="F21" s="27" t="s">
        <v>520</v>
      </c>
      <c r="G21" s="27" t="s">
        <v>521</v>
      </c>
      <c r="H21" s="27" t="s">
        <v>522</v>
      </c>
      <c r="I21" s="27" t="s">
        <v>523</v>
      </c>
      <c r="J21" s="27" t="s">
        <v>524</v>
      </c>
      <c r="K21" s="27" t="s">
        <v>525</v>
      </c>
      <c r="L21" s="27" t="s">
        <v>526</v>
      </c>
      <c r="M21" s="27" t="s">
        <v>527</v>
      </c>
      <c r="N21" s="28" t="s">
        <v>528</v>
      </c>
    </row>
    <row r="22" spans="2:14" ht="20.100000000000001" customHeight="1" x14ac:dyDescent="0.25">
      <c r="B22" s="31" t="s">
        <v>533</v>
      </c>
      <c r="C22" s="35">
        <f>C16</f>
        <v>20582</v>
      </c>
      <c r="D22" s="35">
        <f t="shared" ref="D22:N22" si="4">D16</f>
        <v>24761</v>
      </c>
      <c r="E22" s="35">
        <f t="shared" si="4"/>
        <v>37458</v>
      </c>
      <c r="F22" s="35">
        <f t="shared" si="4"/>
        <v>30226</v>
      </c>
      <c r="G22" s="35">
        <f t="shared" si="4"/>
        <v>19009</v>
      </c>
      <c r="H22" s="35">
        <f t="shared" si="4"/>
        <v>28711</v>
      </c>
      <c r="I22" s="35">
        <f t="shared" si="4"/>
        <v>33298</v>
      </c>
      <c r="J22" s="35">
        <f t="shared" si="4"/>
        <v>22302</v>
      </c>
      <c r="K22" s="35">
        <f t="shared" si="4"/>
        <v>26024</v>
      </c>
      <c r="L22" s="35">
        <f t="shared" si="4"/>
        <v>29400</v>
      </c>
      <c r="M22" s="35">
        <f t="shared" si="4"/>
        <v>30897</v>
      </c>
      <c r="N22" s="36">
        <f t="shared" si="4"/>
        <v>17906</v>
      </c>
    </row>
    <row r="23" spans="2:14" ht="20.100000000000001" customHeight="1" x14ac:dyDescent="0.25">
      <c r="B23" s="31" t="s">
        <v>534</v>
      </c>
      <c r="C23" s="35">
        <f>C17</f>
        <v>41773</v>
      </c>
      <c r="D23" s="35">
        <f t="shared" ref="D23:N23" si="5">D17</f>
        <v>25578</v>
      </c>
      <c r="E23" s="35">
        <f t="shared" si="5"/>
        <v>24127</v>
      </c>
      <c r="F23" s="35">
        <f t="shared" si="5"/>
        <v>14679</v>
      </c>
      <c r="G23" s="35">
        <f t="shared" si="5"/>
        <v>24782</v>
      </c>
      <c r="H23" s="35">
        <f t="shared" si="5"/>
        <v>24927</v>
      </c>
      <c r="I23" s="35">
        <f t="shared" si="5"/>
        <v>34065</v>
      </c>
      <c r="J23" s="35">
        <f t="shared" si="5"/>
        <v>21727</v>
      </c>
      <c r="K23" s="35">
        <f t="shared" si="5"/>
        <v>19948</v>
      </c>
      <c r="L23" s="35">
        <f t="shared" si="5"/>
        <v>28693</v>
      </c>
      <c r="M23" s="35">
        <f t="shared" si="5"/>
        <v>22624</v>
      </c>
      <c r="N23" s="36">
        <f t="shared" si="5"/>
        <v>19227</v>
      </c>
    </row>
    <row r="24" spans="2:14" ht="20.100000000000001" customHeight="1" x14ac:dyDescent="0.25">
      <c r="B24" s="32" t="s">
        <v>535</v>
      </c>
      <c r="C24" s="39">
        <f>IF(C22-C23&gt;0,C22-C23,0)</f>
        <v>0</v>
      </c>
      <c r="D24" s="39">
        <f t="shared" ref="D24:N24" si="6">IF(D22-D23&gt;0,D22-D23,0)</f>
        <v>0</v>
      </c>
      <c r="E24" s="39">
        <f t="shared" si="6"/>
        <v>13331</v>
      </c>
      <c r="F24" s="39">
        <f t="shared" si="6"/>
        <v>15547</v>
      </c>
      <c r="G24" s="39">
        <f t="shared" si="6"/>
        <v>0</v>
      </c>
      <c r="H24" s="39">
        <f t="shared" si="6"/>
        <v>3784</v>
      </c>
      <c r="I24" s="39">
        <f t="shared" si="6"/>
        <v>0</v>
      </c>
      <c r="J24" s="39">
        <f t="shared" si="6"/>
        <v>575</v>
      </c>
      <c r="K24" s="39">
        <f t="shared" si="6"/>
        <v>6076</v>
      </c>
      <c r="L24" s="39">
        <f t="shared" si="6"/>
        <v>707</v>
      </c>
      <c r="M24" s="39">
        <f t="shared" si="6"/>
        <v>8273</v>
      </c>
      <c r="N24" s="40">
        <f t="shared" si="6"/>
        <v>0</v>
      </c>
    </row>
    <row r="25" spans="2:14" ht="20.100000000000001" customHeight="1" x14ac:dyDescent="0.25">
      <c r="B25" s="33" t="s">
        <v>536</v>
      </c>
      <c r="C25" s="41">
        <f>IF(C22-C23&lt;0,C22-C23,0)</f>
        <v>-21191</v>
      </c>
      <c r="D25" s="41">
        <f t="shared" ref="D25:N25" si="7">IF(D22-D23&lt;0,D22-D23,0)</f>
        <v>-817</v>
      </c>
      <c r="E25" s="41">
        <f t="shared" si="7"/>
        <v>0</v>
      </c>
      <c r="F25" s="41">
        <f t="shared" si="7"/>
        <v>0</v>
      </c>
      <c r="G25" s="41">
        <f t="shared" si="7"/>
        <v>-5773</v>
      </c>
      <c r="H25" s="41">
        <f t="shared" si="7"/>
        <v>0</v>
      </c>
      <c r="I25" s="41">
        <f t="shared" si="7"/>
        <v>-767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-1321</v>
      </c>
    </row>
    <row r="26" spans="2:14" ht="20.100000000000001" customHeight="1" x14ac:dyDescent="0.25">
      <c r="B26" s="33" t="s">
        <v>537</v>
      </c>
      <c r="C26" s="41">
        <f>C22-C23</f>
        <v>-21191</v>
      </c>
      <c r="D26" s="41">
        <f>C26+(D22-D23)</f>
        <v>-22008</v>
      </c>
      <c r="E26" s="41">
        <f t="shared" ref="E26:N26" si="8">D26+(E22-E23)</f>
        <v>-8677</v>
      </c>
      <c r="F26" s="41">
        <f t="shared" si="8"/>
        <v>6870</v>
      </c>
      <c r="G26" s="41">
        <f t="shared" si="8"/>
        <v>1097</v>
      </c>
      <c r="H26" s="41">
        <f t="shared" si="8"/>
        <v>4881</v>
      </c>
      <c r="I26" s="41">
        <f t="shared" si="8"/>
        <v>4114</v>
      </c>
      <c r="J26" s="41">
        <f t="shared" si="8"/>
        <v>4689</v>
      </c>
      <c r="K26" s="41">
        <f t="shared" si="8"/>
        <v>10765</v>
      </c>
      <c r="L26" s="41">
        <f t="shared" si="8"/>
        <v>11472</v>
      </c>
      <c r="M26" s="41">
        <f t="shared" si="8"/>
        <v>19745</v>
      </c>
      <c r="N26" s="42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27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33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34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35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36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37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543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39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33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34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35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37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46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543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547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C7">
        <v>0</v>
      </c>
      <c r="J7" t="s">
        <v>548</v>
      </c>
    </row>
    <row r="8" spans="2:15" ht="20.100000000000001" customHeight="1" x14ac:dyDescent="0.25">
      <c r="B8" s="47" t="s">
        <v>542</v>
      </c>
      <c r="C8">
        <v>1</v>
      </c>
      <c r="D8">
        <v>2</v>
      </c>
      <c r="E8">
        <v>5</v>
      </c>
      <c r="F8">
        <v>6</v>
      </c>
      <c r="G8">
        <v>7</v>
      </c>
      <c r="H8">
        <v>9</v>
      </c>
      <c r="I8">
        <v>11</v>
      </c>
    </row>
    <row r="9" spans="2:15" ht="20.100000000000001" customHeight="1" x14ac:dyDescent="0.25">
      <c r="B9" s="48" t="s">
        <v>39</v>
      </c>
      <c r="C9" s="51">
        <v>6816</v>
      </c>
      <c r="D9" s="51">
        <v>9291</v>
      </c>
      <c r="E9" s="51">
        <v>9778</v>
      </c>
      <c r="F9" s="51">
        <v>6321</v>
      </c>
      <c r="G9" s="51">
        <v>6846</v>
      </c>
      <c r="H9" s="51">
        <v>3092</v>
      </c>
      <c r="I9" s="51">
        <v>4672</v>
      </c>
      <c r="J9" s="51">
        <v>46816</v>
      </c>
    </row>
    <row r="10" spans="2:15" ht="20.100000000000001" customHeight="1" x14ac:dyDescent="0.25">
      <c r="B10" s="49" t="s">
        <v>33</v>
      </c>
      <c r="C10" s="51"/>
      <c r="D10" s="51">
        <v>3255</v>
      </c>
      <c r="E10" s="51">
        <v>1996</v>
      </c>
      <c r="F10" s="51"/>
      <c r="G10" s="51"/>
      <c r="H10" s="51"/>
      <c r="I10" s="51"/>
      <c r="J10" s="51">
        <v>5251</v>
      </c>
    </row>
    <row r="11" spans="2:15" ht="20.100000000000001" customHeight="1" x14ac:dyDescent="0.25">
      <c r="B11" s="49" t="s">
        <v>34</v>
      </c>
      <c r="C11" s="51">
        <v>3598</v>
      </c>
      <c r="D11" s="51">
        <v>2623</v>
      </c>
      <c r="E11" s="51">
        <v>2975</v>
      </c>
      <c r="F11" s="51"/>
      <c r="G11" s="51">
        <v>3411</v>
      </c>
      <c r="H11" s="51"/>
      <c r="I11" s="51">
        <v>819</v>
      </c>
      <c r="J11" s="51">
        <v>13426</v>
      </c>
    </row>
    <row r="12" spans="2:15" ht="20.100000000000001" customHeight="1" x14ac:dyDescent="0.25">
      <c r="B12" s="49" t="s">
        <v>35</v>
      </c>
      <c r="C12" s="51">
        <v>2247</v>
      </c>
      <c r="D12" s="51">
        <v>3413</v>
      </c>
      <c r="E12" s="51"/>
      <c r="F12" s="51"/>
      <c r="G12" s="51"/>
      <c r="H12" s="51">
        <v>159</v>
      </c>
      <c r="I12" s="51"/>
      <c r="J12" s="51">
        <v>5819</v>
      </c>
    </row>
    <row r="13" spans="2:15" ht="20.100000000000001" customHeight="1" x14ac:dyDescent="0.25">
      <c r="B13" s="49" t="s">
        <v>46</v>
      </c>
      <c r="C13" s="51">
        <v>971</v>
      </c>
      <c r="D13" s="51"/>
      <c r="E13" s="51">
        <v>4807</v>
      </c>
      <c r="F13" s="51">
        <v>6321</v>
      </c>
      <c r="G13" s="51">
        <v>3435</v>
      </c>
      <c r="H13" s="51">
        <v>2933</v>
      </c>
      <c r="I13" s="51">
        <v>3853</v>
      </c>
      <c r="J13" s="51">
        <v>22320</v>
      </c>
    </row>
    <row r="14" spans="2:15" ht="20.100000000000001" customHeight="1" x14ac:dyDescent="0.25">
      <c r="B14" s="48" t="s">
        <v>543</v>
      </c>
      <c r="C14" s="51">
        <v>6816</v>
      </c>
      <c r="D14" s="51">
        <v>9291</v>
      </c>
      <c r="E14" s="51">
        <v>9778</v>
      </c>
      <c r="F14" s="51">
        <v>6321</v>
      </c>
      <c r="G14" s="51">
        <v>6846</v>
      </c>
      <c r="H14" s="51">
        <v>3092</v>
      </c>
      <c r="I14" s="51">
        <v>4672</v>
      </c>
      <c r="J14" s="51">
        <v>46816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547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C7">
        <v>0</v>
      </c>
      <c r="I7" t="s">
        <v>548</v>
      </c>
    </row>
    <row r="8" spans="2:15" ht="20.100000000000001" customHeight="1" x14ac:dyDescent="0.25">
      <c r="B8" s="47" t="s">
        <v>542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8" t="s">
        <v>27</v>
      </c>
      <c r="C9" s="51">
        <v>1209</v>
      </c>
      <c r="D9" s="51">
        <v>1992</v>
      </c>
      <c r="E9" s="51">
        <v>4797</v>
      </c>
      <c r="F9" s="51">
        <v>6672</v>
      </c>
      <c r="G9" s="51">
        <v>1482</v>
      </c>
      <c r="H9" s="51">
        <v>4535</v>
      </c>
      <c r="I9" s="51">
        <v>20687</v>
      </c>
    </row>
    <row r="10" spans="2:15" ht="20.100000000000001" customHeight="1" x14ac:dyDescent="0.25">
      <c r="B10" s="49" t="s">
        <v>33</v>
      </c>
      <c r="C10" s="51"/>
      <c r="D10" s="51"/>
      <c r="E10" s="51"/>
      <c r="F10" s="51"/>
      <c r="G10" s="51"/>
      <c r="H10" s="51">
        <v>4535</v>
      </c>
      <c r="I10" s="51">
        <v>4535</v>
      </c>
    </row>
    <row r="11" spans="2:15" ht="20.100000000000001" customHeight="1" x14ac:dyDescent="0.25">
      <c r="B11" s="49" t="s">
        <v>34</v>
      </c>
      <c r="C11" s="51"/>
      <c r="D11" s="51"/>
      <c r="E11" s="51">
        <v>4797</v>
      </c>
      <c r="F11" s="51"/>
      <c r="G11" s="51"/>
      <c r="H11" s="51"/>
      <c r="I11" s="51">
        <v>4797</v>
      </c>
    </row>
    <row r="12" spans="2:15" ht="20.100000000000001" customHeight="1" x14ac:dyDescent="0.25">
      <c r="B12" s="49" t="s">
        <v>35</v>
      </c>
      <c r="C12" s="51"/>
      <c r="D12" s="51"/>
      <c r="E12" s="51"/>
      <c r="F12" s="51"/>
      <c r="G12" s="51">
        <v>1482</v>
      </c>
      <c r="H12" s="51"/>
      <c r="I12" s="51">
        <v>1482</v>
      </c>
    </row>
    <row r="13" spans="2:15" ht="20.100000000000001" customHeight="1" x14ac:dyDescent="0.25">
      <c r="B13" s="49" t="s">
        <v>36</v>
      </c>
      <c r="C13" s="51">
        <v>1209</v>
      </c>
      <c r="D13" s="51">
        <v>1992</v>
      </c>
      <c r="E13" s="51"/>
      <c r="F13" s="51">
        <v>2531</v>
      </c>
      <c r="G13" s="51"/>
      <c r="H13" s="51"/>
      <c r="I13" s="51">
        <v>5732</v>
      </c>
    </row>
    <row r="14" spans="2:15" ht="20.100000000000001" customHeight="1" x14ac:dyDescent="0.25">
      <c r="B14" s="49" t="s">
        <v>37</v>
      </c>
      <c r="C14" s="51"/>
      <c r="D14" s="51"/>
      <c r="E14" s="51"/>
      <c r="F14" s="51">
        <v>4141</v>
      </c>
      <c r="G14" s="51"/>
      <c r="H14" s="51"/>
      <c r="I14" s="51">
        <v>4141</v>
      </c>
    </row>
    <row r="15" spans="2:15" ht="20.100000000000001" customHeight="1" x14ac:dyDescent="0.25">
      <c r="B15" s="48" t="s">
        <v>543</v>
      </c>
      <c r="C15" s="51">
        <v>1209</v>
      </c>
      <c r="D15" s="51">
        <v>1992</v>
      </c>
      <c r="E15" s="51">
        <v>4797</v>
      </c>
      <c r="F15" s="51">
        <v>6672</v>
      </c>
      <c r="G15" s="51">
        <v>1482</v>
      </c>
      <c r="H15" s="51">
        <v>4535</v>
      </c>
      <c r="I15" s="51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2">
        <f ca="1">TODAY()</f>
        <v>43944</v>
      </c>
    </row>
    <row r="3" spans="2:15" ht="20.100000000000001" customHeight="1" x14ac:dyDescent="0.25"/>
    <row r="4" spans="2:15" ht="20.100000000000001" customHeight="1" x14ac:dyDescent="0.25">
      <c r="B4" s="47" t="s">
        <v>547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C7" t="s">
        <v>550</v>
      </c>
      <c r="L7" t="s">
        <v>543</v>
      </c>
    </row>
    <row r="8" spans="2:15" ht="20.100000000000001" customHeight="1" x14ac:dyDescent="0.25">
      <c r="B8" s="47" t="s">
        <v>542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8" t="s">
        <v>27</v>
      </c>
      <c r="C9" s="51">
        <v>4843</v>
      </c>
      <c r="D9" s="51">
        <v>1561</v>
      </c>
      <c r="E9" s="51">
        <v>964</v>
      </c>
      <c r="F9" s="51">
        <v>5975</v>
      </c>
      <c r="G9" s="51">
        <v>2593</v>
      </c>
      <c r="H9" s="51">
        <v>5627</v>
      </c>
      <c r="I9" s="51">
        <v>2071</v>
      </c>
      <c r="J9" s="51">
        <v>3787</v>
      </c>
      <c r="K9" s="51">
        <v>4061</v>
      </c>
      <c r="L9" s="51">
        <v>31482</v>
      </c>
    </row>
    <row r="10" spans="2:15" ht="20.100000000000001" customHeight="1" x14ac:dyDescent="0.25">
      <c r="B10" s="49" t="s">
        <v>33</v>
      </c>
      <c r="C10" s="51">
        <v>4843</v>
      </c>
      <c r="D10" s="51"/>
      <c r="E10" s="51"/>
      <c r="F10" s="51"/>
      <c r="G10" s="51"/>
      <c r="H10" s="51"/>
      <c r="I10" s="51"/>
      <c r="J10" s="51"/>
      <c r="K10" s="51"/>
      <c r="L10" s="51">
        <v>4843</v>
      </c>
    </row>
    <row r="11" spans="2:15" ht="20.100000000000001" customHeight="1" x14ac:dyDescent="0.25">
      <c r="B11" s="49" t="s">
        <v>34</v>
      </c>
      <c r="C11" s="51"/>
      <c r="D11" s="51"/>
      <c r="E11" s="51"/>
      <c r="F11" s="51">
        <v>3998</v>
      </c>
      <c r="G11" s="51"/>
      <c r="H11" s="51"/>
      <c r="I11" s="51"/>
      <c r="J11" s="51"/>
      <c r="K11" s="51"/>
      <c r="L11" s="51">
        <v>3998</v>
      </c>
    </row>
    <row r="12" spans="2:15" ht="20.100000000000001" customHeight="1" x14ac:dyDescent="0.25">
      <c r="B12" s="49" t="s">
        <v>36</v>
      </c>
      <c r="C12" s="51"/>
      <c r="D12" s="51">
        <v>1561</v>
      </c>
      <c r="E12" s="51"/>
      <c r="F12" s="51"/>
      <c r="G12" s="51">
        <v>2593</v>
      </c>
      <c r="H12" s="51">
        <v>1369</v>
      </c>
      <c r="I12" s="51">
        <v>2071</v>
      </c>
      <c r="J12" s="51">
        <v>3787</v>
      </c>
      <c r="K12" s="51"/>
      <c r="L12" s="51">
        <v>11381</v>
      </c>
    </row>
    <row r="13" spans="2:15" ht="20.100000000000001" customHeight="1" x14ac:dyDescent="0.25">
      <c r="B13" s="49" t="s">
        <v>37</v>
      </c>
      <c r="C13" s="51"/>
      <c r="D13" s="51"/>
      <c r="E13" s="51">
        <v>964</v>
      </c>
      <c r="F13" s="51">
        <v>1977</v>
      </c>
      <c r="G13" s="51"/>
      <c r="H13" s="51">
        <v>4258</v>
      </c>
      <c r="I13" s="51"/>
      <c r="J13" s="51"/>
      <c r="K13" s="51">
        <v>4061</v>
      </c>
      <c r="L13" s="51">
        <v>11260</v>
      </c>
    </row>
    <row r="14" spans="2:15" ht="20.100000000000001" customHeight="1" x14ac:dyDescent="0.25">
      <c r="B14" s="48" t="s">
        <v>543</v>
      </c>
      <c r="C14" s="51">
        <v>4843</v>
      </c>
      <c r="D14" s="51">
        <v>1561</v>
      </c>
      <c r="E14" s="51">
        <v>964</v>
      </c>
      <c r="F14" s="51">
        <v>5975</v>
      </c>
      <c r="G14" s="51">
        <v>2593</v>
      </c>
      <c r="H14" s="51">
        <v>5627</v>
      </c>
      <c r="I14" s="51">
        <v>2071</v>
      </c>
      <c r="J14" s="51">
        <v>3787</v>
      </c>
      <c r="K14" s="51">
        <v>4061</v>
      </c>
      <c r="L14" s="51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2020-04-23T21:57:03Z</dcterms:modified>
</cp:coreProperties>
</file>