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6" activeTab="12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47" r:id="rId17"/>
    <pivotCache cacheId="56" r:id="rId18"/>
  </pivotCaches>
  <extLst>
    <ext xmlns:x14="http://schemas.microsoft.com/office/spreadsheetml/2009/9/main" uri="{BBE1A952-AA13-448e-AADC-164F8A28A991}">
      <x14:slicerCaches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N4" i="8" l="1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G16" i="10" l="1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<sst xmlns="http://schemas.openxmlformats.org/spreadsheetml/2006/main" count="1660" uniqueCount="549">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</sst>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microsoft.com/office/2007/relationships/slicerCache" Target="slicerCaches/slicerCache8.xml"/><Relationship Id="rId3" Type="http://schemas.openxmlformats.org/officeDocument/2006/relationships/worksheet" Target="worksheets/sheet3.xml"/><Relationship Id="rId21" Type="http://schemas.microsoft.com/office/2007/relationships/slicerCache" Target="slicerCaches/slicerCache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microsoft.com/office/2007/relationships/slicerCache" Target="slicerCaches/slicerCache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07/relationships/slicerCache" Target="slicerCaches/slicerCache2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5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4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53594282407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535943171293" createdVersion="4" refreshedVersion="4" minRefreshableVersion="3" recordCount="231">
  <cacheSource type="worksheet">
    <worksheetSource name="TbRegistroEntradas"/>
  </cacheSource>
  <cacheFields count="13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</r>
  <r>
    <s v=""/>
    <d v="2017-09-10T00:00:00"/>
    <d v="2017-10-05T00:00:00"/>
    <x v="0"/>
    <x v="1"/>
    <s v="NF2421"/>
    <n v="4983"/>
    <x v="4"/>
    <n v="0"/>
    <x v="1"/>
    <x v="0"/>
    <x v="2"/>
    <x v="0"/>
  </r>
  <r>
    <d v="2017-09-19T00:00:00"/>
    <d v="2017-09-12T00:00:00"/>
    <d v="2017-09-19T00:00:00"/>
    <x v="0"/>
    <x v="3"/>
    <s v="NF9787"/>
    <n v="2502"/>
    <x v="0"/>
    <n v="2017"/>
    <x v="1"/>
    <x v="0"/>
    <x v="1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</r>
  <r>
    <s v=""/>
    <d v="2017-10-15T00:00:00"/>
    <d v="2017-11-06T00:00:00"/>
    <x v="0"/>
    <x v="1"/>
    <s v="NF7663"/>
    <n v="3425"/>
    <x v="4"/>
    <n v="0"/>
    <x v="2"/>
    <x v="0"/>
    <x v="3"/>
    <x v="0"/>
  </r>
  <r>
    <d v="2018-01-13T00:00:00"/>
    <d v="2017-10-18T00:00:00"/>
    <d v="2017-10-18T00:00:00"/>
    <x v="0"/>
    <x v="2"/>
    <s v="NF4063"/>
    <n v="4454"/>
    <x v="5"/>
    <n v="2018"/>
    <x v="2"/>
    <x v="0"/>
    <x v="2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</r>
  <r>
    <s v=""/>
    <d v="2017-11-01T00:00:00"/>
    <d v="2017-11-18T00:00:00"/>
    <x v="0"/>
    <x v="4"/>
    <s v="NF8690"/>
    <n v="1445"/>
    <x v="4"/>
    <n v="0"/>
    <x v="3"/>
    <x v="0"/>
    <x v="3"/>
    <x v="0"/>
  </r>
  <r>
    <d v="2018-01-17T00:00:00"/>
    <d v="2017-11-04T00:00:00"/>
    <d v="2017-11-29T00:00:00"/>
    <x v="0"/>
    <x v="0"/>
    <s v="NF3424"/>
    <n v="3559"/>
    <x v="5"/>
    <n v="2018"/>
    <x v="3"/>
    <x v="0"/>
    <x v="3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</r>
  <r>
    <d v="2017-11-16T00:00:00"/>
    <d v="2017-11-16T00:00:00"/>
    <d v="2017-11-16T00:00:00"/>
    <x v="0"/>
    <x v="1"/>
    <s v="NF7848"/>
    <n v="3714"/>
    <x v="2"/>
    <n v="2017"/>
    <x v="3"/>
    <x v="0"/>
    <x v="3"/>
    <x v="0"/>
  </r>
  <r>
    <s v=""/>
    <d v="2017-11-18T00:00:00"/>
    <d v="2018-01-01T00:00:00"/>
    <x v="0"/>
    <x v="3"/>
    <s v="NF4449"/>
    <n v="4843"/>
    <x v="4"/>
    <n v="0"/>
    <x v="3"/>
    <x v="0"/>
    <x v="4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</r>
  <r>
    <d v="2018-01-14T00:00:00"/>
    <d v="2017-11-29T00:00:00"/>
    <d v="2017-11-29T00:00:00"/>
    <x v="0"/>
    <x v="3"/>
    <s v="NF4129"/>
    <n v="1284"/>
    <x v="5"/>
    <n v="2018"/>
    <x v="3"/>
    <x v="0"/>
    <x v="3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</r>
  <r>
    <d v="2017-12-17T00:00:00"/>
    <d v="2017-12-14T00:00:00"/>
    <d v="2017-12-17T00:00:00"/>
    <x v="0"/>
    <x v="1"/>
    <s v="NF2432"/>
    <n v="2046"/>
    <x v="3"/>
    <n v="2017"/>
    <x v="4"/>
    <x v="0"/>
    <x v="5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</r>
  <r>
    <d v="2018-01-23T00:00:00"/>
    <d v="2017-12-17T00:00:00"/>
    <d v="2018-01-23T00:00:00"/>
    <x v="0"/>
    <x v="0"/>
    <s v="NF8944"/>
    <n v="3149"/>
    <x v="5"/>
    <n v="2018"/>
    <x v="4"/>
    <x v="0"/>
    <x v="4"/>
    <x v="1"/>
  </r>
  <r>
    <d v="2018-01-25T00:00:00"/>
    <d v="2017-12-19T00:00:00"/>
    <d v="2018-01-25T00:00:00"/>
    <x v="0"/>
    <x v="1"/>
    <s v="NF2816"/>
    <n v="668"/>
    <x v="5"/>
    <n v="2018"/>
    <x v="4"/>
    <x v="0"/>
    <x v="4"/>
    <x v="1"/>
  </r>
  <r>
    <d v="2017-12-20T00:00:00"/>
    <d v="2017-12-20T00:00:00"/>
    <d v="2017-12-20T00:00:00"/>
    <x v="0"/>
    <x v="2"/>
    <s v="NF6358"/>
    <n v="3721"/>
    <x v="3"/>
    <n v="2017"/>
    <x v="4"/>
    <x v="0"/>
    <x v="5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</r>
  <r>
    <d v="2018-03-23T00:00:00"/>
    <d v="2017-12-26T00:00:00"/>
    <d v="2017-12-26T00:00:00"/>
    <x v="0"/>
    <x v="1"/>
    <s v="NF5737"/>
    <n v="1436"/>
    <x v="7"/>
    <n v="2018"/>
    <x v="4"/>
    <x v="0"/>
    <x v="5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</r>
  <r>
    <d v="2018-02-13T00:00:00"/>
    <d v="2017-12-31T00:00:00"/>
    <d v="2018-02-13T00:00:00"/>
    <x v="0"/>
    <x v="2"/>
    <s v="NF2196"/>
    <n v="2687"/>
    <x v="6"/>
    <n v="2018"/>
    <x v="4"/>
    <x v="0"/>
    <x v="6"/>
    <x v="1"/>
  </r>
  <r>
    <s v=""/>
    <d v="2018-01-03T00:00:00"/>
    <d v="2018-02-28T00:00:00"/>
    <x v="0"/>
    <x v="1"/>
    <s v="NF1631"/>
    <n v="1561"/>
    <x v="4"/>
    <n v="0"/>
    <x v="5"/>
    <x v="1"/>
    <x v="6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</r>
  <r>
    <d v="2018-01-17T00:00:00"/>
    <d v="2018-01-17T00:00:00"/>
    <d v="2018-01-17T00:00:00"/>
    <x v="0"/>
    <x v="1"/>
    <s v="NF6851"/>
    <n v="1364"/>
    <x v="5"/>
    <n v="2018"/>
    <x v="5"/>
    <x v="1"/>
    <x v="4"/>
    <x v="1"/>
  </r>
  <r>
    <d v="2018-03-07T00:00:00"/>
    <d v="2018-01-21T00:00:00"/>
    <d v="2018-03-07T00:00:00"/>
    <x v="0"/>
    <x v="2"/>
    <s v="NF3336"/>
    <n v="783"/>
    <x v="7"/>
    <n v="2018"/>
    <x v="5"/>
    <x v="1"/>
    <x v="7"/>
    <x v="1"/>
  </r>
  <r>
    <d v="2018-02-14T00:00:00"/>
    <d v="2018-01-22T00:00:00"/>
    <d v="2018-02-14T00:00:00"/>
    <x v="0"/>
    <x v="2"/>
    <s v="NF7526"/>
    <n v="3928"/>
    <x v="6"/>
    <n v="2018"/>
    <x v="5"/>
    <x v="1"/>
    <x v="6"/>
    <x v="1"/>
  </r>
  <r>
    <d v="2018-02-11T00:00:00"/>
    <d v="2018-01-24T00:00:00"/>
    <d v="2018-02-11T00:00:00"/>
    <x v="0"/>
    <x v="0"/>
    <s v="NF3023"/>
    <n v="3843"/>
    <x v="6"/>
    <n v="2018"/>
    <x v="5"/>
    <x v="1"/>
    <x v="6"/>
    <x v="1"/>
  </r>
  <r>
    <d v="2018-04-16T00:00:00"/>
    <d v="2018-01-25T00:00:00"/>
    <d v="2018-01-29T00:00:00"/>
    <x v="0"/>
    <x v="3"/>
    <s v="NF7934"/>
    <n v="1864"/>
    <x v="8"/>
    <n v="2018"/>
    <x v="5"/>
    <x v="1"/>
    <x v="4"/>
    <x v="1"/>
  </r>
  <r>
    <d v="2018-02-06T00:00:00"/>
    <d v="2018-01-28T00:00:00"/>
    <d v="2018-01-28T00:00:00"/>
    <x v="0"/>
    <x v="1"/>
    <s v="NF7720"/>
    <n v="1184"/>
    <x v="6"/>
    <n v="2018"/>
    <x v="5"/>
    <x v="1"/>
    <x v="4"/>
    <x v="1"/>
  </r>
  <r>
    <d v="2018-03-02T00:00:00"/>
    <d v="2018-01-29T00:00:00"/>
    <d v="2018-03-02T00:00:00"/>
    <x v="0"/>
    <x v="1"/>
    <s v="NF2719"/>
    <n v="4055"/>
    <x v="7"/>
    <n v="2018"/>
    <x v="5"/>
    <x v="1"/>
    <x v="7"/>
    <x v="1"/>
  </r>
  <r>
    <d v="2018-03-19T00:00:00"/>
    <d v="2018-01-30T00:00:00"/>
    <d v="2018-03-19T00:00:00"/>
    <x v="0"/>
    <x v="1"/>
    <s v="NF3036"/>
    <n v="427"/>
    <x v="7"/>
    <n v="2018"/>
    <x v="5"/>
    <x v="1"/>
    <x v="7"/>
    <x v="1"/>
  </r>
  <r>
    <d v="2018-02-07T00:00:00"/>
    <d v="2018-02-02T00:00:00"/>
    <d v="2018-02-07T00:00:00"/>
    <x v="0"/>
    <x v="4"/>
    <s v="NF4604"/>
    <n v="460"/>
    <x v="6"/>
    <n v="2018"/>
    <x v="6"/>
    <x v="1"/>
    <x v="6"/>
    <x v="1"/>
  </r>
  <r>
    <s v=""/>
    <d v="2018-02-05T00:00:00"/>
    <d v="2018-03-31T00:00:00"/>
    <x v="0"/>
    <x v="2"/>
    <s v="NF2493"/>
    <n v="964"/>
    <x v="4"/>
    <n v="0"/>
    <x v="6"/>
    <x v="1"/>
    <x v="7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</r>
  <r>
    <d v="2018-02-15T00:00:00"/>
    <d v="2018-02-11T00:00:00"/>
    <d v="2018-02-15T00:00:00"/>
    <x v="0"/>
    <x v="0"/>
    <s v="NF9580"/>
    <n v="3095"/>
    <x v="6"/>
    <n v="2018"/>
    <x v="6"/>
    <x v="1"/>
    <x v="6"/>
    <x v="1"/>
  </r>
  <r>
    <d v="2018-04-03T00:00:00"/>
    <d v="2018-02-17T00:00:00"/>
    <d v="2018-04-03T00:00:00"/>
    <x v="0"/>
    <x v="4"/>
    <s v="NF4061"/>
    <n v="1532"/>
    <x v="8"/>
    <n v="2018"/>
    <x v="6"/>
    <x v="1"/>
    <x v="8"/>
    <x v="1"/>
  </r>
  <r>
    <d v="2018-04-03T00:00:00"/>
    <d v="2018-02-20T00:00:00"/>
    <d v="2018-04-03T00:00:00"/>
    <x v="0"/>
    <x v="4"/>
    <s v="NF6503"/>
    <n v="3726"/>
    <x v="8"/>
    <n v="2018"/>
    <x v="6"/>
    <x v="1"/>
    <x v="8"/>
    <x v="1"/>
  </r>
  <r>
    <d v="2018-02-23T00:00:00"/>
    <d v="2018-02-23T00:00:00"/>
    <d v="2018-02-23T00:00:00"/>
    <x v="0"/>
    <x v="1"/>
    <s v="NF6701"/>
    <n v="4322"/>
    <x v="6"/>
    <n v="2018"/>
    <x v="6"/>
    <x v="1"/>
    <x v="6"/>
    <x v="1"/>
  </r>
  <r>
    <s v=""/>
    <d v="2018-02-25T00:00:00"/>
    <d v="2018-04-15T00:00:00"/>
    <x v="0"/>
    <x v="0"/>
    <s v="NF8891"/>
    <n v="3998"/>
    <x v="4"/>
    <n v="0"/>
    <x v="6"/>
    <x v="1"/>
    <x v="8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</r>
  <r>
    <d v="2018-03-10T00:00:00"/>
    <d v="2018-03-01T00:00:00"/>
    <d v="2018-03-10T00:00:00"/>
    <x v="0"/>
    <x v="4"/>
    <s v="NF8852"/>
    <n v="3701"/>
    <x v="7"/>
    <n v="2018"/>
    <x v="7"/>
    <x v="1"/>
    <x v="7"/>
    <x v="1"/>
  </r>
  <r>
    <s v=""/>
    <d v="2018-03-03T00:00:00"/>
    <d v="2018-04-12T00:00:00"/>
    <x v="0"/>
    <x v="2"/>
    <s v="NF7869"/>
    <n v="1977"/>
    <x v="4"/>
    <n v="0"/>
    <x v="7"/>
    <x v="1"/>
    <x v="8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</r>
  <r>
    <d v="2018-04-13T00:00:00"/>
    <d v="2018-03-07T00:00:00"/>
    <d v="2018-04-13T00:00:00"/>
    <x v="0"/>
    <x v="3"/>
    <s v="NF5720"/>
    <n v="1660"/>
    <x v="8"/>
    <n v="2018"/>
    <x v="7"/>
    <x v="1"/>
    <x v="8"/>
    <x v="1"/>
  </r>
  <r>
    <d v="2018-03-10T00:00:00"/>
    <d v="2018-03-10T00:00:00"/>
    <d v="2018-03-10T00:00:00"/>
    <x v="0"/>
    <x v="3"/>
    <s v="NF6393"/>
    <n v="837"/>
    <x v="7"/>
    <n v="2018"/>
    <x v="7"/>
    <x v="1"/>
    <x v="7"/>
    <x v="1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</r>
  <r>
    <d v="2018-03-17T00:00:00"/>
    <d v="2018-03-17T00:00:00"/>
    <d v="2018-03-17T00:00:00"/>
    <x v="0"/>
    <x v="2"/>
    <s v="NF7365"/>
    <n v="4471"/>
    <x v="7"/>
    <n v="2018"/>
    <x v="7"/>
    <x v="1"/>
    <x v="7"/>
    <x v="1"/>
  </r>
  <r>
    <d v="2018-03-18T00:00:00"/>
    <d v="2018-03-18T00:00:00"/>
    <d v="2018-03-18T00:00:00"/>
    <x v="0"/>
    <x v="1"/>
    <s v="NF4559"/>
    <n v="3540"/>
    <x v="7"/>
    <n v="2018"/>
    <x v="7"/>
    <x v="1"/>
    <x v="7"/>
    <x v="1"/>
  </r>
  <r>
    <d v="2018-05-05T00:00:00"/>
    <d v="2018-03-21T00:00:00"/>
    <d v="2018-03-21T00:00:00"/>
    <x v="0"/>
    <x v="1"/>
    <s v="NF7119"/>
    <n v="4606"/>
    <x v="9"/>
    <n v="2018"/>
    <x v="7"/>
    <x v="1"/>
    <x v="7"/>
    <x v="1"/>
  </r>
  <r>
    <d v="2018-04-09T00:00:00"/>
    <d v="2018-03-23T00:00:00"/>
    <d v="2018-04-09T00:00:00"/>
    <x v="0"/>
    <x v="0"/>
    <s v="NF2814"/>
    <n v="2388"/>
    <x v="8"/>
    <n v="2018"/>
    <x v="7"/>
    <x v="1"/>
    <x v="8"/>
    <x v="1"/>
  </r>
  <r>
    <d v="2018-03-28T00:00:00"/>
    <d v="2018-03-25T00:00:00"/>
    <d v="2018-03-28T00:00:00"/>
    <x v="0"/>
    <x v="3"/>
    <s v="NF5963"/>
    <n v="2303"/>
    <x v="7"/>
    <n v="2018"/>
    <x v="7"/>
    <x v="1"/>
    <x v="7"/>
    <x v="1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</r>
  <r>
    <d v="2018-04-24T00:00:00"/>
    <d v="2018-03-30T00:00:00"/>
    <d v="2018-03-30T00:00:00"/>
    <x v="0"/>
    <x v="0"/>
    <s v="NF8254"/>
    <n v="3241"/>
    <x v="8"/>
    <n v="2018"/>
    <x v="7"/>
    <x v="1"/>
    <x v="7"/>
    <x v="1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</r>
  <r>
    <d v="2018-04-03T00:00:00"/>
    <d v="2018-04-03T00:00:00"/>
    <d v="2018-04-03T00:00:00"/>
    <x v="0"/>
    <x v="1"/>
    <s v="NF2605"/>
    <n v="3586"/>
    <x v="8"/>
    <n v="2018"/>
    <x v="8"/>
    <x v="1"/>
    <x v="8"/>
    <x v="1"/>
  </r>
  <r>
    <d v="2018-04-06T00:00:00"/>
    <d v="2018-04-06T00:00:00"/>
    <d v="2018-04-06T00:00:00"/>
    <x v="0"/>
    <x v="0"/>
    <s v="NF8043"/>
    <n v="4467"/>
    <x v="8"/>
    <n v="2018"/>
    <x v="8"/>
    <x v="1"/>
    <x v="8"/>
    <x v="1"/>
  </r>
  <r>
    <d v="2018-05-31T00:00:00"/>
    <d v="2018-04-09T00:00:00"/>
    <d v="2018-05-31T00:00:00"/>
    <x v="0"/>
    <x v="1"/>
    <s v="NF6697"/>
    <n v="4262"/>
    <x v="9"/>
    <n v="2018"/>
    <x v="8"/>
    <x v="1"/>
    <x v="9"/>
    <x v="1"/>
  </r>
  <r>
    <s v=""/>
    <d v="2018-04-11T00:00:00"/>
    <d v="2018-06-09T00:00:00"/>
    <x v="0"/>
    <x v="1"/>
    <s v="NF5208"/>
    <n v="2593"/>
    <x v="4"/>
    <n v="0"/>
    <x v="8"/>
    <x v="1"/>
    <x v="10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</r>
  <r>
    <d v="2018-05-14T00:00:00"/>
    <d v="2018-04-23T00:00:00"/>
    <d v="2018-05-14T00:00:00"/>
    <x v="0"/>
    <x v="1"/>
    <s v="NF3247"/>
    <n v="3223"/>
    <x v="9"/>
    <n v="2018"/>
    <x v="8"/>
    <x v="1"/>
    <x v="9"/>
    <x v="1"/>
  </r>
  <r>
    <d v="2018-04-26T00:00:00"/>
    <d v="2018-04-26T00:00:00"/>
    <d v="2018-04-26T00:00:00"/>
    <x v="0"/>
    <x v="4"/>
    <s v="NF4377"/>
    <n v="3446"/>
    <x v="8"/>
    <n v="2018"/>
    <x v="8"/>
    <x v="1"/>
    <x v="8"/>
    <x v="1"/>
  </r>
  <r>
    <d v="2018-05-06T00:00:00"/>
    <d v="2018-04-30T00:00:00"/>
    <d v="2018-04-30T00:00:00"/>
    <x v="0"/>
    <x v="1"/>
    <s v="NF2988"/>
    <n v="4540"/>
    <x v="9"/>
    <n v="2018"/>
    <x v="8"/>
    <x v="1"/>
    <x v="8"/>
    <x v="1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</r>
  <r>
    <d v="2018-05-13T00:00:00"/>
    <d v="2018-05-13T00:00:00"/>
    <d v="2018-05-13T00:00:00"/>
    <x v="0"/>
    <x v="3"/>
    <s v="NF6700"/>
    <n v="1486"/>
    <x v="9"/>
    <n v="2018"/>
    <x v="9"/>
    <x v="1"/>
    <x v="9"/>
    <x v="1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</r>
  <r>
    <s v=""/>
    <d v="2018-07-18T00:00:00"/>
    <d v="2018-09-03T00:00:00"/>
    <x v="0"/>
    <x v="1"/>
    <s v="NF3604"/>
    <n v="2071"/>
    <x v="4"/>
    <n v="0"/>
    <x v="1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</r>
  <r>
    <s v=""/>
    <d v="2018-07-29T00:00:00"/>
    <d v="2018-07-29T00:00:00"/>
    <x v="0"/>
    <x v="1"/>
    <s v="NF2800"/>
    <n v="1369"/>
    <x v="4"/>
    <n v="0"/>
    <x v="11"/>
    <x v="1"/>
    <x v="1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</r>
  <r>
    <d v="2018-09-25T00:00:00"/>
    <d v="2018-08-06T00:00:00"/>
    <d v="2018-08-06T00:00:00"/>
    <x v="0"/>
    <x v="1"/>
    <s v="NF5280"/>
    <n v="3031"/>
    <x v="0"/>
    <n v="2018"/>
    <x v="0"/>
    <x v="1"/>
    <x v="0"/>
    <x v="1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</r>
  <r>
    <d v="2018-08-11T00:00:00"/>
    <d v="2018-08-11T00:00:00"/>
    <d v="2018-08-11T00:00:00"/>
    <x v="0"/>
    <x v="0"/>
    <s v="NF4862"/>
    <n v="405"/>
    <x v="12"/>
    <n v="2018"/>
    <x v="0"/>
    <x v="1"/>
    <x v="0"/>
    <x v="1"/>
  </r>
  <r>
    <d v="2018-09-17T00:00:00"/>
    <d v="2018-08-14T00:00:00"/>
    <d v="2018-09-17T00:00:00"/>
    <x v="0"/>
    <x v="3"/>
    <s v="NF2988"/>
    <n v="3080"/>
    <x v="0"/>
    <n v="2018"/>
    <x v="0"/>
    <x v="1"/>
    <x v="1"/>
    <x v="1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</r>
  <r>
    <d v="2019-01-10T00:00:00"/>
    <d v="2018-08-26T00:00:00"/>
    <d v="2018-10-22T00:00:00"/>
    <x v="0"/>
    <x v="2"/>
    <s v="NF3171"/>
    <n v="4857"/>
    <x v="5"/>
    <n v="2019"/>
    <x v="0"/>
    <x v="1"/>
    <x v="2"/>
    <x v="1"/>
  </r>
  <r>
    <d v="2018-10-20T00:00:00"/>
    <d v="2018-08-30T00:00:00"/>
    <d v="2018-10-20T00:00:00"/>
    <x v="0"/>
    <x v="1"/>
    <s v="NF9089"/>
    <n v="507"/>
    <x v="1"/>
    <n v="2018"/>
    <x v="0"/>
    <x v="1"/>
    <x v="2"/>
    <x v="1"/>
  </r>
  <r>
    <d v="2018-11-01T00:00:00"/>
    <d v="2018-08-31T00:00:00"/>
    <d v="2018-09-11T00:00:00"/>
    <x v="0"/>
    <x v="0"/>
    <s v="NF9607"/>
    <n v="2467"/>
    <x v="2"/>
    <n v="2018"/>
    <x v="0"/>
    <x v="1"/>
    <x v="1"/>
    <x v="1"/>
  </r>
  <r>
    <d v="2018-09-27T00:00:00"/>
    <d v="2018-09-01T00:00:00"/>
    <d v="2018-09-27T00:00:00"/>
    <x v="0"/>
    <x v="1"/>
    <s v="NF6643"/>
    <n v="4253"/>
    <x v="0"/>
    <n v="2018"/>
    <x v="1"/>
    <x v="1"/>
    <x v="1"/>
    <x v="1"/>
  </r>
  <r>
    <d v="2018-09-07T00:00:00"/>
    <d v="2018-09-07T00:00:00"/>
    <d v="2018-09-07T00:00:00"/>
    <x v="0"/>
    <x v="2"/>
    <s v="NF3939"/>
    <n v="2391"/>
    <x v="0"/>
    <n v="2018"/>
    <x v="1"/>
    <x v="1"/>
    <x v="1"/>
    <x v="1"/>
  </r>
  <r>
    <d v="2018-09-22T00:00:00"/>
    <d v="2018-09-09T00:00:00"/>
    <d v="2018-09-22T00:00:00"/>
    <x v="0"/>
    <x v="1"/>
    <s v="NF3599"/>
    <n v="3669"/>
    <x v="0"/>
    <n v="2018"/>
    <x v="1"/>
    <x v="1"/>
    <x v="1"/>
    <x v="1"/>
  </r>
  <r>
    <d v="2018-10-10T00:00:00"/>
    <d v="2018-09-12T00:00:00"/>
    <d v="2018-10-10T00:00:00"/>
    <x v="0"/>
    <x v="1"/>
    <s v="NF9914"/>
    <n v="1207"/>
    <x v="1"/>
    <n v="2018"/>
    <x v="1"/>
    <x v="1"/>
    <x v="2"/>
    <x v="1"/>
  </r>
  <r>
    <d v="2018-11-08T00:00:00"/>
    <d v="2018-09-18T00:00:00"/>
    <d v="2018-11-08T00:00:00"/>
    <x v="0"/>
    <x v="0"/>
    <s v="NF5492"/>
    <n v="2539"/>
    <x v="2"/>
    <n v="2018"/>
    <x v="1"/>
    <x v="1"/>
    <x v="3"/>
    <x v="1"/>
  </r>
  <r>
    <d v="2018-10-01T00:00:00"/>
    <d v="2018-09-20T00:00:00"/>
    <d v="2018-10-01T00:00:00"/>
    <x v="0"/>
    <x v="4"/>
    <s v="NF7516"/>
    <n v="2895"/>
    <x v="1"/>
    <n v="2018"/>
    <x v="1"/>
    <x v="1"/>
    <x v="2"/>
    <x v="1"/>
  </r>
  <r>
    <d v="2018-11-18T00:00:00"/>
    <d v="2018-09-21T00:00:00"/>
    <d v="2018-09-21T00:00:00"/>
    <x v="0"/>
    <x v="1"/>
    <s v="NF8652"/>
    <n v="2106"/>
    <x v="2"/>
    <n v="2018"/>
    <x v="1"/>
    <x v="1"/>
    <x v="1"/>
    <x v="1"/>
  </r>
  <r>
    <d v="2018-11-01T00:00:00"/>
    <d v="2018-09-23T00:00:00"/>
    <d v="2018-11-01T00:00:00"/>
    <x v="0"/>
    <x v="4"/>
    <s v="NF4809"/>
    <n v="3742"/>
    <x v="2"/>
    <n v="2018"/>
    <x v="1"/>
    <x v="1"/>
    <x v="3"/>
    <x v="1"/>
  </r>
  <r>
    <d v="2018-09-26T00:00:00"/>
    <d v="2018-09-26T00:00:00"/>
    <d v="2018-09-26T00:00:00"/>
    <x v="0"/>
    <x v="0"/>
    <s v="NF5491"/>
    <n v="3222"/>
    <x v="0"/>
    <n v="2018"/>
    <x v="1"/>
    <x v="1"/>
    <x v="1"/>
    <x v="1"/>
  </r>
  <r>
    <d v="2018-10-19T00:00:00"/>
    <d v="2018-10-01T00:00:00"/>
    <d v="2018-10-19T00:00:00"/>
    <x v="0"/>
    <x v="1"/>
    <s v="NF7862"/>
    <n v="673"/>
    <x v="1"/>
    <n v="2018"/>
    <x v="2"/>
    <x v="1"/>
    <x v="2"/>
    <x v="1"/>
  </r>
  <r>
    <d v="2018-10-26T00:00:00"/>
    <d v="2018-10-05T00:00:00"/>
    <d v="2018-10-26T00:00:00"/>
    <x v="0"/>
    <x v="3"/>
    <s v="NF3137"/>
    <n v="4922"/>
    <x v="1"/>
    <n v="2018"/>
    <x v="2"/>
    <x v="1"/>
    <x v="2"/>
    <x v="1"/>
  </r>
  <r>
    <d v="2018-11-28T00:00:00"/>
    <d v="2018-10-09T00:00:00"/>
    <d v="2018-11-28T00:00:00"/>
    <x v="0"/>
    <x v="2"/>
    <s v="NF2705"/>
    <n v="1688"/>
    <x v="2"/>
    <n v="2018"/>
    <x v="2"/>
    <x v="1"/>
    <x v="3"/>
    <x v="1"/>
  </r>
  <r>
    <d v="2018-10-09T00:00:00"/>
    <d v="2018-10-09T00:00:00"/>
    <d v="2018-10-09T00:00:00"/>
    <x v="0"/>
    <x v="2"/>
    <s v="NF9537"/>
    <n v="979"/>
    <x v="1"/>
    <n v="2018"/>
    <x v="2"/>
    <x v="1"/>
    <x v="2"/>
    <x v="1"/>
  </r>
  <r>
    <d v="2018-10-27T00:00:00"/>
    <d v="2018-10-14T00:00:00"/>
    <d v="2018-10-27T00:00:00"/>
    <x v="0"/>
    <x v="1"/>
    <s v="NF1700"/>
    <n v="3744"/>
    <x v="1"/>
    <n v="2018"/>
    <x v="2"/>
    <x v="1"/>
    <x v="2"/>
    <x v="1"/>
  </r>
  <r>
    <s v=""/>
    <d v="2018-10-16T00:00:00"/>
    <d v="2018-12-04T00:00:00"/>
    <x v="0"/>
    <x v="2"/>
    <s v="NF9052"/>
    <n v="4061"/>
    <x v="4"/>
    <n v="0"/>
    <x v="2"/>
    <x v="1"/>
    <x v="5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</r>
  <r>
    <d v="2018-11-20T00:00:00"/>
    <d v="2018-10-25T00:00:00"/>
    <d v="2018-11-15T00:00:00"/>
    <x v="0"/>
    <x v="1"/>
    <s v="NF4056"/>
    <n v="2429"/>
    <x v="2"/>
    <n v="2018"/>
    <x v="2"/>
    <x v="1"/>
    <x v="3"/>
    <x v="1"/>
  </r>
  <r>
    <d v="2018-10-25T00:00:00"/>
    <d v="2018-10-25T00:00:00"/>
    <d v="2018-10-25T00:00:00"/>
    <x v="0"/>
    <x v="0"/>
    <s v="NF4381"/>
    <n v="2713"/>
    <x v="1"/>
    <n v="2018"/>
    <x v="2"/>
    <x v="1"/>
    <x v="2"/>
    <x v="1"/>
  </r>
  <r>
    <s v=""/>
    <d v="2018-10-30T00:00:00"/>
    <d v="2018-10-30T00:00:00"/>
    <x v="0"/>
    <x v="1"/>
    <s v="NF5374"/>
    <n v="3787"/>
    <x v="4"/>
    <n v="0"/>
    <x v="2"/>
    <x v="1"/>
    <x v="2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</r>
  <r>
    <d v="2018-11-27T00:00:00"/>
    <d v="2018-11-08T00:00:00"/>
    <d v="2018-11-27T00:00:00"/>
    <x v="0"/>
    <x v="1"/>
    <s v="NF9770"/>
    <n v="4135"/>
    <x v="2"/>
    <n v="2018"/>
    <x v="3"/>
    <x v="1"/>
    <x v="3"/>
    <x v="1"/>
  </r>
  <r>
    <d v="2018-11-17T00:00:00"/>
    <d v="2018-11-11T00:00:00"/>
    <d v="2018-11-17T00:00:00"/>
    <x v="0"/>
    <x v="1"/>
    <s v="NF3186"/>
    <n v="3902"/>
    <x v="2"/>
    <n v="2018"/>
    <x v="3"/>
    <x v="1"/>
    <x v="3"/>
    <x v="1"/>
  </r>
  <r>
    <d v="2018-11-14T00:00:00"/>
    <d v="2018-11-14T00:00:00"/>
    <d v="2018-11-14T00:00:00"/>
    <x v="0"/>
    <x v="1"/>
    <s v="NF7423"/>
    <n v="4319"/>
    <x v="2"/>
    <n v="2018"/>
    <x v="3"/>
    <x v="1"/>
    <x v="3"/>
    <x v="1"/>
  </r>
  <r>
    <d v="2019-03-13T00:00:00"/>
    <d v="2018-11-17T00:00:00"/>
    <d v="2018-12-30T00:00:00"/>
    <x v="0"/>
    <x v="0"/>
    <s v="NF3114"/>
    <n v="3068"/>
    <x v="7"/>
    <n v="2019"/>
    <x v="3"/>
    <x v="1"/>
    <x v="5"/>
    <x v="1"/>
  </r>
  <r>
    <d v="2018-11-21T00:00:00"/>
    <d v="2018-11-21T00:00:00"/>
    <d v="2018-11-21T00:00:00"/>
    <x v="0"/>
    <x v="1"/>
    <s v="NF1359"/>
    <n v="1880"/>
    <x v="2"/>
    <n v="2018"/>
    <x v="3"/>
    <x v="1"/>
    <x v="3"/>
    <x v="1"/>
  </r>
  <r>
    <d v="2018-12-31T00:00:00"/>
    <d v="2018-11-23T00:00:00"/>
    <d v="2018-12-31T00:00:00"/>
    <x v="0"/>
    <x v="1"/>
    <s v="NF5107"/>
    <n v="1414"/>
    <x v="3"/>
    <n v="2018"/>
    <x v="3"/>
    <x v="1"/>
    <x v="5"/>
    <x v="1"/>
  </r>
  <r>
    <d v="2018-12-23T00:00:00"/>
    <d v="2018-11-26T00:00:00"/>
    <d v="2018-12-13T00:00:00"/>
    <x v="0"/>
    <x v="3"/>
    <s v="NF4367"/>
    <n v="919"/>
    <x v="3"/>
    <n v="2018"/>
    <x v="3"/>
    <x v="1"/>
    <x v="5"/>
    <x v="1"/>
  </r>
  <r>
    <d v="2018-11-27T00:00:00"/>
    <d v="2018-11-27T00:00:00"/>
    <d v="2018-11-27T00:00:00"/>
    <x v="0"/>
    <x v="1"/>
    <s v="NF8386"/>
    <n v="4801"/>
    <x v="2"/>
    <n v="2018"/>
    <x v="3"/>
    <x v="1"/>
    <x v="3"/>
    <x v="1"/>
  </r>
  <r>
    <d v="2018-11-30T00:00:00"/>
    <d v="2018-11-30T00:00:00"/>
    <d v="2018-11-30T00:00:00"/>
    <x v="0"/>
    <x v="2"/>
    <s v="NF5922"/>
    <n v="4639"/>
    <x v="2"/>
    <n v="2018"/>
    <x v="3"/>
    <x v="1"/>
    <x v="3"/>
    <x v="1"/>
  </r>
  <r>
    <s v=""/>
    <d v="2018-12-06T00:00:00"/>
    <d v="2019-01-22T00:00:00"/>
    <x v="0"/>
    <x v="1"/>
    <s v="NF9970"/>
    <n v="1209"/>
    <x v="4"/>
    <n v="0"/>
    <x v="4"/>
    <x v="1"/>
    <x v="4"/>
    <x v="2"/>
  </r>
  <r>
    <d v="2019-04-05T00:00:00"/>
    <d v="2018-12-10T00:00:00"/>
    <d v="2019-01-12T00:00:00"/>
    <x v="0"/>
    <x v="2"/>
    <s v="NF1938"/>
    <n v="483"/>
    <x v="8"/>
    <n v="2019"/>
    <x v="4"/>
    <x v="1"/>
    <x v="4"/>
    <x v="2"/>
  </r>
  <r>
    <d v="2019-02-07T00:00:00"/>
    <d v="2018-12-17T00:00:00"/>
    <d v="2019-01-04T00:00:00"/>
    <x v="0"/>
    <x v="1"/>
    <s v="NF7772"/>
    <n v="373"/>
    <x v="6"/>
    <n v="2019"/>
    <x v="4"/>
    <x v="1"/>
    <x v="4"/>
    <x v="2"/>
  </r>
  <r>
    <d v="2018-12-25T00:00:00"/>
    <d v="2018-12-20T00:00:00"/>
    <d v="2018-12-25T00:00:00"/>
    <x v="0"/>
    <x v="0"/>
    <s v="NF9932"/>
    <n v="2088"/>
    <x v="3"/>
    <n v="2018"/>
    <x v="4"/>
    <x v="1"/>
    <x v="5"/>
    <x v="1"/>
  </r>
  <r>
    <d v="2019-02-01T00:00:00"/>
    <d v="2018-12-21T00:00:00"/>
    <d v="2019-02-01T00:00:00"/>
    <x v="0"/>
    <x v="2"/>
    <s v="NF2970"/>
    <n v="1168"/>
    <x v="6"/>
    <n v="2019"/>
    <x v="4"/>
    <x v="1"/>
    <x v="6"/>
    <x v="2"/>
  </r>
  <r>
    <d v="2018-12-23T00:00:00"/>
    <d v="2018-12-23T00:00:00"/>
    <d v="2018-12-23T00:00:00"/>
    <x v="0"/>
    <x v="2"/>
    <s v="NF4423"/>
    <n v="4429"/>
    <x v="3"/>
    <n v="2018"/>
    <x v="4"/>
    <x v="1"/>
    <x v="5"/>
    <x v="1"/>
  </r>
  <r>
    <d v="2019-02-23T00:00:00"/>
    <d v="2018-12-28T00:00:00"/>
    <d v="2019-02-23T00:00:00"/>
    <x v="0"/>
    <x v="1"/>
    <s v="NF9682"/>
    <n v="4955"/>
    <x v="6"/>
    <n v="2019"/>
    <x v="4"/>
    <x v="1"/>
    <x v="6"/>
    <x v="2"/>
  </r>
  <r>
    <d v="2019-01-18T00:00:00"/>
    <d v="2018-12-31T00:00:00"/>
    <d v="2019-01-18T00:00:00"/>
    <x v="0"/>
    <x v="1"/>
    <s v="NF7840"/>
    <n v="3201"/>
    <x v="5"/>
    <n v="2019"/>
    <x v="4"/>
    <x v="1"/>
    <x v="4"/>
    <x v="2"/>
  </r>
  <r>
    <d v="2019-02-15T00:00:00"/>
    <d v="2019-01-04T00:00:00"/>
    <d v="2019-02-15T00:00:00"/>
    <x v="0"/>
    <x v="4"/>
    <s v="NF4946"/>
    <n v="3007"/>
    <x v="6"/>
    <n v="2019"/>
    <x v="5"/>
    <x v="2"/>
    <x v="6"/>
    <x v="2"/>
  </r>
  <r>
    <d v="2019-01-08T00:00:00"/>
    <d v="2019-01-08T00:00:00"/>
    <d v="2019-01-08T00:00:00"/>
    <x v="0"/>
    <x v="2"/>
    <s v="NF6806"/>
    <n v="900"/>
    <x v="5"/>
    <n v="2019"/>
    <x v="5"/>
    <x v="2"/>
    <x v="4"/>
    <x v="2"/>
  </r>
  <r>
    <d v="2019-01-13T00:00:00"/>
    <d v="2019-01-13T00:00:00"/>
    <d v="2019-01-13T00:00:00"/>
    <x v="0"/>
    <x v="1"/>
    <s v="NF3882"/>
    <n v="2970"/>
    <x v="5"/>
    <n v="2019"/>
    <x v="5"/>
    <x v="2"/>
    <x v="4"/>
    <x v="2"/>
  </r>
  <r>
    <d v="2019-03-14T00:00:00"/>
    <d v="2019-01-17T00:00:00"/>
    <d v="2019-03-14T00:00:00"/>
    <x v="0"/>
    <x v="3"/>
    <s v="NF1850"/>
    <n v="4993"/>
    <x v="7"/>
    <n v="2019"/>
    <x v="5"/>
    <x v="2"/>
    <x v="7"/>
    <x v="2"/>
  </r>
  <r>
    <d v="2019-01-20T00:00:00"/>
    <d v="2019-01-20T00:00:00"/>
    <d v="2019-01-20T00:00:00"/>
    <x v="0"/>
    <x v="2"/>
    <s v="NF7979"/>
    <n v="1664"/>
    <x v="5"/>
    <n v="2019"/>
    <x v="5"/>
    <x v="2"/>
    <x v="4"/>
    <x v="2"/>
  </r>
  <r>
    <s v=""/>
    <d v="2019-01-21T00:00:00"/>
    <d v="2019-02-26T00:00:00"/>
    <x v="0"/>
    <x v="1"/>
    <s v="NF1547"/>
    <n v="1815"/>
    <x v="4"/>
    <n v="0"/>
    <x v="5"/>
    <x v="2"/>
    <x v="6"/>
    <x v="2"/>
  </r>
  <r>
    <d v="2019-02-09T00:00:00"/>
    <d v="2019-01-23T00:00:00"/>
    <d v="2019-02-09T00:00:00"/>
    <x v="0"/>
    <x v="4"/>
    <s v="NF2309"/>
    <n v="3752"/>
    <x v="6"/>
    <n v="2019"/>
    <x v="5"/>
    <x v="2"/>
    <x v="6"/>
    <x v="2"/>
  </r>
  <r>
    <s v=""/>
    <d v="2019-01-27T00:00:00"/>
    <d v="2019-02-17T00:00:00"/>
    <x v="0"/>
    <x v="1"/>
    <s v="NF5791"/>
    <n v="177"/>
    <x v="4"/>
    <n v="0"/>
    <x v="5"/>
    <x v="2"/>
    <x v="6"/>
    <x v="2"/>
  </r>
  <r>
    <d v="2019-01-29T00:00:00"/>
    <d v="2019-01-29T00:00:00"/>
    <d v="2019-01-29T00:00:00"/>
    <x v="0"/>
    <x v="1"/>
    <s v="NF2982"/>
    <n v="3619"/>
    <x v="5"/>
    <n v="2019"/>
    <x v="5"/>
    <x v="2"/>
    <x v="4"/>
    <x v="2"/>
  </r>
  <r>
    <d v="2019-03-11T00:00:00"/>
    <d v="2019-02-02T00:00:00"/>
    <d v="2019-03-10T00:00:00"/>
    <x v="0"/>
    <x v="4"/>
    <s v="NF1796"/>
    <n v="4030"/>
    <x v="7"/>
    <n v="2019"/>
    <x v="6"/>
    <x v="2"/>
    <x v="7"/>
    <x v="2"/>
  </r>
  <r>
    <d v="2019-02-16T00:00:00"/>
    <d v="2019-02-05T00:00:00"/>
    <d v="2019-02-16T00:00:00"/>
    <x v="0"/>
    <x v="4"/>
    <s v="NF2396"/>
    <n v="4157"/>
    <x v="6"/>
    <n v="2019"/>
    <x v="6"/>
    <x v="2"/>
    <x v="6"/>
    <x v="2"/>
  </r>
  <r>
    <d v="2019-03-08T00:00:00"/>
    <d v="2019-02-06T00:00:00"/>
    <d v="2019-03-08T00:00:00"/>
    <x v="0"/>
    <x v="0"/>
    <s v="NF8281"/>
    <n v="1417"/>
    <x v="7"/>
    <n v="2019"/>
    <x v="6"/>
    <x v="2"/>
    <x v="7"/>
    <x v="2"/>
  </r>
  <r>
    <d v="2019-03-16T00:00:00"/>
    <d v="2019-02-09T00:00:00"/>
    <d v="2019-03-16T00:00:00"/>
    <x v="0"/>
    <x v="2"/>
    <s v="NF3155"/>
    <n v="1117"/>
    <x v="7"/>
    <n v="2019"/>
    <x v="6"/>
    <x v="2"/>
    <x v="7"/>
    <x v="2"/>
  </r>
  <r>
    <d v="2019-03-17T00:00:00"/>
    <d v="2019-02-10T00:00:00"/>
    <d v="2019-03-17T00:00:00"/>
    <x v="0"/>
    <x v="3"/>
    <s v="NF4849"/>
    <n v="4461"/>
    <x v="7"/>
    <n v="2019"/>
    <x v="6"/>
    <x v="2"/>
    <x v="7"/>
    <x v="2"/>
  </r>
  <r>
    <d v="2019-03-25T00:00:00"/>
    <d v="2019-02-12T00:00:00"/>
    <d v="2019-02-12T00:00:00"/>
    <x v="0"/>
    <x v="1"/>
    <s v="NF4647"/>
    <n v="3732"/>
    <x v="7"/>
    <n v="2019"/>
    <x v="6"/>
    <x v="2"/>
    <x v="6"/>
    <x v="2"/>
  </r>
  <r>
    <d v="2019-02-13T00:00:00"/>
    <d v="2019-02-13T00:00:00"/>
    <d v="2019-02-13T00:00:00"/>
    <x v="0"/>
    <x v="2"/>
    <s v="NF9056"/>
    <n v="2024"/>
    <x v="6"/>
    <n v="2019"/>
    <x v="6"/>
    <x v="2"/>
    <x v="6"/>
    <x v="2"/>
  </r>
  <r>
    <d v="2019-02-16T00:00:00"/>
    <d v="2019-02-16T00:00:00"/>
    <d v="2019-02-16T00:00:00"/>
    <x v="0"/>
    <x v="1"/>
    <s v="NF4097"/>
    <n v="928"/>
    <x v="6"/>
    <n v="2019"/>
    <x v="6"/>
    <x v="2"/>
    <x v="6"/>
    <x v="2"/>
  </r>
  <r>
    <d v="2019-03-09T00:00:00"/>
    <d v="2019-02-17T00:00:00"/>
    <d v="2019-02-17T00:00:00"/>
    <x v="0"/>
    <x v="1"/>
    <s v="NF9792"/>
    <n v="3557"/>
    <x v="7"/>
    <n v="2019"/>
    <x v="6"/>
    <x v="2"/>
    <x v="6"/>
    <x v="2"/>
  </r>
  <r>
    <d v="2019-03-16T00:00:00"/>
    <d v="2019-02-18T00:00:00"/>
    <d v="2019-03-16T00:00:00"/>
    <x v="0"/>
    <x v="2"/>
    <s v="NF1943"/>
    <n v="741"/>
    <x v="7"/>
    <n v="2019"/>
    <x v="6"/>
    <x v="2"/>
    <x v="7"/>
    <x v="2"/>
  </r>
  <r>
    <d v="2019-03-24T00:00:00"/>
    <d v="2019-02-21T00:00:00"/>
    <d v="2019-03-24T00:00:00"/>
    <x v="0"/>
    <x v="2"/>
    <s v="NF5598"/>
    <n v="850"/>
    <x v="7"/>
    <n v="2019"/>
    <x v="6"/>
    <x v="2"/>
    <x v="7"/>
    <x v="2"/>
  </r>
  <r>
    <d v="2019-02-26T00:00:00"/>
    <d v="2019-02-26T00:00:00"/>
    <d v="2019-02-26T00:00:00"/>
    <x v="0"/>
    <x v="1"/>
    <s v="NF8881"/>
    <n v="4741"/>
    <x v="6"/>
    <n v="2019"/>
    <x v="6"/>
    <x v="2"/>
    <x v="6"/>
    <x v="2"/>
  </r>
  <r>
    <d v="2019-03-01T00:00:00"/>
    <d v="2019-03-01T00:00:00"/>
    <d v="2019-03-01T00:00:00"/>
    <x v="0"/>
    <x v="0"/>
    <s v="NF3500"/>
    <n v="471"/>
    <x v="7"/>
    <n v="2019"/>
    <x v="7"/>
    <x v="2"/>
    <x v="7"/>
    <x v="2"/>
  </r>
  <r>
    <d v="2019-03-03T00:00:00"/>
    <d v="2019-03-03T00:00:00"/>
    <d v="2019-03-03T00:00:00"/>
    <x v="0"/>
    <x v="0"/>
    <s v="NF3489"/>
    <n v="517"/>
    <x v="7"/>
    <n v="2019"/>
    <x v="7"/>
    <x v="2"/>
    <x v="7"/>
    <x v="2"/>
  </r>
  <r>
    <d v="2019-04-08T00:00:00"/>
    <d v="2019-03-10T00:00:00"/>
    <d v="2019-04-08T00:00:00"/>
    <x v="0"/>
    <x v="0"/>
    <s v="NF8682"/>
    <n v="3034"/>
    <x v="8"/>
    <n v="2019"/>
    <x v="7"/>
    <x v="2"/>
    <x v="8"/>
    <x v="2"/>
  </r>
  <r>
    <d v="2019-04-23T00:00:00"/>
    <d v="2019-03-13T00:00:00"/>
    <d v="2019-04-23T00:00:00"/>
    <x v="0"/>
    <x v="1"/>
    <s v="NF8525"/>
    <n v="3172"/>
    <x v="8"/>
    <n v="2019"/>
    <x v="7"/>
    <x v="2"/>
    <x v="8"/>
    <x v="2"/>
  </r>
  <r>
    <d v="2019-03-19T00:00:00"/>
    <d v="2019-03-19T00:00:00"/>
    <d v="2019-03-19T00:00:00"/>
    <x v="0"/>
    <x v="4"/>
    <s v="NF2006"/>
    <n v="2069"/>
    <x v="7"/>
    <n v="2019"/>
    <x v="7"/>
    <x v="2"/>
    <x v="7"/>
    <x v="2"/>
  </r>
  <r>
    <d v="2019-03-21T00:00:00"/>
    <d v="2019-03-21T00:00:00"/>
    <d v="2019-03-21T00:00:00"/>
    <x v="0"/>
    <x v="4"/>
    <s v="NF7648"/>
    <n v="3849"/>
    <x v="7"/>
    <n v="2019"/>
    <x v="7"/>
    <x v="2"/>
    <x v="7"/>
    <x v="2"/>
  </r>
  <r>
    <s v=""/>
    <d v="2019-03-27T00:00:00"/>
    <d v="2019-05-01T00:00:00"/>
    <x v="0"/>
    <x v="2"/>
    <s v="NF6770"/>
    <n v="4141"/>
    <x v="4"/>
    <n v="0"/>
    <x v="7"/>
    <x v="2"/>
    <x v="9"/>
    <x v="2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</r>
  <r>
    <d v="2019-04-03T00:00:00"/>
    <d v="2019-04-03T00:00:00"/>
    <d v="2019-04-03T00:00:00"/>
    <x v="0"/>
    <x v="1"/>
    <s v="NF4686"/>
    <n v="1738"/>
    <x v="8"/>
    <n v="2019"/>
    <x v="8"/>
    <x v="2"/>
    <x v="8"/>
    <x v="2"/>
  </r>
  <r>
    <d v="2019-04-06T00:00:00"/>
    <d v="2019-04-06T00:00:00"/>
    <d v="2019-04-06T00:00:00"/>
    <x v="0"/>
    <x v="1"/>
    <s v="NF9108"/>
    <n v="732"/>
    <x v="8"/>
    <n v="2019"/>
    <x v="8"/>
    <x v="2"/>
    <x v="8"/>
    <x v="2"/>
  </r>
  <r>
    <d v="2019-06-09T00:00:00"/>
    <d v="2019-04-07T00:00:00"/>
    <d v="2019-05-01T00:00:00"/>
    <x v="0"/>
    <x v="2"/>
    <s v="NF1934"/>
    <n v="373"/>
    <x v="11"/>
    <n v="2019"/>
    <x v="8"/>
    <x v="2"/>
    <x v="9"/>
    <x v="2"/>
  </r>
  <r>
    <d v="2019-05-24T00:00:00"/>
    <d v="2019-04-09T00:00:00"/>
    <d v="2019-05-24T00:00:00"/>
    <x v="0"/>
    <x v="0"/>
    <s v="NF5748"/>
    <n v="609"/>
    <x v="9"/>
    <n v="2019"/>
    <x v="8"/>
    <x v="2"/>
    <x v="9"/>
    <x v="2"/>
  </r>
  <r>
    <d v="2019-05-30T00:00:00"/>
    <d v="2019-04-12T00:00:00"/>
    <d v="2019-05-30T00:00:00"/>
    <x v="0"/>
    <x v="1"/>
    <s v="NF3443"/>
    <n v="2883"/>
    <x v="9"/>
    <n v="2019"/>
    <x v="8"/>
    <x v="2"/>
    <x v="9"/>
    <x v="2"/>
  </r>
  <r>
    <d v="2019-04-14T00:00:00"/>
    <d v="2019-04-14T00:00:00"/>
    <d v="2019-04-14T00:00:00"/>
    <x v="0"/>
    <x v="0"/>
    <s v="NF4433"/>
    <n v="4651"/>
    <x v="8"/>
    <n v="2019"/>
    <x v="8"/>
    <x v="2"/>
    <x v="8"/>
    <x v="2"/>
  </r>
  <r>
    <s v=""/>
    <d v="2019-04-18T00:00:00"/>
    <d v="2019-04-24T00:00:00"/>
    <x v="0"/>
    <x v="0"/>
    <s v="NF7700"/>
    <n v="4797"/>
    <x v="4"/>
    <n v="0"/>
    <x v="8"/>
    <x v="2"/>
    <x v="8"/>
    <x v="2"/>
  </r>
  <r>
    <d v="2019-05-13T00:00:00"/>
    <d v="2019-04-20T00:00:00"/>
    <d v="2019-05-13T00:00:00"/>
    <x v="0"/>
    <x v="4"/>
    <s v="NF8475"/>
    <n v="1620"/>
    <x v="9"/>
    <n v="2019"/>
    <x v="8"/>
    <x v="2"/>
    <x v="9"/>
    <x v="2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</r>
  <r>
    <d v="2019-05-10T00:00:00"/>
    <d v="2019-04-29T00:00:00"/>
    <d v="2019-05-10T00:00:00"/>
    <x v="0"/>
    <x v="1"/>
    <s v="NF5571"/>
    <n v="2091"/>
    <x v="9"/>
    <n v="2019"/>
    <x v="8"/>
    <x v="2"/>
    <x v="9"/>
    <x v="2"/>
  </r>
  <r>
    <d v="2019-05-09T00:00:00"/>
    <d v="2019-04-30T00:00:00"/>
    <d v="2019-05-09T00:00:00"/>
    <x v="0"/>
    <x v="1"/>
    <s v="NF7836"/>
    <n v="3200"/>
    <x v="9"/>
    <n v="2019"/>
    <x v="8"/>
    <x v="2"/>
    <x v="9"/>
    <x v="2"/>
  </r>
  <r>
    <d v="2019-05-02T00:00:00"/>
    <d v="2019-05-02T00:00:00"/>
    <d v="2019-05-02T00:00:00"/>
    <x v="0"/>
    <x v="2"/>
    <s v="NF7705"/>
    <n v="583"/>
    <x v="9"/>
    <n v="2019"/>
    <x v="9"/>
    <x v="2"/>
    <x v="9"/>
    <x v="2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</r>
  <r>
    <d v="2019-05-07T00:00:00"/>
    <d v="2019-05-07T00:00:00"/>
    <d v="2019-05-07T00:00:00"/>
    <x v="0"/>
    <x v="1"/>
    <s v="NF4027"/>
    <n v="343"/>
    <x v="9"/>
    <n v="2019"/>
    <x v="9"/>
    <x v="2"/>
    <x v="9"/>
    <x v="2"/>
  </r>
  <r>
    <d v="2019-05-18T00:00:00"/>
    <d v="2019-05-08T00:00:00"/>
    <d v="2019-05-18T00:00:00"/>
    <x v="0"/>
    <x v="0"/>
    <s v="NF7582"/>
    <n v="4510"/>
    <x v="9"/>
    <n v="2019"/>
    <x v="9"/>
    <x v="2"/>
    <x v="9"/>
    <x v="2"/>
  </r>
  <r>
    <d v="2019-05-12T00:00:00"/>
    <d v="2019-05-12T00:00:00"/>
    <d v="2019-05-12T00:00:00"/>
    <x v="0"/>
    <x v="1"/>
    <s v="NF7868"/>
    <n v="667"/>
    <x v="9"/>
    <n v="2019"/>
    <x v="9"/>
    <x v="2"/>
    <x v="9"/>
    <x v="2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</r>
  <r>
    <s v=""/>
    <d v="2019-05-26T00:00:00"/>
    <d v="2019-05-26T00:00:00"/>
    <x v="0"/>
    <x v="1"/>
    <s v="NF1516"/>
    <n v="2531"/>
    <x v="4"/>
    <n v="0"/>
    <x v="9"/>
    <x v="2"/>
    <x v="9"/>
    <x v="2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</r>
  <r>
    <s v=""/>
    <d v="2019-05-30T00:00:00"/>
    <d v="2019-07-02T00:00:00"/>
    <x v="0"/>
    <x v="3"/>
    <s v="NF9904"/>
    <n v="4535"/>
    <x v="4"/>
    <n v="0"/>
    <x v="9"/>
    <x v="2"/>
    <x v="11"/>
    <x v="2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</r>
  <r>
    <s v=""/>
    <d v="2019-06-15T00:00:00"/>
    <d v="2019-06-15T00:00:00"/>
    <x v="0"/>
    <x v="4"/>
    <s v="NF4469"/>
    <n v="1482"/>
    <x v="4"/>
    <n v="0"/>
    <x v="10"/>
    <x v="2"/>
    <x v="10"/>
    <x v="2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DetalhaReceita" cacheId="5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47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47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5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29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8" headerRowBorderDxfId="27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6" headerRowBorderDxfId="25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4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N234" totalsRowShown="0" headerRowDxfId="23">
  <autoFilter ref="B3:N234"/>
  <tableColumns count="13">
    <tableColumn id="1" name="Data do Caixa Realizado" dataDxfId="22"/>
    <tableColumn id="2" name="Data da Competência" dataDxfId="21"/>
    <tableColumn id="3" name="Data do Caixa Previsto" dataDxfId="20"/>
    <tableColumn id="4" name="Conta Nível 1"/>
    <tableColumn id="5" name="Conta Nível 2"/>
    <tableColumn id="6" name="Histórico"/>
    <tableColumn id="7" name="Valor" dataDxfId="19"/>
    <tableColumn id="8" name="Mês Caixa" dataDxfId="18">
      <calculatedColumnFormula>IF(TbRegistroEntradas[[#This Row],[Data do Caixa Realizado]]="",0,MONTH(TbRegistroEntradas[[#This Row],[Data do Caixa Realizado]]))</calculatedColumnFormula>
    </tableColumn>
    <tableColumn id="9" name="Ano Caixa" dataDxfId="17">
      <calculatedColumnFormula>IF(TbRegistroEntradas[[#This Row],[Data do Caixa Realizado]]="",0,YEAR(TbRegistroEntradas[[#This Row],[Data do Caixa Realizado]]))</calculatedColumnFormula>
    </tableColumn>
    <tableColumn id="10" name="Mês Competência" dataDxfId="16">
      <calculatedColumnFormula>IF(TbRegistroEntradas[[#This Row],[Data da Competência]]="",0,MONTH(TbRegistroEntradas[[#This Row],[Data da Competência]]))</calculatedColumnFormula>
    </tableColumn>
    <tableColumn id="11" name="Ano Competência" dataDxfId="15">
      <calculatedColumnFormula>IF(TbRegistroEntradas[[#This Row],[Data da Competência]]="",0,YEAR(TbRegistroEntradas[[#This Row],[Data da Competência]]))</calculatedColumnFormula>
    </tableColumn>
    <tableColumn id="12" name="Mês Previsto" dataDxfId="1">
      <calculatedColumnFormula>IF(TbRegistroEntradas[[#This Row],[Data do Caixa Previsto]]="",0,MONTH(TbRegistroEntradas[[#This Row],[Data do Caixa Previsto]]))</calculatedColumnFormula>
    </tableColumn>
    <tableColumn id="13" name="Ano Previsto" dataDxfId="0">
      <calculatedColumnFormula>IF(TbRegistroEntradas[[#This Row],[Data do Caixa Previsto]]="",0,YEAR(TbRegistroEntradas[[#This Row],[Data do Caixa Previsto]]))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14" headerRowBorderDxfId="13" tableBorderDxfId="12">
  <autoFilter ref="B3:N232">
    <filterColumn colId="0">
      <filters blank="1"/>
    </filterColumn>
    <filterColumn colId="2">
      <filters>
        <dateGroupItem year="2018" dateTimeGrouping="year"/>
      </filters>
    </filterColumn>
  </autoFilter>
  <tableColumns count="13">
    <tableColumn id="1" name="Data do Caixa Realizado" dataDxfId="11"/>
    <tableColumn id="2" name="Data da Competência" dataDxfId="10"/>
    <tableColumn id="3" name="Data do Caixa Previsto" dataDxfId="9"/>
    <tableColumn id="4" name="Conta Nível 1"/>
    <tableColumn id="5" name="Conta Nível 2"/>
    <tableColumn id="6" name="Histórico"/>
    <tableColumn id="7" name="Valor" dataDxfId="8"/>
    <tableColumn id="8" name="Mês Caixa" dataDxfId="7">
      <calculatedColumnFormula>IF(TbRegistroSaídas[[#This Row],[Data do Caixa Realizado]]="",0,MONTH(TbRegistroSaídas[[#This Row],[Data do Caixa Realizado]]))</calculatedColumnFormula>
    </tableColumn>
    <tableColumn id="9" name="Ano Caixa" dataDxfId="6">
      <calculatedColumnFormula>IF(TbRegistroSaídas[[#This Row],[Data do Caixa Realizado]]="",0,YEAR(TbRegistroSaídas[[#This Row],[Data do Caixa Realizado]]))</calculatedColumnFormula>
    </tableColumn>
    <tableColumn id="10" name="Mês Competência" dataDxfId="5">
      <calculatedColumnFormula>IF(TbRegistroSaídas[[#This Row],[Data da Competência]]="",0,MONTH(TbRegistroSaídas[[#This Row],[Data da Competência]]))</calculatedColumnFormula>
    </tableColumn>
    <tableColumn id="11" name="Ano Competência" dataDxfId="4">
      <calculatedColumnFormula>IF(TbRegistroSaídas[[#This Row],[Data da Competência]]="",0,YEAR(TbRegistroSaídas[[#This Row],[Data da Competência]]))</calculatedColumnFormula>
    </tableColumn>
    <tableColumn id="12" name="Mês Previsto" dataDxfId="3">
      <calculatedColumnFormula>IF(TbRegistroSaídas[[#This Row],[Data do Caixa Previsto]]="",0,MONTH(TbRegistroSaídas[[#This Row],[Data do Caixa Previsto]]))</calculatedColumnFormula>
    </tableColumn>
    <tableColumn id="13" name="Ano Previsto" dataDxfId="2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28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45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N234"/>
  <sheetViews>
    <sheetView showGridLines="0" topLeftCell="B1" zoomScale="85" zoomScaleNormal="85" workbookViewId="0">
      <pane ySplit="3" topLeftCell="A4" activePane="bottomLeft" state="frozen"/>
      <selection pane="bottomLeft" activeCell="E8" sqref="E8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5" width="9.140625" customWidth="1"/>
  </cols>
  <sheetData>
    <row r="1" spans="2:14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4" ht="39.950000000000003" customHeight="1" x14ac:dyDescent="0.25">
      <c r="B2" s="12"/>
      <c r="C2" s="12"/>
      <c r="D2" s="12"/>
      <c r="E2" s="5"/>
      <c r="F2" s="5"/>
      <c r="G2" s="5"/>
      <c r="H2" s="15"/>
    </row>
    <row r="3" spans="2:14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  <c r="M3" s="19" t="s">
        <v>546</v>
      </c>
      <c r="N3" s="19" t="s">
        <v>547</v>
      </c>
    </row>
    <row r="4" spans="2:14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</row>
    <row r="5" spans="2:14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</row>
    <row r="6" spans="2:14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</row>
    <row r="7" spans="2:14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</row>
    <row r="8" spans="2:14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</row>
    <row r="9" spans="2:14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</row>
    <row r="10" spans="2:14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</row>
    <row r="11" spans="2:14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</row>
    <row r="12" spans="2:14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</row>
    <row r="13" spans="2:14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</row>
    <row r="14" spans="2:14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</row>
    <row r="15" spans="2:14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</row>
    <row r="16" spans="2:14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</row>
    <row r="17" spans="2:14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</row>
    <row r="18" spans="2:14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</row>
    <row r="19" spans="2:14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</row>
    <row r="20" spans="2:14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</row>
    <row r="21" spans="2:14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</row>
    <row r="22" spans="2:14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</row>
    <row r="23" spans="2:14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</row>
    <row r="24" spans="2:14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</row>
    <row r="25" spans="2:14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</row>
    <row r="26" spans="2:14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</row>
    <row r="27" spans="2:14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</row>
    <row r="28" spans="2:14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</row>
    <row r="29" spans="2:14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</row>
    <row r="30" spans="2:14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</row>
    <row r="31" spans="2:14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</row>
    <row r="32" spans="2:14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</row>
    <row r="33" spans="2:14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</row>
    <row r="34" spans="2:14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</row>
    <row r="35" spans="2:14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</row>
    <row r="36" spans="2:14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</row>
    <row r="37" spans="2:14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</row>
    <row r="38" spans="2:14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</row>
    <row r="39" spans="2:14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</row>
    <row r="40" spans="2:14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</row>
    <row r="41" spans="2:14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</row>
    <row r="42" spans="2:14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</row>
    <row r="43" spans="2:14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</row>
    <row r="44" spans="2:14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</row>
    <row r="45" spans="2:14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</row>
    <row r="46" spans="2:14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</row>
    <row r="47" spans="2:14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</row>
    <row r="48" spans="2:14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</row>
    <row r="49" spans="2:14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</row>
    <row r="50" spans="2:14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</row>
    <row r="51" spans="2:14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</row>
    <row r="52" spans="2:14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</row>
    <row r="53" spans="2:14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</row>
    <row r="54" spans="2:14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</row>
    <row r="55" spans="2:14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</row>
    <row r="56" spans="2:14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</row>
    <row r="57" spans="2:14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</row>
    <row r="58" spans="2:14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</row>
    <row r="59" spans="2:14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</row>
    <row r="60" spans="2:14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</row>
    <row r="61" spans="2:14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</row>
    <row r="62" spans="2:14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</row>
    <row r="63" spans="2:14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</row>
    <row r="64" spans="2:14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</row>
    <row r="65" spans="2:14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</row>
    <row r="66" spans="2:14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</row>
    <row r="67" spans="2:14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</row>
    <row r="68" spans="2:14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</row>
    <row r="69" spans="2:14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</row>
    <row r="70" spans="2:14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</row>
    <row r="71" spans="2:14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</row>
    <row r="72" spans="2:14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</row>
    <row r="73" spans="2:14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</row>
    <row r="74" spans="2:14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</row>
    <row r="75" spans="2:14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</row>
    <row r="76" spans="2:14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</row>
    <row r="77" spans="2:14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</row>
    <row r="78" spans="2:14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</row>
    <row r="79" spans="2:14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</row>
    <row r="80" spans="2:14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</row>
    <row r="81" spans="2:14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</row>
    <row r="82" spans="2:14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</row>
    <row r="83" spans="2:14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</row>
    <row r="84" spans="2:14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</row>
    <row r="85" spans="2:14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</row>
    <row r="86" spans="2:14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</row>
    <row r="87" spans="2:14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</row>
    <row r="88" spans="2:14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</row>
    <row r="89" spans="2:14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</row>
    <row r="90" spans="2:14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</row>
    <row r="91" spans="2:14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</row>
    <row r="92" spans="2:14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</row>
    <row r="93" spans="2:14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</row>
    <row r="94" spans="2:14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</row>
    <row r="95" spans="2:14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</row>
    <row r="96" spans="2:14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</row>
    <row r="97" spans="2:14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</row>
    <row r="98" spans="2:14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</row>
    <row r="99" spans="2:14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</row>
    <row r="100" spans="2:14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</row>
    <row r="101" spans="2:14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</row>
    <row r="102" spans="2:14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</row>
    <row r="103" spans="2:14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</row>
    <row r="104" spans="2:14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</row>
    <row r="105" spans="2:14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</row>
    <row r="106" spans="2:14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</row>
    <row r="107" spans="2:14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</row>
    <row r="108" spans="2:14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</row>
    <row r="109" spans="2:14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</row>
    <row r="110" spans="2:14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</row>
    <row r="111" spans="2:14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</row>
    <row r="112" spans="2:14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</row>
    <row r="113" spans="2:14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</row>
    <row r="114" spans="2:14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</row>
    <row r="115" spans="2:14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</row>
    <row r="116" spans="2:14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</row>
    <row r="117" spans="2:14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</row>
    <row r="118" spans="2:14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</row>
    <row r="119" spans="2:14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</row>
    <row r="120" spans="2:14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</row>
    <row r="121" spans="2:14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</row>
    <row r="122" spans="2:14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</row>
    <row r="123" spans="2:14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</row>
    <row r="124" spans="2:14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</row>
    <row r="125" spans="2:14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</row>
    <row r="126" spans="2:14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</row>
    <row r="127" spans="2:14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</row>
    <row r="128" spans="2:14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</row>
    <row r="129" spans="2:14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</row>
    <row r="130" spans="2:14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</row>
    <row r="131" spans="2:14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</row>
    <row r="132" spans="2:14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</row>
    <row r="133" spans="2:14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</row>
    <row r="134" spans="2:14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</row>
    <row r="135" spans="2:14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</row>
    <row r="136" spans="2:14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</row>
    <row r="137" spans="2:14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</row>
    <row r="138" spans="2:14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</row>
    <row r="139" spans="2:14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</row>
    <row r="140" spans="2:14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</row>
    <row r="141" spans="2:14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</row>
    <row r="142" spans="2:14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</row>
    <row r="143" spans="2:14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</row>
    <row r="144" spans="2:14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</row>
    <row r="145" spans="2:14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</row>
    <row r="146" spans="2:14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</row>
    <row r="147" spans="2:14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</row>
    <row r="148" spans="2:14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</row>
    <row r="149" spans="2:14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</row>
    <row r="150" spans="2:14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</row>
    <row r="151" spans="2:14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</row>
    <row r="152" spans="2:14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</row>
    <row r="153" spans="2:14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</row>
    <row r="154" spans="2:14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</row>
    <row r="155" spans="2:14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</row>
    <row r="156" spans="2:14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</row>
    <row r="157" spans="2:14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</row>
    <row r="158" spans="2:14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</row>
    <row r="159" spans="2:14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</row>
    <row r="160" spans="2:14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</row>
    <row r="161" spans="2:14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</row>
    <row r="162" spans="2:14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</row>
    <row r="163" spans="2:14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</row>
    <row r="164" spans="2:14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</row>
    <row r="165" spans="2:14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</row>
    <row r="166" spans="2:14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</row>
    <row r="167" spans="2:14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</row>
    <row r="168" spans="2:14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</row>
    <row r="169" spans="2:14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</row>
    <row r="170" spans="2:14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</row>
    <row r="171" spans="2:14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</row>
    <row r="172" spans="2:14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</row>
    <row r="173" spans="2:14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</row>
    <row r="174" spans="2:14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</row>
    <row r="175" spans="2:14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</row>
    <row r="176" spans="2:14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</row>
    <row r="177" spans="2:14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</row>
    <row r="178" spans="2:14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</row>
    <row r="179" spans="2:14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</row>
    <row r="180" spans="2:14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</row>
    <row r="181" spans="2:14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</row>
    <row r="182" spans="2:14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</row>
    <row r="183" spans="2:14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</row>
    <row r="184" spans="2:14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</row>
    <row r="185" spans="2:14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</row>
    <row r="186" spans="2:14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</row>
    <row r="187" spans="2:14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</row>
    <row r="188" spans="2:14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</row>
    <row r="189" spans="2:14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</row>
    <row r="190" spans="2:14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</row>
    <row r="191" spans="2:14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</row>
    <row r="192" spans="2:14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</row>
    <row r="193" spans="2:14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</row>
    <row r="194" spans="2:14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</row>
    <row r="195" spans="2:14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</row>
    <row r="196" spans="2:14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</row>
    <row r="197" spans="2:14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</row>
    <row r="198" spans="2:14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</row>
    <row r="199" spans="2:14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</row>
    <row r="200" spans="2:14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</row>
    <row r="201" spans="2:14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</row>
    <row r="202" spans="2:14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</row>
    <row r="203" spans="2:14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</row>
    <row r="204" spans="2:14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</row>
    <row r="205" spans="2:14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</row>
    <row r="206" spans="2:14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</row>
    <row r="207" spans="2:14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</row>
    <row r="208" spans="2:14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</row>
    <row r="209" spans="2:14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</row>
    <row r="210" spans="2:14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</row>
    <row r="211" spans="2:14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</row>
    <row r="212" spans="2:14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</row>
    <row r="213" spans="2:14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</row>
    <row r="214" spans="2:14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</row>
    <row r="215" spans="2:14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</row>
    <row r="216" spans="2:14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</row>
    <row r="217" spans="2:14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</row>
    <row r="218" spans="2:14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</row>
    <row r="219" spans="2:14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</row>
    <row r="220" spans="2:14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</row>
    <row r="221" spans="2:14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</row>
    <row r="222" spans="2:14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</row>
    <row r="223" spans="2:14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</row>
    <row r="224" spans="2:14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</row>
    <row r="225" spans="2:14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</row>
    <row r="226" spans="2:14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</row>
    <row r="227" spans="2:14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</row>
    <row r="228" spans="2:14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</row>
    <row r="229" spans="2:14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</row>
    <row r="230" spans="2:14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</row>
    <row r="231" spans="2:14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</row>
    <row r="232" spans="2:14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</row>
    <row r="233" spans="2:14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</row>
    <row r="234" spans="2:14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topLeftCell="B1" zoomScale="70" zoomScaleNormal="70" workbookViewId="0">
      <pane ySplit="3" topLeftCell="A4" activePane="bottomLeft" state="frozen"/>
      <selection pane="bottomLeft" activeCell="H47" sqref="H47:H157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  <c r="M3" s="22" t="s">
        <v>546</v>
      </c>
      <c r="N3" s="22" t="s">
        <v>547</v>
      </c>
    </row>
    <row r="4" spans="2:14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hidden="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hidden="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hidden="1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hidden="1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hidden="1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hidden="1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hidden="1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hidden="1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hidden="1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hidden="1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hidden="1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hidden="1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hidden="1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hidden="1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hidden="1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hidden="1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hidden="1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hidden="1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hidden="1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hidden="1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hidden="1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hidden="1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hidden="1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hidden="1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hidden="1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hidden="1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hidden="1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hidden="1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hidden="1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hidden="1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hidden="1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hidden="1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hidden="1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hidden="1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hidden="1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hidden="1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hidden="1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hidden="1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hidden="1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hidden="1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hidden="1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hidden="1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hidden="1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hidden="1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hidden="1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hidden="1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hidden="1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hidden="1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hidden="1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hidden="1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hidden="1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hidden="1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hidden="1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hidden="1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hidden="1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hidden="1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hidden="1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hidden="1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hidden="1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hidden="1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hidden="1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hidden="1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hidden="1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hidden="1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hidden="1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hidden="1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hidden="1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hidden="1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hidden="1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hidden="1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hidden="1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hidden="1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hidden="1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hidden="1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hidden="1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hidden="1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hidden="1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hidden="1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hidden="1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hidden="1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hidden="1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hidden="1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hidden="1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hidden="1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hidden="1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hidden="1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hidden="1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hidden="1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hidden="1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hidden="1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hidden="1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hidden="1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hidden="1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hidden="1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hidden="1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hidden="1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hidden="1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hidden="1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hidden="1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hidden="1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hidden="1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hidden="1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hidden="1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hidden="1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hidden="1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hidden="1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hidden="1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hidden="1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hidden="1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hidden="1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hidden="1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hidden="1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hidden="1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hidden="1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hidden="1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hidden="1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hidden="1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hidden="1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hidden="1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hidden="1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hidden="1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hidden="1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hidden="1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hidden="1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hidden="1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hidden="1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hidden="1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hidden="1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hidden="1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hidden="1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hidden="1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hidden="1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hidden="1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hidden="1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hidden="1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hidden="1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hidden="1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hidden="1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hidden="1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hidden="1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hidden="1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hidden="1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hidden="1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hidden="1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hidden="1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hidden="1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hidden="1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hidden="1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hidden="1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hidden="1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hidden="1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hidden="1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hidden="1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hidden="1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hidden="1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hidden="1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hidden="1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hidden="1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hidden="1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hidden="1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hidden="1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hidden="1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hidden="1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hidden="1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hidden="1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hidden="1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hidden="1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hidden="1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hidden="1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hidden="1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hidden="1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hidden="1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hidden="1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hidden="1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hidden="1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hidden="1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hidden="1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hidden="1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hidden="1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hidden="1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hidden="1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hidden="1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hidden="1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hidden="1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hidden="1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hidden="1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hidden="1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hidden="1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hidden="1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hidden="1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hidden="1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hidden="1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hidden="1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hidden="1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hidden="1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hidden="1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hidden="1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hidden="1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hidden="1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512</v>
      </c>
      <c r="C3" s="24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513</v>
      </c>
    </row>
    <row r="7" spans="2:14" ht="20.100000000000001" customHeight="1" x14ac:dyDescent="0.25">
      <c r="B7" s="29" t="s">
        <v>514</v>
      </c>
      <c r="C7" s="27" t="s">
        <v>517</v>
      </c>
      <c r="D7" s="27" t="s">
        <v>518</v>
      </c>
      <c r="E7" s="27" t="s">
        <v>519</v>
      </c>
      <c r="F7" s="27" t="s">
        <v>520</v>
      </c>
      <c r="G7" s="27" t="s">
        <v>521</v>
      </c>
      <c r="H7" s="27" t="s">
        <v>522</v>
      </c>
      <c r="I7" s="27" t="s">
        <v>523</v>
      </c>
      <c r="J7" s="27" t="s">
        <v>524</v>
      </c>
      <c r="K7" s="27" t="s">
        <v>525</v>
      </c>
      <c r="L7" s="27" t="s">
        <v>526</v>
      </c>
      <c r="M7" s="27" t="s">
        <v>527</v>
      </c>
      <c r="N7" s="28" t="s">
        <v>528</v>
      </c>
    </row>
    <row r="8" spans="2:14" ht="20.100000000000001" customHeight="1" x14ac:dyDescent="0.25">
      <c r="B8" s="31" t="s">
        <v>530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5">
        <f>C11</f>
        <v>966</v>
      </c>
      <c r="E8" s="35">
        <f t="shared" ref="E8:N8" si="0">D11</f>
        <v>5553</v>
      </c>
      <c r="F8" s="35">
        <f t="shared" si="0"/>
        <v>-7</v>
      </c>
      <c r="G8" s="35">
        <f t="shared" si="0"/>
        <v>1894</v>
      </c>
      <c r="H8" s="35">
        <f t="shared" si="0"/>
        <v>22181</v>
      </c>
      <c r="I8" s="35">
        <f t="shared" si="0"/>
        <v>30931</v>
      </c>
      <c r="J8" s="35">
        <f t="shared" si="0"/>
        <v>22856</v>
      </c>
      <c r="K8" s="35">
        <f t="shared" si="0"/>
        <v>38235</v>
      </c>
      <c r="L8" s="35">
        <f t="shared" si="0"/>
        <v>44941</v>
      </c>
      <c r="M8" s="35">
        <f t="shared" si="0"/>
        <v>39552</v>
      </c>
      <c r="N8" s="36">
        <f t="shared" si="0"/>
        <v>58456</v>
      </c>
    </row>
    <row r="9" spans="2:14" ht="20.100000000000001" customHeight="1" x14ac:dyDescent="0.25">
      <c r="B9" s="31" t="s">
        <v>529</v>
      </c>
      <c r="C9" s="35">
        <f>SUMIFS(TbRegistroEntradas[Valor],TbRegistroEntradas[Mês Caixa],C5,TbRegistroEntradas[Ano Caixa],$C$3)</f>
        <v>33220</v>
      </c>
      <c r="D9" s="35">
        <f>SUMIFS(TbRegistroEntradas[Valor],TbRegistroEntradas[Mês Caixa],D5,TbRegistroEntradas[Ano Caixa],$C$3)</f>
        <v>27618</v>
      </c>
      <c r="E9" s="35">
        <f>SUMIFS(TbRegistroEntradas[Valor],TbRegistroEntradas[Mês Caixa],E5,TbRegistroEntradas[Ano Caixa],$C$3)</f>
        <v>21553</v>
      </c>
      <c r="F9" s="35">
        <f>SUMIFS(TbRegistroEntradas[Valor],TbRegistroEntradas[Mês Caixa],F5,TbRegistroEntradas[Ano Caixa],$C$3)</f>
        <v>25910</v>
      </c>
      <c r="G9" s="35">
        <f>SUMIFS(TbRegistroEntradas[Valor],TbRegistroEntradas[Mês Caixa],G5,TbRegistroEntradas[Ano Caixa],$C$3)</f>
        <v>23254</v>
      </c>
      <c r="H9" s="35">
        <f>SUMIFS(TbRegistroEntradas[Valor],TbRegistroEntradas[Mês Caixa],H5,TbRegistroEntradas[Ano Caixa],$C$3)</f>
        <v>29499</v>
      </c>
      <c r="I9" s="35">
        <f>SUMIFS(TbRegistroEntradas[Valor],TbRegistroEntradas[Mês Caixa],I5,TbRegistroEntradas[Ano Caixa],$C$3)</f>
        <v>21232</v>
      </c>
      <c r="J9" s="35">
        <f>SUMIFS(TbRegistroEntradas[Valor],TbRegistroEntradas[Mês Caixa],J5,TbRegistroEntradas[Ano Caixa],$C$3)</f>
        <v>31767</v>
      </c>
      <c r="K9" s="35">
        <f>SUMIFS(TbRegistroEntradas[Valor],TbRegistroEntradas[Mês Caixa],K5,TbRegistroEntradas[Ano Caixa],$C$3)</f>
        <v>24029</v>
      </c>
      <c r="L9" s="35">
        <f>SUMIFS(TbRegistroEntradas[Valor],TbRegistroEntradas[Mês Caixa],L5,TbRegistroEntradas[Ano Caixa],$C$3)</f>
        <v>21580</v>
      </c>
      <c r="M9" s="35">
        <f>SUMIFS(TbRegistroEntradas[Valor],TbRegistroEntradas[Mês Caixa],M5,TbRegistroEntradas[Ano Caixa],$C$3)</f>
        <v>38978</v>
      </c>
      <c r="N9" s="36">
        <f>SUMIFS(TbRegistroEntradas[Valor],TbRegistroEntradas[Mês Caixa],N5,TbRegistroEntradas[Ano Caixa],$C$3)</f>
        <v>15074</v>
      </c>
    </row>
    <row r="10" spans="2:14" ht="20.100000000000001" customHeight="1" x14ac:dyDescent="0.25">
      <c r="B10" s="31" t="s">
        <v>515</v>
      </c>
      <c r="C10" s="35">
        <f>SUMIFS(TbRegistroSaídas[Valor],TbRegistroSaídas[Mês Caixa],C5,TbRegistroSaídas[Ano Caixa],$C$3)</f>
        <v>31213</v>
      </c>
      <c r="D10" s="35">
        <f>SUMIFS(TbRegistroSaídas[Valor],TbRegistroSaídas[Mês Caixa],D5,TbRegistroSaídas[Ano Caixa],$C$3)</f>
        <v>23031</v>
      </c>
      <c r="E10" s="35">
        <f>SUMIFS(TbRegistroSaídas[Valor],TbRegistroSaídas[Mês Caixa],E5,TbRegistroSaídas[Ano Caixa],$C$3)</f>
        <v>27113</v>
      </c>
      <c r="F10" s="35">
        <f>SUMIFS(TbRegistroSaídas[Valor],TbRegistroSaídas[Mês Caixa],F5,TbRegistroSaídas[Ano Caixa],$C$3)</f>
        <v>24009</v>
      </c>
      <c r="G10" s="35">
        <f>SUMIFS(TbRegistroSaídas[Valor],TbRegistroSaídas[Mês Caixa],G5,TbRegistroSaídas[Ano Caixa],$C$3)</f>
        <v>2967</v>
      </c>
      <c r="H10" s="35">
        <f>SUMIFS(TbRegistroSaídas[Valor],TbRegistroSaídas[Mês Caixa],H5,TbRegistroSaídas[Ano Caixa],$C$3)</f>
        <v>20749</v>
      </c>
      <c r="I10" s="35">
        <f>SUMIFS(TbRegistroSaídas[Valor],TbRegistroSaídas[Mês Caixa],I5,TbRegistroSaídas[Ano Caixa],$C$3)</f>
        <v>29307</v>
      </c>
      <c r="J10" s="35">
        <f>SUMIFS(TbRegistroSaídas[Valor],TbRegistroSaídas[Mês Caixa],J5,TbRegistroSaídas[Ano Caixa],$C$3)</f>
        <v>16388</v>
      </c>
      <c r="K10" s="35">
        <f>SUMIFS(TbRegistroSaídas[Valor],TbRegistroSaídas[Mês Caixa],K5,TbRegistroSaídas[Ano Caixa],$C$3)</f>
        <v>17323</v>
      </c>
      <c r="L10" s="35">
        <f>SUMIFS(TbRegistroSaídas[Valor],TbRegistroSaídas[Mês Caixa],L5,TbRegistroSaídas[Ano Caixa],$C$3)</f>
        <v>26969</v>
      </c>
      <c r="M10" s="35">
        <f>SUMIFS(TbRegistroSaídas[Valor],TbRegistroSaídas[Mês Caixa],M5,TbRegistroSaídas[Ano Caixa],$C$3)</f>
        <v>20074</v>
      </c>
      <c r="N10" s="36">
        <f>SUMIFS(TbRegistroSaídas[Valor],TbRegistroSaídas[Mês Caixa],N5,TbRegistroSaídas[Ano Caixa],$C$3)</f>
        <v>18422</v>
      </c>
    </row>
    <row r="11" spans="2:14" ht="20.100000000000001" customHeight="1" x14ac:dyDescent="0.25">
      <c r="B11" s="34" t="s">
        <v>516</v>
      </c>
      <c r="C11" s="37">
        <f>C8+C9-C10</f>
        <v>966</v>
      </c>
      <c r="D11" s="37">
        <f t="shared" ref="D11:N11" si="1">D8+D9-D10</f>
        <v>5553</v>
      </c>
      <c r="E11" s="37">
        <f t="shared" si="1"/>
        <v>-7</v>
      </c>
      <c r="F11" s="37">
        <f t="shared" si="1"/>
        <v>1894</v>
      </c>
      <c r="G11" s="37">
        <f t="shared" si="1"/>
        <v>22181</v>
      </c>
      <c r="H11" s="37">
        <f t="shared" si="1"/>
        <v>30931</v>
      </c>
      <c r="I11" s="37">
        <f t="shared" si="1"/>
        <v>22856</v>
      </c>
      <c r="J11" s="37">
        <f t="shared" si="1"/>
        <v>38235</v>
      </c>
      <c r="K11" s="37">
        <f t="shared" si="1"/>
        <v>44941</v>
      </c>
      <c r="L11" s="37">
        <f t="shared" si="1"/>
        <v>39552</v>
      </c>
      <c r="M11" s="37">
        <f t="shared" si="1"/>
        <v>58456</v>
      </c>
      <c r="N11" s="38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0" t="s">
        <v>531</v>
      </c>
    </row>
    <row r="14" spans="2:14" ht="20.100000000000001" customHeight="1" x14ac:dyDescent="0.25">
      <c r="B14" s="29" t="s">
        <v>514</v>
      </c>
      <c r="C14" s="27" t="s">
        <v>517</v>
      </c>
      <c r="D14" s="27" t="s">
        <v>518</v>
      </c>
      <c r="E14" s="27" t="s">
        <v>519</v>
      </c>
      <c r="F14" s="27" t="s">
        <v>520</v>
      </c>
      <c r="G14" s="27" t="s">
        <v>521</v>
      </c>
      <c r="H14" s="27" t="s">
        <v>522</v>
      </c>
      <c r="I14" s="27" t="s">
        <v>523</v>
      </c>
      <c r="J14" s="27" t="s">
        <v>524</v>
      </c>
      <c r="K14" s="27" t="s">
        <v>525</v>
      </c>
      <c r="L14" s="27" t="s">
        <v>526</v>
      </c>
      <c r="M14" s="27" t="s">
        <v>527</v>
      </c>
      <c r="N14" s="28" t="s">
        <v>528</v>
      </c>
    </row>
    <row r="15" spans="2:14" ht="20.100000000000001" customHeight="1" x14ac:dyDescent="0.25">
      <c r="B15" s="31" t="s">
        <v>530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5">
        <f>C18</f>
        <v>2752</v>
      </c>
      <c r="E15" s="35">
        <f t="shared" ref="E15:N15" si="2">D18</f>
        <v>1935</v>
      </c>
      <c r="F15" s="35">
        <f t="shared" si="2"/>
        <v>15266</v>
      </c>
      <c r="G15" s="35">
        <f t="shared" si="2"/>
        <v>30813</v>
      </c>
      <c r="H15" s="35">
        <f t="shared" si="2"/>
        <v>25040</v>
      </c>
      <c r="I15" s="35">
        <f t="shared" si="2"/>
        <v>28824</v>
      </c>
      <c r="J15" s="35">
        <f t="shared" si="2"/>
        <v>28057</v>
      </c>
      <c r="K15" s="35">
        <f t="shared" si="2"/>
        <v>28632</v>
      </c>
      <c r="L15" s="35">
        <f t="shared" si="2"/>
        <v>34708</v>
      </c>
      <c r="M15" s="35">
        <f t="shared" si="2"/>
        <v>35415</v>
      </c>
      <c r="N15" s="36">
        <f t="shared" si="2"/>
        <v>43688</v>
      </c>
    </row>
    <row r="16" spans="2:14" ht="20.100000000000001" customHeight="1" x14ac:dyDescent="0.25">
      <c r="B16" s="31" t="s">
        <v>529</v>
      </c>
      <c r="C16" s="35">
        <f>SUMIFS(TbRegistroEntradas[Valor],TbRegistroEntradas[Mês Competência],C5,TbRegistroEntradas[Ano Competência],$C$3)</f>
        <v>20582</v>
      </c>
      <c r="D16" s="35">
        <f>SUMIFS(TbRegistroEntradas[Valor],TbRegistroEntradas[Mês Competência],D5,TbRegistroEntradas[Ano Competência],$C$3)</f>
        <v>24761</v>
      </c>
      <c r="E16" s="35">
        <f>SUMIFS(TbRegistroEntradas[Valor],TbRegistroEntradas[Mês Competência],E5,TbRegistroEntradas[Ano Competência],$C$3)</f>
        <v>37458</v>
      </c>
      <c r="F16" s="35">
        <f>SUMIFS(TbRegistroEntradas[Valor],TbRegistroEntradas[Mês Competência],F5,TbRegistroEntradas[Ano Competência],$C$3)</f>
        <v>30226</v>
      </c>
      <c r="G16" s="35">
        <f>SUMIFS(TbRegistroEntradas[Valor],TbRegistroEntradas[Mês Competência],G5,TbRegistroEntradas[Ano Competência],$C$3)</f>
        <v>19009</v>
      </c>
      <c r="H16" s="35">
        <f>SUMIFS(TbRegistroEntradas[Valor],TbRegistroEntradas[Mês Competência],H5,TbRegistroEntradas[Ano Competência],$C$3)</f>
        <v>28711</v>
      </c>
      <c r="I16" s="35">
        <f>SUMIFS(TbRegistroEntradas[Valor],TbRegistroEntradas[Mês Competência],I5,TbRegistroEntradas[Ano Competência],$C$3)</f>
        <v>33298</v>
      </c>
      <c r="J16" s="35">
        <f>SUMIFS(TbRegistroEntradas[Valor],TbRegistroEntradas[Mês Competência],J5,TbRegistroEntradas[Ano Competência],$C$3)</f>
        <v>22302</v>
      </c>
      <c r="K16" s="35">
        <f>SUMIFS(TbRegistroEntradas[Valor],TbRegistroEntradas[Mês Competência],K5,TbRegistroEntradas[Ano Competência],$C$3)</f>
        <v>26024</v>
      </c>
      <c r="L16" s="35">
        <f>SUMIFS(TbRegistroEntradas[Valor],TbRegistroEntradas[Mês Competência],L5,TbRegistroEntradas[Ano Competência],$C$3)</f>
        <v>29400</v>
      </c>
      <c r="M16" s="35">
        <f>SUMIFS(TbRegistroEntradas[Valor],TbRegistroEntradas[Mês Competência],M5,TbRegistroEntradas[Ano Competência],$C$3)</f>
        <v>30897</v>
      </c>
      <c r="N16" s="35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1" t="s">
        <v>515</v>
      </c>
      <c r="C17" s="35">
        <f>SUMIFS(TbRegistroSaídas[Valor],TbRegistroSaídas[Mês Competência],C5,TbRegistroSaídas[Ano Competência],$C$3)</f>
        <v>41773</v>
      </c>
      <c r="D17" s="35">
        <f>SUMIFS(TbRegistroSaídas[Valor],TbRegistroSaídas[Mês Competência],D5,TbRegistroSaídas[Ano Competência],$C$3)</f>
        <v>25578</v>
      </c>
      <c r="E17" s="35">
        <f>SUMIFS(TbRegistroSaídas[Valor],TbRegistroSaídas[Mês Competência],E5,TbRegistroSaídas[Ano Competência],$C$3)</f>
        <v>24127</v>
      </c>
      <c r="F17" s="35">
        <f>SUMIFS(TbRegistroSaídas[Valor],TbRegistroSaídas[Mês Competência],F5,TbRegistroSaídas[Ano Competência],$C$3)</f>
        <v>14679</v>
      </c>
      <c r="G17" s="35">
        <f>SUMIFS(TbRegistroSaídas[Valor],TbRegistroSaídas[Mês Competência],G5,TbRegistroSaídas[Ano Competência],$C$3)</f>
        <v>24782</v>
      </c>
      <c r="H17" s="35">
        <f>SUMIFS(TbRegistroSaídas[Valor],TbRegistroSaídas[Mês Competência],H5,TbRegistroSaídas[Ano Competência],$C$3)</f>
        <v>24927</v>
      </c>
      <c r="I17" s="35">
        <f>SUMIFS(TbRegistroSaídas[Valor],TbRegistroSaídas[Mês Competência],I5,TbRegistroSaídas[Ano Competência],$C$3)</f>
        <v>34065</v>
      </c>
      <c r="J17" s="35">
        <f>SUMIFS(TbRegistroSaídas[Valor],TbRegistroSaídas[Mês Competência],J5,TbRegistroSaídas[Ano Competência],$C$3)</f>
        <v>21727</v>
      </c>
      <c r="K17" s="35">
        <f>SUMIFS(TbRegistroSaídas[Valor],TbRegistroSaídas[Mês Competência],K5,TbRegistroSaídas[Ano Competência],$C$3)</f>
        <v>19948</v>
      </c>
      <c r="L17" s="35">
        <f>SUMIFS(TbRegistroSaídas[Valor],TbRegistroSaídas[Mês Competência],L5,TbRegistroSaídas[Ano Competência],$C$3)</f>
        <v>28693</v>
      </c>
      <c r="M17" s="35">
        <f>SUMIFS(TbRegistroSaídas[Valor],TbRegistroSaídas[Mês Competência],M5,TbRegistroSaídas[Ano Competência],$C$3)</f>
        <v>22624</v>
      </c>
      <c r="N17" s="36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4" t="s">
        <v>516</v>
      </c>
      <c r="C18" s="37">
        <f>C15+C16-C17</f>
        <v>2752</v>
      </c>
      <c r="D18" s="37">
        <f t="shared" ref="D18:N18" si="3">D15+D16-D17</f>
        <v>1935</v>
      </c>
      <c r="E18" s="37">
        <f t="shared" si="3"/>
        <v>15266</v>
      </c>
      <c r="F18" s="37">
        <f t="shared" si="3"/>
        <v>30813</v>
      </c>
      <c r="G18" s="37">
        <f t="shared" si="3"/>
        <v>25040</v>
      </c>
      <c r="H18" s="37">
        <f t="shared" si="3"/>
        <v>28824</v>
      </c>
      <c r="I18" s="37">
        <f t="shared" si="3"/>
        <v>28057</v>
      </c>
      <c r="J18" s="37">
        <f t="shared" si="3"/>
        <v>28632</v>
      </c>
      <c r="K18" s="37">
        <f t="shared" si="3"/>
        <v>34708</v>
      </c>
      <c r="L18" s="37">
        <f t="shared" si="3"/>
        <v>35415</v>
      </c>
      <c r="M18" s="37">
        <f t="shared" si="3"/>
        <v>43688</v>
      </c>
      <c r="N18" s="38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0" t="s">
        <v>532</v>
      </c>
    </row>
    <row r="21" spans="2:14" ht="20.100000000000001" customHeight="1" x14ac:dyDescent="0.25">
      <c r="B21" s="29" t="s">
        <v>514</v>
      </c>
      <c r="C21" s="27" t="s">
        <v>517</v>
      </c>
      <c r="D21" s="27" t="s">
        <v>518</v>
      </c>
      <c r="E21" s="27" t="s">
        <v>519</v>
      </c>
      <c r="F21" s="27" t="s">
        <v>520</v>
      </c>
      <c r="G21" s="27" t="s">
        <v>521</v>
      </c>
      <c r="H21" s="27" t="s">
        <v>522</v>
      </c>
      <c r="I21" s="27" t="s">
        <v>523</v>
      </c>
      <c r="J21" s="27" t="s">
        <v>524</v>
      </c>
      <c r="K21" s="27" t="s">
        <v>525</v>
      </c>
      <c r="L21" s="27" t="s">
        <v>526</v>
      </c>
      <c r="M21" s="27" t="s">
        <v>527</v>
      </c>
      <c r="N21" s="28" t="s">
        <v>528</v>
      </c>
    </row>
    <row r="22" spans="2:14" ht="20.100000000000001" customHeight="1" x14ac:dyDescent="0.25">
      <c r="B22" s="31" t="s">
        <v>533</v>
      </c>
      <c r="C22" s="35">
        <f>C16</f>
        <v>20582</v>
      </c>
      <c r="D22" s="35">
        <f t="shared" ref="D22:N22" si="4">D16</f>
        <v>24761</v>
      </c>
      <c r="E22" s="35">
        <f t="shared" si="4"/>
        <v>37458</v>
      </c>
      <c r="F22" s="35">
        <f t="shared" si="4"/>
        <v>30226</v>
      </c>
      <c r="G22" s="35">
        <f t="shared" si="4"/>
        <v>19009</v>
      </c>
      <c r="H22" s="35">
        <f t="shared" si="4"/>
        <v>28711</v>
      </c>
      <c r="I22" s="35">
        <f t="shared" si="4"/>
        <v>33298</v>
      </c>
      <c r="J22" s="35">
        <f t="shared" si="4"/>
        <v>22302</v>
      </c>
      <c r="K22" s="35">
        <f t="shared" si="4"/>
        <v>26024</v>
      </c>
      <c r="L22" s="35">
        <f t="shared" si="4"/>
        <v>29400</v>
      </c>
      <c r="M22" s="35">
        <f t="shared" si="4"/>
        <v>30897</v>
      </c>
      <c r="N22" s="36">
        <f t="shared" si="4"/>
        <v>17906</v>
      </c>
    </row>
    <row r="23" spans="2:14" ht="20.100000000000001" customHeight="1" x14ac:dyDescent="0.25">
      <c r="B23" s="31" t="s">
        <v>534</v>
      </c>
      <c r="C23" s="35">
        <f>C17</f>
        <v>41773</v>
      </c>
      <c r="D23" s="35">
        <f t="shared" ref="D23:N23" si="5">D17</f>
        <v>25578</v>
      </c>
      <c r="E23" s="35">
        <f t="shared" si="5"/>
        <v>24127</v>
      </c>
      <c r="F23" s="35">
        <f t="shared" si="5"/>
        <v>14679</v>
      </c>
      <c r="G23" s="35">
        <f t="shared" si="5"/>
        <v>24782</v>
      </c>
      <c r="H23" s="35">
        <f t="shared" si="5"/>
        <v>24927</v>
      </c>
      <c r="I23" s="35">
        <f t="shared" si="5"/>
        <v>34065</v>
      </c>
      <c r="J23" s="35">
        <f t="shared" si="5"/>
        <v>21727</v>
      </c>
      <c r="K23" s="35">
        <f t="shared" si="5"/>
        <v>19948</v>
      </c>
      <c r="L23" s="35">
        <f t="shared" si="5"/>
        <v>28693</v>
      </c>
      <c r="M23" s="35">
        <f t="shared" si="5"/>
        <v>22624</v>
      </c>
      <c r="N23" s="36">
        <f t="shared" si="5"/>
        <v>19227</v>
      </c>
    </row>
    <row r="24" spans="2:14" ht="20.100000000000001" customHeight="1" x14ac:dyDescent="0.25">
      <c r="B24" s="32" t="s">
        <v>535</v>
      </c>
      <c r="C24" s="39">
        <f>IF(C22-C23&gt;0,C22-C23,0)</f>
        <v>0</v>
      </c>
      <c r="D24" s="39">
        <f t="shared" ref="D24:N24" si="6">IF(D22-D23&gt;0,D22-D23,0)</f>
        <v>0</v>
      </c>
      <c r="E24" s="39">
        <f t="shared" si="6"/>
        <v>13331</v>
      </c>
      <c r="F24" s="39">
        <f t="shared" si="6"/>
        <v>15547</v>
      </c>
      <c r="G24" s="39">
        <f t="shared" si="6"/>
        <v>0</v>
      </c>
      <c r="H24" s="39">
        <f t="shared" si="6"/>
        <v>3784</v>
      </c>
      <c r="I24" s="39">
        <f t="shared" si="6"/>
        <v>0</v>
      </c>
      <c r="J24" s="39">
        <f t="shared" si="6"/>
        <v>575</v>
      </c>
      <c r="K24" s="39">
        <f t="shared" si="6"/>
        <v>6076</v>
      </c>
      <c r="L24" s="39">
        <f t="shared" si="6"/>
        <v>707</v>
      </c>
      <c r="M24" s="39">
        <f t="shared" si="6"/>
        <v>8273</v>
      </c>
      <c r="N24" s="40">
        <f t="shared" si="6"/>
        <v>0</v>
      </c>
    </row>
    <row r="25" spans="2:14" ht="20.100000000000001" customHeight="1" x14ac:dyDescent="0.25">
      <c r="B25" s="33" t="s">
        <v>536</v>
      </c>
      <c r="C25" s="41">
        <f>IF(C22-C23&lt;0,C22-C23,0)</f>
        <v>-21191</v>
      </c>
      <c r="D25" s="41">
        <f t="shared" ref="D25:N25" si="7">IF(D22-D23&lt;0,D22-D23,0)</f>
        <v>-817</v>
      </c>
      <c r="E25" s="41">
        <f t="shared" si="7"/>
        <v>0</v>
      </c>
      <c r="F25" s="41">
        <f t="shared" si="7"/>
        <v>0</v>
      </c>
      <c r="G25" s="41">
        <f t="shared" si="7"/>
        <v>-5773</v>
      </c>
      <c r="H25" s="41">
        <f t="shared" si="7"/>
        <v>0</v>
      </c>
      <c r="I25" s="41">
        <f t="shared" si="7"/>
        <v>-767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-1321</v>
      </c>
    </row>
    <row r="26" spans="2:14" ht="20.100000000000001" customHeight="1" x14ac:dyDescent="0.25">
      <c r="B26" s="33" t="s">
        <v>537</v>
      </c>
      <c r="C26" s="41">
        <f>C22-C23</f>
        <v>-21191</v>
      </c>
      <c r="D26" s="41">
        <f>C26+(D22-D23)</f>
        <v>-22008</v>
      </c>
      <c r="E26" s="41">
        <f t="shared" ref="E26:N26" si="8">D26+(E22-E23)</f>
        <v>-8677</v>
      </c>
      <c r="F26" s="41">
        <f t="shared" si="8"/>
        <v>6870</v>
      </c>
      <c r="G26" s="41">
        <f t="shared" si="8"/>
        <v>1097</v>
      </c>
      <c r="H26" s="41">
        <f t="shared" si="8"/>
        <v>4881</v>
      </c>
      <c r="I26" s="41">
        <f t="shared" si="8"/>
        <v>4114</v>
      </c>
      <c r="J26" s="41">
        <f t="shared" si="8"/>
        <v>4689</v>
      </c>
      <c r="K26" s="41">
        <f t="shared" si="8"/>
        <v>10765</v>
      </c>
      <c r="L26" s="41">
        <f t="shared" si="8"/>
        <v>11472</v>
      </c>
      <c r="M26" s="41">
        <f t="shared" si="8"/>
        <v>19745</v>
      </c>
      <c r="N26" s="42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27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33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34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35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36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37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543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39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33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34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35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37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46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543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547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C7">
        <v>0</v>
      </c>
      <c r="J7" t="s">
        <v>548</v>
      </c>
    </row>
    <row r="8" spans="2:15" ht="20.100000000000001" customHeight="1" x14ac:dyDescent="0.25">
      <c r="B8" s="47" t="s">
        <v>542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48" t="s">
        <v>39</v>
      </c>
      <c r="C9" s="51">
        <v>6816</v>
      </c>
      <c r="D9" s="51">
        <v>9291</v>
      </c>
      <c r="E9" s="51">
        <v>9778</v>
      </c>
      <c r="F9" s="51">
        <v>6321</v>
      </c>
      <c r="G9" s="51">
        <v>6846</v>
      </c>
      <c r="H9" s="51">
        <v>3092</v>
      </c>
      <c r="I9" s="51">
        <v>4672</v>
      </c>
      <c r="J9" s="51">
        <v>46816</v>
      </c>
    </row>
    <row r="10" spans="2:15" ht="20.100000000000001" customHeight="1" x14ac:dyDescent="0.25">
      <c r="B10" s="49" t="s">
        <v>33</v>
      </c>
      <c r="C10" s="51"/>
      <c r="D10" s="51">
        <v>3255</v>
      </c>
      <c r="E10" s="51">
        <v>1996</v>
      </c>
      <c r="F10" s="51"/>
      <c r="G10" s="51"/>
      <c r="H10" s="51"/>
      <c r="I10" s="51"/>
      <c r="J10" s="51">
        <v>5251</v>
      </c>
    </row>
    <row r="11" spans="2:15" ht="20.100000000000001" customHeight="1" x14ac:dyDescent="0.25">
      <c r="B11" s="49" t="s">
        <v>34</v>
      </c>
      <c r="C11" s="51">
        <v>3598</v>
      </c>
      <c r="D11" s="51">
        <v>2623</v>
      </c>
      <c r="E11" s="51">
        <v>2975</v>
      </c>
      <c r="F11" s="51"/>
      <c r="G11" s="51">
        <v>3411</v>
      </c>
      <c r="H11" s="51"/>
      <c r="I11" s="51">
        <v>819</v>
      </c>
      <c r="J11" s="51">
        <v>13426</v>
      </c>
    </row>
    <row r="12" spans="2:15" ht="20.100000000000001" customHeight="1" x14ac:dyDescent="0.25">
      <c r="B12" s="49" t="s">
        <v>35</v>
      </c>
      <c r="C12" s="51">
        <v>2247</v>
      </c>
      <c r="D12" s="51">
        <v>3413</v>
      </c>
      <c r="E12" s="51"/>
      <c r="F12" s="51"/>
      <c r="G12" s="51"/>
      <c r="H12" s="51">
        <v>159</v>
      </c>
      <c r="I12" s="51"/>
      <c r="J12" s="51">
        <v>5819</v>
      </c>
    </row>
    <row r="13" spans="2:15" ht="20.100000000000001" customHeight="1" x14ac:dyDescent="0.25">
      <c r="B13" s="49" t="s">
        <v>46</v>
      </c>
      <c r="C13" s="51">
        <v>971</v>
      </c>
      <c r="D13" s="51"/>
      <c r="E13" s="51">
        <v>4807</v>
      </c>
      <c r="F13" s="51">
        <v>6321</v>
      </c>
      <c r="G13" s="51">
        <v>3435</v>
      </c>
      <c r="H13" s="51">
        <v>2933</v>
      </c>
      <c r="I13" s="51">
        <v>3853</v>
      </c>
      <c r="J13" s="51">
        <v>22320</v>
      </c>
    </row>
    <row r="14" spans="2:15" ht="20.100000000000001" customHeight="1" x14ac:dyDescent="0.25">
      <c r="B14" s="48" t="s">
        <v>543</v>
      </c>
      <c r="C14" s="51">
        <v>6816</v>
      </c>
      <c r="D14" s="51">
        <v>9291</v>
      </c>
      <c r="E14" s="51">
        <v>9778</v>
      </c>
      <c r="F14" s="51">
        <v>6321</v>
      </c>
      <c r="G14" s="51">
        <v>6846</v>
      </c>
      <c r="H14" s="51">
        <v>3092</v>
      </c>
      <c r="I14" s="51">
        <v>4672</v>
      </c>
      <c r="J14" s="51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tabSelected="1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547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C7">
        <v>0</v>
      </c>
      <c r="I7" t="s">
        <v>548</v>
      </c>
    </row>
    <row r="8" spans="2:15" ht="20.100000000000001" customHeight="1" x14ac:dyDescent="0.25">
      <c r="B8" s="47" t="s">
        <v>542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27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33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34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35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36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37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543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2020-04-23T16:02:44Z</dcterms:modified>
</cp:coreProperties>
</file>